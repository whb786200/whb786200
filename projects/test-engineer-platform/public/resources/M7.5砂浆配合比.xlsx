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620" tabRatio="882" firstSheet="3" activeTab="7"/>
  </bookViews>
  <sheets>
    <sheet name="封面" sheetId="60" r:id="rId1"/>
    <sheet name="原材料技术指标报告" sheetId="59" r:id="rId2"/>
    <sheet name="水泥砂浆配合比设计报告3" sheetId="22" r:id="rId3"/>
    <sheet name="水泥砂浆稠度、分层度记录A组" sheetId="57" r:id="rId4"/>
    <sheet name="水泥砂浆稠度、分层度记录B组" sheetId="52" r:id="rId5"/>
    <sheet name="水泥砂浆稠度、分层度记录 C组" sheetId="58" r:id="rId6"/>
    <sheet name="砂浆配合比记录1" sheetId="21" r:id="rId7"/>
    <sheet name="砂浆配合比记录2" sheetId="64" r:id="rId8"/>
  </sheets>
  <externalReferences>
    <externalReference r:id="rId9"/>
    <externalReference r:id="rId10"/>
    <externalReference r:id="rId11"/>
    <externalReference r:id="rId12"/>
  </externalReferences>
  <definedNames>
    <definedName name="DGDFH">#REF!</definedName>
    <definedName name="HTML_CodePage" hidden="1">936</definedName>
    <definedName name="HTML_Control" localSheetId="7" hidden="1">{"'现金流量表（全部投资）'!$B$4:$P$23"}</definedName>
    <definedName name="HTML_Control" localSheetId="5" hidden="1">{"'现金流量表（全部投资）'!$B$4:$P$23"}</definedName>
    <definedName name="HTML_Control" localSheetId="3" hidden="1">{"'现金流量表（全部投资）'!$B$4:$P$23"}</definedName>
    <definedName name="HTML_Control" hidden="1">{"'现金流量表（全部投资）'!$B$4:$P$23"}</definedName>
    <definedName name="HTML_Description" hidden="1">"lin zijian"</definedName>
    <definedName name="HTML_Email" hidden="1">""</definedName>
    <definedName name="HTML_Header" hidden="1">"现金流量表（全部投资）"</definedName>
    <definedName name="HTML_LastUpdate" hidden="1">"96-12-2"</definedName>
    <definedName name="HTML_LineAfter" hidden="1">TRUE</definedName>
    <definedName name="HTML_LineBefore" hidden="1">TRUE</definedName>
    <definedName name="HTML_Name" hidden="1">"linzijia"</definedName>
    <definedName name="HTML_OBDlg2" hidden="1">TRUE</definedName>
    <definedName name="HTML_OBDlg4" hidden="1">TRUE</definedName>
    <definedName name="HTML_OS" hidden="1">0</definedName>
    <definedName name="HTML_PathFile" hidden="1">"C:\lin\bk\MyHTML.htm"</definedName>
    <definedName name="HTML_Title" hidden="1">"PROJECT11"</definedName>
    <definedName name="JKHLILU">#REF!</definedName>
    <definedName name="_xlnm.Print_Area" localSheetId="0">封面!$A$1:$S$89</definedName>
    <definedName name="_xlnm.Print_Area" localSheetId="6">砂浆配合比记录1!$A$1:$N$25</definedName>
    <definedName name="_xlnm.Print_Area" localSheetId="7">砂浆配合比记录2!$A$1:$O$27</definedName>
    <definedName name="_xlnm.Print_Area" localSheetId="5">'水泥砂浆稠度、分层度记录 C组'!$A$1:$K$19</definedName>
    <definedName name="_xlnm.Print_Area" localSheetId="3">水泥砂浆稠度、分层度记录A组!$A$1:$K$19</definedName>
    <definedName name="_xlnm.Print_Area" localSheetId="4">水泥砂浆稠度、分层度记录B组!$A$1:$K$19</definedName>
    <definedName name="_xlnm.Print_Area" localSheetId="2">水泥砂浆配合比设计报告3!$A$1:$Q$19</definedName>
    <definedName name="_xlnm.Print_Area" localSheetId="1">原材料技术指标报告!$A$1:$J$40</definedName>
    <definedName name="表" localSheetId="7" hidden="1">{"'现金流量表（全部投资）'!$B$4:$P$23"}</definedName>
    <definedName name="表" localSheetId="5" hidden="1">{"'现金流量表（全部投资）'!$B$4:$P$23"}</definedName>
    <definedName name="表" localSheetId="3" hidden="1">{"'现金流量表（全部投资）'!$B$4:$P$23"}</definedName>
    <definedName name="表" hidden="1">{"'现金流量表（全部投资）'!$B$4:$P$23"}</definedName>
    <definedName name="表1" localSheetId="7" hidden="1">{"'现金流量表（全部投资）'!$B$4:$P$23"}</definedName>
    <definedName name="表1" localSheetId="5" hidden="1">{"'现金流量表（全部投资）'!$B$4:$P$23"}</definedName>
    <definedName name="表1" localSheetId="3" hidden="1">{"'现金流量表（全部投资）'!$B$4:$P$23"}</definedName>
    <definedName name="表1" hidden="1">{"'现金流量表（全部投资）'!$B$4:$P$23"}</definedName>
    <definedName name="表100" localSheetId="7" hidden="1">{"'现金流量表（全部投资）'!$B$4:$P$23"}</definedName>
    <definedName name="表100" localSheetId="5" hidden="1">{"'现金流量表（全部投资）'!$B$4:$P$23"}</definedName>
    <definedName name="表100" localSheetId="3" hidden="1">{"'现金流量表（全部投资）'!$B$4:$P$23"}</definedName>
    <definedName name="表100" hidden="1">{"'现金流量表（全部投资）'!$B$4:$P$23"}</definedName>
    <definedName name="表1000" localSheetId="7" hidden="1">{"'现金流量表（全部投资）'!$B$4:$P$23"}</definedName>
    <definedName name="表1000" localSheetId="5" hidden="1">{"'现金流量表（全部投资）'!$B$4:$P$23"}</definedName>
    <definedName name="表1000" localSheetId="3" hidden="1">{"'现金流量表（全部投资）'!$B$4:$P$23"}</definedName>
    <definedName name="表1000" hidden="1">{"'现金流量表（全部投资）'!$B$4:$P$23"}</definedName>
    <definedName name="表2" localSheetId="7" hidden="1">{"'现金流量表（全部投资）'!$B$4:$P$23"}</definedName>
    <definedName name="表2" localSheetId="5" hidden="1">{"'现金流量表（全部投资）'!$B$4:$P$23"}</definedName>
    <definedName name="表2" localSheetId="3" hidden="1">{"'现金流量表（全部投资）'!$B$4:$P$23"}</definedName>
    <definedName name="表2" hidden="1">{"'现金流量表（全部投资）'!$B$4:$P$23"}</definedName>
    <definedName name="表3" localSheetId="7" hidden="1">{"'现金流量表（全部投资）'!$B$4:$P$23"}</definedName>
    <definedName name="表3" localSheetId="5" hidden="1">{"'现金流量表（全部投资）'!$B$4:$P$23"}</definedName>
    <definedName name="表3" localSheetId="3" hidden="1">{"'现金流量表（全部投资）'!$B$4:$P$23"}</definedName>
    <definedName name="表3" hidden="1">{"'现金流量表（全部投资）'!$B$4:$P$23"}</definedName>
    <definedName name="汇率">#REF!</definedName>
    <definedName name="混凝土">#REF!</definedName>
    <definedName name="混凝土4">#REF!</definedName>
    <definedName name="矿粉">#REF!</definedName>
    <definedName name="沥青">#REF!</definedName>
    <definedName name="沥青用量1" localSheetId="7" hidden="1">{"'现金流量表（全部投资）'!$B$4:$P$23"}</definedName>
    <definedName name="沥青用量1" localSheetId="5" hidden="1">{"'现金流量表（全部投资）'!$B$4:$P$23"}</definedName>
    <definedName name="沥青用量1" localSheetId="3" hidden="1">{"'现金流量表（全部投资）'!$B$4:$P$23"}</definedName>
    <definedName name="沥青用量1" hidden="1">{"'现金流量表（全部投资）'!$B$4:$P$23"}</definedName>
    <definedName name="目标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水泥混凝土">#REF!</definedName>
    <definedName name="我">#REF!</definedName>
  </definedNames>
  <calcPr calcId="144525"/>
</workbook>
</file>

<file path=xl/comments1.xml><?xml version="1.0" encoding="utf-8"?>
<comments xmlns="http://schemas.openxmlformats.org/spreadsheetml/2006/main">
  <authors>
    <author>User</author>
  </authors>
  <commentList>
    <comment ref="D22" authorId="0">
      <text>
        <r>
          <rPr>
            <b/>
            <sz val="10"/>
            <rFont val="宋体"/>
            <charset val="134"/>
          </rPr>
          <t xml:space="preserve">对应砼等级标号指标
</t>
        </r>
      </text>
    </comment>
  </commentList>
</comments>
</file>

<file path=xl/sharedStrings.xml><?xml version="1.0" encoding="utf-8"?>
<sst xmlns="http://schemas.openxmlformats.org/spreadsheetml/2006/main" count="652" uniqueCount="282">
  <si>
    <t>检 验 报 告</t>
  </si>
  <si>
    <t>产品名称:</t>
  </si>
  <si>
    <t>M7.5砂浆配合比</t>
  </si>
  <si>
    <t>委托单位:</t>
  </si>
  <si>
    <t>检测类别:</t>
  </si>
  <si>
    <t xml:space="preserve">     委    托   检   验      </t>
  </si>
  <si>
    <t>注  意  事  项</t>
  </si>
  <si>
    <t>1、</t>
  </si>
  <si>
    <t>无“检测报告专用章”无效。</t>
  </si>
  <si>
    <t>2、</t>
  </si>
  <si>
    <t>复制报告未重新加盖上述印报告章无效。</t>
  </si>
  <si>
    <t>3、</t>
  </si>
  <si>
    <t>报告无主检、审核、批准人签名无效。</t>
  </si>
  <si>
    <t>4、</t>
  </si>
  <si>
    <t>报告涂改无效。</t>
  </si>
  <si>
    <t>5、</t>
  </si>
  <si>
    <t>对检测报告若有异议，应于收到报告之日起十五日内向检测</t>
  </si>
  <si>
    <t>单位提出，逾期不予受理。</t>
  </si>
  <si>
    <t>6、</t>
  </si>
  <si>
    <t>送样和委托检测仅对来样试样负责。</t>
  </si>
  <si>
    <t>7、</t>
  </si>
  <si>
    <t>本报告不得用作广告宣传。</t>
  </si>
  <si>
    <t>8、</t>
  </si>
  <si>
    <t>送检试样须在委托书约定保留期内领取，逾期我单位将自行</t>
  </si>
  <si>
    <t>处理。</t>
  </si>
  <si>
    <t>检 测 报 告 首 页</t>
  </si>
  <si>
    <t>检测项目</t>
  </si>
  <si>
    <t>送样日期</t>
  </si>
  <si>
    <t>报告编号</t>
  </si>
  <si>
    <t>委托单位</t>
  </si>
  <si>
    <t>检测单位</t>
  </si>
  <si>
    <t>检测类别</t>
  </si>
  <si>
    <t>委 托 检 验</t>
  </si>
  <si>
    <t>委托单位联系方式</t>
  </si>
  <si>
    <t>委托书编号</t>
  </si>
  <si>
    <t>生产单位</t>
  </si>
  <si>
    <t>水    泥</t>
  </si>
  <si>
    <t>试样数量</t>
  </si>
  <si>
    <t>取样地点</t>
  </si>
  <si>
    <t>、</t>
  </si>
  <si>
    <t>样品处置</t>
  </si>
  <si>
    <t>检测单位处置</t>
  </si>
  <si>
    <t>抽（送）样者</t>
  </si>
  <si>
    <t>检测依据</t>
  </si>
  <si>
    <t xml:space="preserve">  经检验采用三个不同水灰比试验，确定实验室配合比：配制M7.5砂浆配合比，每立方米材料用量（kg/m3）=水泥:砂:水=1:6.91:1.10，7天抗压强度6.8MPa，28天抗压强度11.2MPa，
满足规范要求。</t>
  </si>
  <si>
    <t xml:space="preserve">    经检验采用三个不同水灰比试验，确定试验室配合比：配制</t>
  </si>
  <si>
    <t>M7.5</t>
  </si>
  <si>
    <t>检</t>
  </si>
  <si>
    <t>砂浆配合比，每立方米材料用量（kg/m3）=</t>
  </si>
  <si>
    <t>=</t>
  </si>
  <si>
    <t>测</t>
  </si>
  <si>
    <t>。</t>
  </si>
  <si>
    <t>7天抗压强度</t>
  </si>
  <si>
    <t>结</t>
  </si>
  <si>
    <t>MPa，</t>
  </si>
  <si>
    <t>（检测报告专用章）</t>
  </si>
  <si>
    <t>28天抗压强度</t>
  </si>
  <si>
    <t>论</t>
  </si>
  <si>
    <t>签发日期：</t>
  </si>
  <si>
    <r>
      <rPr>
        <sz val="12"/>
        <rFont val="宋体"/>
        <charset val="134"/>
      </rPr>
      <t>M</t>
    </r>
    <r>
      <rPr>
        <sz val="12"/>
        <rFont val="宋体"/>
        <charset val="134"/>
      </rPr>
      <t>pa</t>
    </r>
    <r>
      <rPr>
        <sz val="12"/>
        <rFont val="宋体"/>
        <charset val="134"/>
      </rPr>
      <t>。</t>
    </r>
  </si>
  <si>
    <t>满足规范试配强度：</t>
  </si>
  <si>
    <t>两个快速合并电子表格多个单元格内容的技巧</t>
  </si>
  <si>
    <t>备 注</t>
  </si>
  <si>
    <t>本试验数据根据委托单位来样提供，试验数据只对来样负责。</t>
  </si>
  <si>
    <t>:</t>
  </si>
  <si>
    <t>批准：                 审核：                  主检：</t>
  </si>
  <si>
    <t>Mpa，</t>
  </si>
  <si>
    <t>详见水泥砂浆配合比设计试验检测报告。</t>
  </si>
  <si>
    <t>JGJ/T 98-2010《砌筑砂浆配合比设计规程》</t>
  </si>
  <si>
    <t>JGJ/T 70-2009《建筑砂浆基本性能试验方法》</t>
  </si>
  <si>
    <t>GB50203-20l1《砌体结构工程施工质量验收规范》</t>
  </si>
  <si>
    <t>JTG E30-2005《公路工程水泥及水泥混凝土试验规程》</t>
  </si>
  <si>
    <t>水泥砂浆配合比设计原材料技术指标报告</t>
  </si>
  <si>
    <t>JB010514</t>
  </si>
  <si>
    <t>报告编号:</t>
  </si>
  <si>
    <t>承包单位</t>
  </si>
  <si>
    <t>委托编号</t>
  </si>
  <si>
    <t>工程部位</t>
  </si>
  <si>
    <t>/</t>
  </si>
  <si>
    <t>设计强度</t>
  </si>
  <si>
    <t>序号</t>
  </si>
  <si>
    <t>材料各类</t>
  </si>
  <si>
    <t>产地</t>
  </si>
  <si>
    <t>规格</t>
  </si>
  <si>
    <t>主要试验项目及指标</t>
  </si>
  <si>
    <t xml:space="preserve">试验项目 </t>
  </si>
  <si>
    <t>技术要求</t>
  </si>
  <si>
    <t>检测结果</t>
  </si>
  <si>
    <t>结果判定</t>
  </si>
  <si>
    <t>水泥</t>
  </si>
  <si>
    <t>初凝时间（min）</t>
  </si>
  <si>
    <t>合格</t>
  </si>
  <si>
    <t>终凝时间（min）</t>
  </si>
  <si>
    <t>安定性（mm）</t>
  </si>
  <si>
    <t>28d抗折强度（MPa)</t>
  </si>
  <si>
    <t>28d抗压强度（MPa)</t>
  </si>
  <si>
    <t>水</t>
  </si>
  <si>
    <t>pH值</t>
  </si>
  <si>
    <t>0～5</t>
  </si>
  <si>
    <t>不溶物(mg/L)</t>
  </si>
  <si>
    <t>≤2000</t>
  </si>
  <si>
    <t>氯化物（mg/L）</t>
  </si>
  <si>
    <t>≤1000</t>
  </si>
  <si>
    <t>硫酸盐（mg/L）</t>
  </si>
  <si>
    <t>砂</t>
  </si>
  <si>
    <t>天然砂含泥量（%)</t>
  </si>
  <si>
    <r>
      <rPr>
        <sz val="10"/>
        <rFont val="宋体"/>
        <charset val="134"/>
      </rPr>
      <t>≤</t>
    </r>
    <r>
      <rPr>
        <sz val="10"/>
        <rFont val="宋体"/>
        <charset val="134"/>
      </rPr>
      <t>5.0</t>
    </r>
  </si>
  <si>
    <t>细度模数</t>
  </si>
  <si>
    <t>0.7～3.7</t>
  </si>
  <si>
    <t>0.15～4.75</t>
  </si>
  <si>
    <t>人工砂石粉含量（%）</t>
  </si>
  <si>
    <r>
      <rPr>
        <sz val="10"/>
        <rFont val="宋体"/>
        <charset val="134"/>
      </rPr>
      <t>≤</t>
    </r>
    <r>
      <rPr>
        <sz val="10"/>
        <rFont val="宋体"/>
        <charset val="134"/>
      </rPr>
      <t>10.0</t>
    </r>
  </si>
  <si>
    <t>石粉或含泥量（%）</t>
  </si>
  <si>
    <r>
      <rPr>
        <sz val="10"/>
        <rFont val="宋体"/>
        <charset val="134"/>
      </rPr>
      <t>≤1</t>
    </r>
    <r>
      <rPr>
        <sz val="10"/>
        <rFont val="宋体"/>
        <charset val="134"/>
      </rPr>
      <t>0</t>
    </r>
    <r>
      <rPr>
        <sz val="10"/>
        <rFont val="宋体"/>
        <charset val="134"/>
      </rPr>
      <t>.0</t>
    </r>
  </si>
  <si>
    <t>mm</t>
  </si>
  <si>
    <t>泥块含量（%）</t>
  </si>
  <si>
    <r>
      <rPr>
        <sz val="10"/>
        <rFont val="宋体"/>
        <charset val="134"/>
      </rPr>
      <t>≤</t>
    </r>
    <r>
      <rPr>
        <sz val="10"/>
        <rFont val="宋体"/>
        <charset val="134"/>
      </rPr>
      <t>2.0</t>
    </r>
  </si>
  <si>
    <t>压碎指标（%）</t>
  </si>
  <si>
    <r>
      <rPr>
        <sz val="10"/>
        <color indexed="8"/>
        <rFont val="宋体"/>
        <charset val="134"/>
      </rPr>
      <t>＜3</t>
    </r>
    <r>
      <rPr>
        <sz val="10"/>
        <color indexed="8"/>
        <rFont val="宋体"/>
        <charset val="134"/>
      </rPr>
      <t>0</t>
    </r>
  </si>
  <si>
    <t>砂当量（%）</t>
  </si>
  <si>
    <t>≥60</t>
  </si>
  <si>
    <r>
      <rPr>
        <sz val="12"/>
        <rFont val="宋体"/>
        <charset val="134"/>
      </rPr>
      <t>C</t>
    </r>
    <r>
      <rPr>
        <sz val="12"/>
        <rFont val="宋体"/>
        <charset val="134"/>
      </rPr>
      <t>30-60</t>
    </r>
  </si>
  <si>
    <t>＜25</t>
  </si>
  <si>
    <t>碎石</t>
  </si>
  <si>
    <t>针片状（%）</t>
  </si>
  <si>
    <t>＜15</t>
  </si>
  <si>
    <t>压碎值（%）</t>
  </si>
  <si>
    <t>＜20</t>
  </si>
  <si>
    <t>含泥量（%）</t>
  </si>
  <si>
    <t>＜1.0</t>
  </si>
  <si>
    <t>外加剂</t>
  </si>
  <si>
    <t>减水率（%）</t>
  </si>
  <si>
    <t>泌水率比（%）</t>
  </si>
  <si>
    <t>初凝时间差（min）</t>
  </si>
  <si>
    <r>
      <rPr>
        <sz val="10"/>
        <rFont val="宋体"/>
        <charset val="134"/>
      </rPr>
      <t>密度（g/cm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</si>
  <si>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矿粉</t>
  </si>
  <si>
    <r>
      <rPr>
        <sz val="10"/>
        <rFont val="宋体"/>
        <charset val="134"/>
      </rPr>
      <t>密度（g/cm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</si>
  <si>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比表面积（m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/kg）</t>
    </r>
  </si>
  <si>
    <t>28d活性指数(%)</t>
  </si>
  <si>
    <t>流动度比（%）</t>
  </si>
  <si>
    <t>氯离子含量（%）</t>
  </si>
  <si>
    <t>粉煤灰</t>
  </si>
  <si>
    <t>细度（%）</t>
  </si>
  <si>
    <t>需水量比（%）</t>
  </si>
  <si>
    <t>烧失量（%）</t>
  </si>
  <si>
    <t>三氧化硫（%）</t>
  </si>
  <si>
    <t>备注</t>
  </si>
  <si>
    <t>该原材料所检项目结果符合规范要求，判定合格。</t>
  </si>
  <si>
    <t>试验:               审核:              签发：           日期：       年      月     日（专用章）</t>
  </si>
  <si>
    <r>
      <rPr>
        <sz val="16"/>
        <rFont val="宋体"/>
        <charset val="134"/>
      </rPr>
      <t xml:space="preserve">   </t>
    </r>
    <r>
      <rPr>
        <b/>
        <sz val="16"/>
        <rFont val="宋体"/>
        <charset val="134"/>
      </rPr>
      <t>水泥砂浆配合比设计试验检测报告</t>
    </r>
  </si>
  <si>
    <t>JB010507</t>
  </si>
  <si>
    <t>报告编号：</t>
  </si>
  <si>
    <t>送检单位</t>
  </si>
  <si>
    <t>工程名称</t>
  </si>
  <si>
    <r>
      <rPr>
        <sz val="12"/>
        <rFont val="宋体"/>
        <charset val="134"/>
      </rPr>
      <t>GB50203-20l1第</t>
    </r>
    <r>
      <rPr>
        <sz val="12"/>
        <rFont val="宋体"/>
        <charset val="134"/>
      </rPr>
      <t>12页</t>
    </r>
  </si>
  <si>
    <t>工程部位/用途</t>
  </si>
  <si>
    <t>试验依据</t>
  </si>
  <si>
    <t>报告日期</t>
  </si>
  <si>
    <t>试验条件</t>
  </si>
  <si>
    <t>判定依据</t>
  </si>
  <si>
    <t>GB50203-20l1</t>
  </si>
  <si>
    <t>设计强度等级</t>
  </si>
  <si>
    <t>JGJ/T98-2010</t>
  </si>
  <si>
    <t>主要仪器设备</t>
  </si>
  <si>
    <t>施工稠度（mm）</t>
  </si>
  <si>
    <t>水泥厂家</t>
  </si>
  <si>
    <t>水泥品种、强度等级</t>
  </si>
  <si>
    <t>集料产地种类</t>
  </si>
  <si>
    <r>
      <rPr>
        <sz val="12"/>
        <rFont val="宋体"/>
        <charset val="134"/>
      </rPr>
      <t>稠度≥5</t>
    </r>
    <r>
      <rPr>
        <sz val="12"/>
        <rFont val="宋体"/>
        <charset val="134"/>
      </rPr>
      <t>0mm</t>
    </r>
  </si>
  <si>
    <r>
      <rPr>
        <sz val="12"/>
        <rFont val="宋体"/>
        <charset val="134"/>
      </rPr>
      <t>稠度＜5</t>
    </r>
    <r>
      <rPr>
        <sz val="12"/>
        <rFont val="宋体"/>
        <charset val="134"/>
      </rPr>
      <t>0</t>
    </r>
    <r>
      <rPr>
        <sz val="12"/>
        <rFont val="宋体"/>
        <charset val="134"/>
      </rPr>
      <t>mm</t>
    </r>
  </si>
  <si>
    <t>试件尺寸及数量</t>
  </si>
  <si>
    <t>7.07×7.07×7.07cm、18个</t>
  </si>
  <si>
    <t>外加剂厂家</t>
  </si>
  <si>
    <t>外加剂品种、掺量</t>
  </si>
  <si>
    <t>养护方法及条件</t>
  </si>
  <si>
    <t>拌和及捣实方法</t>
  </si>
  <si>
    <t>理论配合比</t>
  </si>
  <si>
    <t>人工捣实</t>
  </si>
  <si>
    <t>机械捣实</t>
  </si>
  <si>
    <t>试件制作及养护特别记事：</t>
  </si>
  <si>
    <t>试验结果</t>
  </si>
  <si>
    <t>组别</t>
  </si>
  <si>
    <r>
      <rPr>
        <sz val="10"/>
        <rFont val="宋体"/>
        <charset val="134"/>
      </rPr>
      <t>每m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砂浆各材料用量(Kg）</t>
    </r>
  </si>
  <si>
    <t>制件日期</t>
  </si>
  <si>
    <t>抗压日期</t>
  </si>
  <si>
    <t>抗压强度值(MPa ）</t>
  </si>
  <si>
    <t>与28d比值</t>
  </si>
  <si>
    <t>砂浆稠度(mm)</t>
  </si>
  <si>
    <t>砂浆保水率(%)</t>
  </si>
  <si>
    <r>
      <rPr>
        <sz val="10"/>
        <rFont val="宋体"/>
        <charset val="134"/>
      </rPr>
      <t>表观密度（Kg/m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</si>
  <si>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 xml:space="preserve">7d </t>
  </si>
  <si>
    <t>28d</t>
  </si>
  <si>
    <t>7d</t>
  </si>
  <si>
    <t xml:space="preserve">28d </t>
  </si>
  <si>
    <t>减少10%</t>
  </si>
  <si>
    <t>基准</t>
  </si>
  <si>
    <t>增加10%</t>
  </si>
  <si>
    <t>结论</t>
  </si>
  <si>
    <t>通过A、B、C三组不同水泥用量进行配合比试验，</t>
  </si>
  <si>
    <t>B</t>
  </si>
  <si>
    <t>组砂浆稠度、抗压强度同时满足设计及规范要求，故确定选定</t>
  </si>
  <si>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试验:          </t>
    </r>
    <r>
      <rPr>
        <sz val="10"/>
        <rFont val="宋体"/>
        <charset val="134"/>
      </rPr>
      <t xml:space="preserve">                         </t>
    </r>
    <r>
      <rPr>
        <sz val="10"/>
        <rFont val="宋体"/>
        <charset val="134"/>
      </rPr>
      <t xml:space="preserve">   审核:        </t>
    </r>
    <r>
      <rPr>
        <sz val="10"/>
        <rFont val="宋体"/>
        <charset val="134"/>
      </rPr>
      <t xml:space="preserve">                </t>
    </r>
    <r>
      <rPr>
        <sz val="10"/>
        <rFont val="宋体"/>
        <charset val="134"/>
      </rPr>
      <t xml:space="preserve">     签发：    </t>
    </r>
    <r>
      <rPr>
        <sz val="10"/>
        <rFont val="宋体"/>
        <charset val="134"/>
      </rPr>
      <t xml:space="preserve">          </t>
    </r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     </t>
    </r>
    <r>
      <rPr>
        <sz val="10"/>
        <rFont val="宋体"/>
        <charset val="134"/>
      </rPr>
      <t xml:space="preserve">      日期：  </t>
    </r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    年  </t>
    </r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   月  </t>
    </r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  日（专用章）</t>
    </r>
  </si>
  <si>
    <t>组配合比。其理论配合比为（质量比）水泥：细集料：水：=</t>
  </si>
  <si>
    <t xml:space="preserve">   水泥砂浆稠度、分层度试验记录表　</t>
  </si>
  <si>
    <t>记录编号：</t>
  </si>
  <si>
    <t>JGJ/T 70-2009</t>
  </si>
  <si>
    <t>GJ 52-2006、JGJ/T98-2010、JGJ/T 70-2009</t>
  </si>
  <si>
    <r>
      <rPr>
        <sz val="10"/>
        <rFont val="宋体"/>
        <charset val="134"/>
      </rPr>
      <t>室温</t>
    </r>
    <r>
      <rPr>
        <sz val="10"/>
        <rFont val="宋体"/>
        <charset val="134"/>
      </rPr>
      <t>XX℃   相对湿度XX%</t>
    </r>
  </si>
  <si>
    <t>配合比编号</t>
  </si>
  <si>
    <t>A</t>
  </si>
  <si>
    <t>试验日期</t>
  </si>
  <si>
    <t>水泥砂浆稠度仪GL01050016、秒表、容量筒</t>
  </si>
  <si>
    <t>水泥品种等级</t>
  </si>
  <si>
    <t>砂浆稠度测定</t>
  </si>
  <si>
    <t>试验次数</t>
  </si>
  <si>
    <t>插捣次数(次)</t>
  </si>
  <si>
    <t>秒表读数（s）</t>
  </si>
  <si>
    <t>下沉深度（mm）</t>
  </si>
  <si>
    <t>平均（mm）</t>
  </si>
  <si>
    <t>差值</t>
  </si>
  <si>
    <t>误差</t>
  </si>
  <si>
    <t>评定</t>
  </si>
  <si>
    <t>砂浆分层度测定</t>
  </si>
  <si>
    <t>砂浆稠度值（mm）</t>
  </si>
  <si>
    <t>分层后测得的砂浆稠度值（mm）</t>
  </si>
  <si>
    <t>分层度值（cm）</t>
  </si>
  <si>
    <t>平均（cm）</t>
  </si>
  <si>
    <t>备注：</t>
  </si>
  <si>
    <t xml:space="preserve">试验:                                                           复核:                                               </t>
  </si>
  <si>
    <t>C</t>
  </si>
  <si>
    <r>
      <rPr>
        <sz val="16"/>
        <rFont val="宋体"/>
        <charset val="134"/>
      </rPr>
      <t xml:space="preserve"> </t>
    </r>
    <r>
      <rPr>
        <sz val="18"/>
        <rFont val="宋体"/>
        <charset val="134"/>
      </rPr>
      <t xml:space="preserve">   </t>
    </r>
    <r>
      <rPr>
        <b/>
        <sz val="18"/>
        <rFont val="宋体"/>
        <charset val="134"/>
      </rPr>
      <t>水泥砂浆配合比设计试验记录表（1）</t>
    </r>
  </si>
  <si>
    <t>JGJ/T 98-2010、JGJ/T 70-2009、JTG E30-2005</t>
  </si>
  <si>
    <t>养护方法</t>
  </si>
  <si>
    <t>温度XX℃   相对湿度XX%</t>
  </si>
  <si>
    <t>水泥砂浆稠度测定仪GL01050016、秒表、容量筒、振动台GL01050003、BC-300电脑恒应力试验机GL01040012、电子天平GL01070012</t>
  </si>
  <si>
    <t>试配强度（MPa）</t>
  </si>
  <si>
    <t>砂浆种类</t>
  </si>
  <si>
    <t>水泥砂浆</t>
  </si>
  <si>
    <t>30～50</t>
  </si>
  <si>
    <t>试配强度
（MPa）</t>
  </si>
  <si>
    <t>9.0</t>
  </si>
  <si>
    <t>材料</t>
  </si>
  <si>
    <t>品种等级</t>
  </si>
  <si>
    <r>
      <rPr>
        <sz val="10"/>
        <rFont val="宋体"/>
        <charset val="134"/>
      </rPr>
      <t>堆积密度
（Kg/m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</si>
  <si>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表观密度
(Kg/m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</si>
  <si>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空隙率
（%）</t>
  </si>
  <si>
    <t>最大粒径
(mm)</t>
  </si>
  <si>
    <t>细集料</t>
  </si>
  <si>
    <r>
      <rPr>
        <sz val="10"/>
        <rFont val="宋体"/>
        <charset val="134"/>
      </rPr>
      <t>每</t>
    </r>
    <r>
      <rPr>
        <sz val="10"/>
        <rFont val="Times New Roman"/>
        <charset val="134"/>
      </rPr>
      <t>m</t>
    </r>
    <r>
      <rPr>
        <vertAlign val="superscript"/>
        <sz val="10"/>
        <rFont val="Times New Roman"/>
        <charset val="134"/>
      </rPr>
      <t>3</t>
    </r>
    <r>
      <rPr>
        <sz val="10"/>
        <rFont val="宋体"/>
        <charset val="134"/>
      </rPr>
      <t>砂浆各材料用量</t>
    </r>
    <r>
      <rPr>
        <sz val="10"/>
        <rFont val="Times New Roman"/>
        <charset val="134"/>
      </rPr>
      <t>(Kg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</si>
  <si>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试拌砂浆</t>
    </r>
    <r>
      <rPr>
        <u/>
        <sz val="10"/>
        <rFont val="宋体"/>
        <charset val="134"/>
      </rPr>
      <t xml:space="preserve">  0.006  </t>
    </r>
    <r>
      <rPr>
        <u/>
        <sz val="10"/>
        <rFont val="Times New Roman"/>
        <charset val="134"/>
      </rPr>
      <t xml:space="preserve"> </t>
    </r>
    <r>
      <rPr>
        <sz val="10"/>
        <rFont val="Times New Roman"/>
        <charset val="134"/>
      </rPr>
      <t xml:space="preserve"> m</t>
    </r>
    <r>
      <rPr>
        <vertAlign val="superscript"/>
        <sz val="10"/>
        <rFont val="Times New Roman"/>
        <charset val="134"/>
      </rPr>
      <t>3</t>
    </r>
    <r>
      <rPr>
        <sz val="10"/>
        <rFont val="宋体"/>
        <charset val="134"/>
      </rPr>
      <t>，各种材料用量</t>
    </r>
  </si>
  <si>
    <t>砂浆稠度
(mm)</t>
  </si>
  <si>
    <t>砂浆保水率
(%)</t>
  </si>
  <si>
    <t>机械拌合及机械拌合</t>
  </si>
  <si>
    <t>理论</t>
  </si>
  <si>
    <t>设计配合比</t>
  </si>
  <si>
    <r>
      <rPr>
        <sz val="10"/>
        <rFont val="宋体"/>
        <charset val="134"/>
      </rPr>
      <t>按强度试验结果确定每m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材料用量
（Kg）</t>
    </r>
  </si>
  <si>
    <t>按实测表观密度值校正（各材料用量×校正系数）</t>
  </si>
  <si>
    <r>
      <rPr>
        <sz val="10"/>
        <rFont val="宋体"/>
        <charset val="134"/>
      </rPr>
      <t>说明：1、 砂浆试配强度f</t>
    </r>
    <r>
      <rPr>
        <vertAlign val="subscript"/>
        <sz val="10"/>
        <rFont val="宋体"/>
        <charset val="134"/>
      </rPr>
      <t>m,0</t>
    </r>
    <r>
      <rPr>
        <sz val="10"/>
        <rFont val="宋体"/>
        <charset val="134"/>
      </rPr>
      <t>=kf</t>
    </r>
    <r>
      <rPr>
        <vertAlign val="subscript"/>
        <sz val="10"/>
        <rFont val="宋体"/>
        <charset val="134"/>
      </rPr>
      <t xml:space="preserve">2
        </t>
    </r>
    <r>
      <rPr>
        <sz val="10"/>
        <rFont val="宋体"/>
        <charset val="134"/>
      </rPr>
      <t>2、实测表观密度值与理论表观密度值之差的绝对值不超过理论值的2%时，不需要校正；
      3、对选定的配合比进行表观密度值校正。</t>
    </r>
  </si>
  <si>
    <t>：</t>
  </si>
  <si>
    <r>
      <rPr>
        <sz val="10"/>
        <rFont val="宋体"/>
        <charset val="134"/>
      </rPr>
      <t>校正后每m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材料用量（Kg）</t>
    </r>
  </si>
  <si>
    <t>砂浆设计配合比</t>
  </si>
  <si>
    <t>水泥：细集料：水：外加剂=</t>
  </si>
  <si>
    <t xml:space="preserve">试验:                                                             复核:                                                </t>
  </si>
  <si>
    <r>
      <rPr>
        <sz val="16"/>
        <rFont val="宋体"/>
        <charset val="134"/>
      </rPr>
      <t xml:space="preserve">   </t>
    </r>
    <r>
      <rPr>
        <b/>
        <sz val="16"/>
        <rFont val="宋体"/>
        <charset val="134"/>
      </rPr>
      <t>水泥砂浆配合比设计试验记录表（2）</t>
    </r>
  </si>
  <si>
    <t>极限荷载为0.05的倍数</t>
  </si>
  <si>
    <t>JTG E30-2005</t>
  </si>
  <si>
    <t>BC-300电脑恒应力试验机GL01040012</t>
  </si>
  <si>
    <t>砂浆设计强度（MPa）</t>
  </si>
  <si>
    <r>
      <rPr>
        <sz val="10"/>
        <rFont val="宋体"/>
        <charset val="134"/>
      </rPr>
      <t>每m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砂浆水泥用量(Kg）</t>
    </r>
  </si>
  <si>
    <t>试件编号</t>
  </si>
  <si>
    <t>试压日期</t>
  </si>
  <si>
    <r>
      <rPr>
        <sz val="10"/>
        <rFont val="宋体"/>
        <charset val="134"/>
      </rPr>
      <t>试件面积（</t>
    </r>
    <r>
      <rPr>
        <sz val="10"/>
        <rFont val="宋体"/>
        <charset val="134"/>
      </rPr>
      <t>mm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 xml:space="preserve"> )</t>
    </r>
  </si>
  <si>
    <t>极限荷载（KN）</t>
  </si>
  <si>
    <r>
      <rPr>
        <sz val="10"/>
        <rFont val="宋体"/>
        <charset val="134"/>
      </rPr>
      <t>抗压强度</t>
    </r>
    <r>
      <rPr>
        <sz val="10"/>
        <rFont val="宋体"/>
        <charset val="134"/>
      </rPr>
      <t xml:space="preserve">(MPa 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</si>
  <si>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平均值</t>
    </r>
    <r>
      <rPr>
        <sz val="10"/>
        <rFont val="宋体"/>
        <charset val="134"/>
      </rPr>
      <t xml:space="preserve">(MPa </t>
    </r>
    <r>
      <rPr>
        <sz val="10"/>
        <rFont val="宋体"/>
        <charset val="134"/>
      </rPr>
      <t>）</t>
    </r>
  </si>
  <si>
    <t>与28d      比值      (%)</t>
  </si>
  <si>
    <t>抗压试验</t>
  </si>
  <si>
    <t>平均值15%</t>
  </si>
  <si>
    <t>最大值</t>
  </si>
  <si>
    <t>最小值</t>
  </si>
  <si>
    <t xml:space="preserve">试验:                                                               复核:                                                </t>
  </si>
  <si>
    <t>JGJ/T 98-2010、JGJ/T 70-2009</t>
  </si>
</sst>
</file>

<file path=xl/styles.xml><?xml version="1.0" encoding="utf-8"?>
<styleSheet xmlns="http://schemas.openxmlformats.org/spreadsheetml/2006/main">
  <numFmts count="27">
    <numFmt numFmtId="43" formatCode="_ * #,##0.00_ ;_ * \-#,##0.00_ ;_ * &quot;-&quot;??_ ;_ @_ "/>
    <numFmt numFmtId="41" formatCode="_ * #,##0_ ;_ * \-#,##0_ ;_ * &quot;-&quot;_ ;_ @_ "/>
    <numFmt numFmtId="176" formatCode="&quot;M&quot;0.0"/>
    <numFmt numFmtId="177" formatCode="&quot;-&quot;0"/>
    <numFmt numFmtId="178" formatCode="&quot;C&quot;\-0"/>
    <numFmt numFmtId="179" formatCode="&quot;B&quot;\-0"/>
    <numFmt numFmtId="180" formatCode="&quot;A&quot;\-0"/>
    <numFmt numFmtId="181" formatCode="&quot;SJ&quot;\-00"/>
    <numFmt numFmtId="182" formatCode="&quot;BG-2016-SNJ-&quot;000"/>
    <numFmt numFmtId="183" formatCode="\W\T\-\20\1\6\-000"/>
    <numFmt numFmtId="184" formatCode="0;[Red]0"/>
    <numFmt numFmtId="185" formatCode="&quot;BG-2016-XJL-&quot;000"/>
    <numFmt numFmtId="186" formatCode="&quot;≥&quot;00.0"/>
    <numFmt numFmtId="187" formatCode="0.0;[Red]0.0"/>
    <numFmt numFmtId="188" formatCode="&quot;JL-2016-SPB-&quot;000"/>
    <numFmt numFmtId="42" formatCode="_ &quot;￥&quot;* #,##0_ ;_ &quot;￥&quot;* \-#,##0_ ;_ &quot;￥&quot;* &quot;-&quot;_ ;_ @_ "/>
    <numFmt numFmtId="189" formatCode="&quot;≤&quot;000"/>
    <numFmt numFmtId="190" formatCode="0.00;[Red]0.00"/>
    <numFmt numFmtId="191" formatCode="0.000_ "/>
    <numFmt numFmtId="192" formatCode="0.00_);[Red]\(0.00\)"/>
    <numFmt numFmtId="44" formatCode="_ &quot;￥&quot;* #,##0.00_ ;_ &quot;￥&quot;* \-#,##0.00_ ;_ &quot;￥&quot;* &quot;-&quot;??_ ;_ @_ "/>
    <numFmt numFmtId="193" formatCode="&quot;≥&quot;0.0"/>
    <numFmt numFmtId="194" formatCode="yyyy&quot;年&quot;mm&quot;月&quot;dd&quot;日&quot;"/>
    <numFmt numFmtId="195" formatCode="&quot;BG-2016-SPB-&quot;000"/>
    <numFmt numFmtId="196" formatCode="0.00_ "/>
    <numFmt numFmtId="197" formatCode="&quot;≥&quot;00"/>
    <numFmt numFmtId="198" formatCode="0.0_ "/>
  </numFmts>
  <fonts count="55">
    <font>
      <sz val="12"/>
      <name val="宋体"/>
      <charset val="134"/>
    </font>
    <font>
      <b/>
      <sz val="11"/>
      <name val="宋体"/>
      <charset val="134"/>
    </font>
    <font>
      <sz val="16"/>
      <name val="宋体"/>
      <charset val="134"/>
    </font>
    <font>
      <sz val="10"/>
      <name val="宋体"/>
      <charset val="134"/>
    </font>
    <font>
      <sz val="10"/>
      <name val="Times New Roman"/>
      <charset val="134"/>
    </font>
    <font>
      <b/>
      <sz val="18"/>
      <color indexed="10"/>
      <name val="宋体"/>
      <charset val="134"/>
    </font>
    <font>
      <b/>
      <sz val="14"/>
      <name val="宋体"/>
      <charset val="134"/>
    </font>
    <font>
      <sz val="11"/>
      <name val="宋体"/>
      <charset val="134"/>
    </font>
    <font>
      <sz val="8"/>
      <name val="宋体"/>
      <charset val="134"/>
    </font>
    <font>
      <sz val="10"/>
      <color indexed="10"/>
      <name val="宋体"/>
      <charset val="134"/>
    </font>
    <font>
      <sz val="11"/>
      <color indexed="10"/>
      <name val="宋体"/>
      <charset val="134"/>
    </font>
    <font>
      <b/>
      <sz val="11"/>
      <color indexed="10"/>
      <name val="宋体"/>
      <charset val="134"/>
    </font>
    <font>
      <sz val="12"/>
      <color indexed="10"/>
      <name val="宋体"/>
      <charset val="134"/>
    </font>
    <font>
      <b/>
      <sz val="18"/>
      <name val="宋体"/>
      <charset val="134"/>
    </font>
    <font>
      <b/>
      <sz val="20"/>
      <name val="宋体"/>
      <charset val="134"/>
    </font>
    <font>
      <b/>
      <sz val="16"/>
      <name val="宋体"/>
      <charset val="134"/>
    </font>
    <font>
      <sz val="9"/>
      <name val="宋体"/>
      <charset val="134"/>
    </font>
    <font>
      <sz val="9.7"/>
      <name val="宋体"/>
      <charset val="134"/>
    </font>
    <font>
      <sz val="10"/>
      <color indexed="8"/>
      <name val="宋体"/>
      <charset val="134"/>
    </font>
    <font>
      <b/>
      <sz val="25"/>
      <name val="宋体"/>
      <charset val="134"/>
    </font>
    <font>
      <b/>
      <u/>
      <sz val="22"/>
      <name val="宋体"/>
      <charset val="134"/>
    </font>
    <font>
      <b/>
      <sz val="60"/>
      <name val="宋体"/>
      <charset val="134"/>
    </font>
    <font>
      <b/>
      <u val="singleAccounting"/>
      <sz val="18"/>
      <name val="宋体"/>
      <charset val="134"/>
    </font>
    <font>
      <b/>
      <u/>
      <sz val="18"/>
      <name val="宋体"/>
      <charset val="134"/>
    </font>
    <font>
      <b/>
      <sz val="26"/>
      <name val="宋体"/>
      <charset val="134"/>
    </font>
    <font>
      <b/>
      <sz val="28"/>
      <name val="宋体"/>
      <charset val="134"/>
    </font>
    <font>
      <sz val="14"/>
      <name val="宋体"/>
      <charset val="134"/>
    </font>
    <font>
      <b/>
      <sz val="12"/>
      <name val="宋体"/>
      <charset val="134"/>
    </font>
    <font>
      <b/>
      <sz val="12"/>
      <color indexed="10"/>
      <name val="宋体"/>
      <charset val="134"/>
    </font>
    <font>
      <b/>
      <sz val="15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theme="1"/>
      <name val="宋体"/>
      <charset val="134"/>
      <scheme val="minor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i/>
      <sz val="11"/>
      <color indexed="23"/>
      <name val="宋体"/>
      <charset val="134"/>
    </font>
    <font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b/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9"/>
      <name val="宋体"/>
      <charset val="134"/>
    </font>
    <font>
      <b/>
      <sz val="13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indexed="52"/>
      <name val="宋体"/>
      <charset val="134"/>
    </font>
    <font>
      <sz val="11"/>
      <color indexed="60"/>
      <name val="宋体"/>
      <charset val="134"/>
    </font>
    <font>
      <vertAlign val="superscript"/>
      <sz val="10"/>
      <name val="宋体"/>
      <charset val="134"/>
    </font>
    <font>
      <sz val="18"/>
      <name val="宋体"/>
      <charset val="134"/>
    </font>
    <font>
      <vertAlign val="superscript"/>
      <sz val="10"/>
      <name val="Times New Roman"/>
      <charset val="134"/>
    </font>
    <font>
      <u/>
      <sz val="10"/>
      <name val="宋体"/>
      <charset val="134"/>
    </font>
    <font>
      <u/>
      <sz val="10"/>
      <name val="Times New Roman"/>
      <charset val="134"/>
    </font>
    <font>
      <vertAlign val="subscript"/>
      <sz val="10"/>
      <name val="宋体"/>
      <charset val="134"/>
    </font>
    <font>
      <b/>
      <sz val="10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6">
    <xf numFmtId="0" fontId="0" fillId="0" borderId="0"/>
    <xf numFmtId="42" fontId="31" fillId="0" borderId="0" applyFont="0" applyFill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3" fillId="2" borderId="54" applyNumberFormat="0" applyAlignment="0" applyProtection="0">
      <alignment vertical="center"/>
    </xf>
    <xf numFmtId="44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0" fontId="0" fillId="0" borderId="0" applyProtection="0"/>
    <xf numFmtId="0" fontId="36" fillId="9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14" borderId="60" applyNumberFormat="0" applyFont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9" fillId="0" borderId="52" applyNumberFormat="0" applyFill="0" applyAlignment="0" applyProtection="0">
      <alignment vertical="center"/>
    </xf>
    <xf numFmtId="0" fontId="43" fillId="0" borderId="59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2" fillId="0" borderId="53" applyNumberFormat="0" applyFill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34" fillId="3" borderId="55" applyNumberFormat="0" applyAlignment="0" applyProtection="0">
      <alignment vertical="center"/>
    </xf>
    <xf numFmtId="0" fontId="46" fillId="3" borderId="54" applyNumberFormat="0" applyAlignment="0" applyProtection="0">
      <alignment vertical="center"/>
    </xf>
    <xf numFmtId="0" fontId="42" fillId="11" borderId="58" applyNumberFormat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0" borderId="57" applyNumberFormat="0" applyFill="0" applyAlignment="0" applyProtection="0">
      <alignment vertical="center"/>
    </xf>
    <xf numFmtId="0" fontId="0" fillId="0" borderId="0"/>
    <xf numFmtId="0" fontId="39" fillId="0" borderId="56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0" fillId="0" borderId="0"/>
    <xf numFmtId="0" fontId="47" fillId="18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15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 applyNumberFormat="0"/>
  </cellStyleXfs>
  <cellXfs count="466">
    <xf numFmtId="0" fontId="0" fillId="0" borderId="0" xfId="0"/>
    <xf numFmtId="0" fontId="1" fillId="0" borderId="0" xfId="34" applyFont="1" applyAlignment="1">
      <alignment vertical="center"/>
    </xf>
    <xf numFmtId="0" fontId="0" fillId="0" borderId="0" xfId="34" applyAlignment="1"/>
    <xf numFmtId="0" fontId="0" fillId="0" borderId="0" xfId="34" applyAlignment="1">
      <alignment vertical="center"/>
    </xf>
    <xf numFmtId="0" fontId="2" fillId="0" borderId="0" xfId="34" applyFont="1" applyAlignment="1">
      <alignment horizontal="center" vertical="center"/>
    </xf>
    <xf numFmtId="0" fontId="3" fillId="0" borderId="0" xfId="34" applyFont="1" applyBorder="1" applyAlignment="1">
      <alignment vertical="center"/>
    </xf>
    <xf numFmtId="0" fontId="3" fillId="0" borderId="1" xfId="34" applyFont="1" applyBorder="1" applyAlignment="1">
      <alignment horizontal="center" vertical="center"/>
    </xf>
    <xf numFmtId="0" fontId="3" fillId="0" borderId="2" xfId="34" applyFont="1" applyBorder="1" applyAlignment="1">
      <alignment horizontal="center" vertical="center"/>
    </xf>
    <xf numFmtId="0" fontId="3" fillId="0" borderId="2" xfId="34" applyFont="1" applyBorder="1" applyAlignment="1">
      <alignment horizontal="center" vertical="center" wrapText="1"/>
    </xf>
    <xf numFmtId="0" fontId="3" fillId="0" borderId="3" xfId="34" applyFont="1" applyBorder="1" applyAlignment="1">
      <alignment horizontal="center" vertical="center"/>
    </xf>
    <xf numFmtId="0" fontId="3" fillId="0" borderId="4" xfId="34" applyFont="1" applyBorder="1" applyAlignment="1">
      <alignment horizontal="center" vertical="center"/>
    </xf>
    <xf numFmtId="0" fontId="3" fillId="0" borderId="5" xfId="34" applyFont="1" applyBorder="1" applyAlignment="1">
      <alignment horizontal="center" vertical="center" shrinkToFit="1"/>
    </xf>
    <xf numFmtId="0" fontId="3" fillId="0" borderId="6" xfId="34" applyFont="1" applyBorder="1" applyAlignment="1">
      <alignment horizontal="center" vertical="center" shrinkToFit="1"/>
    </xf>
    <xf numFmtId="0" fontId="3" fillId="0" borderId="7" xfId="34" applyFont="1" applyBorder="1" applyAlignment="1">
      <alignment horizontal="center" vertical="center" shrinkToFit="1"/>
    </xf>
    <xf numFmtId="0" fontId="3" fillId="0" borderId="4" xfId="34" applyFont="1" applyBorder="1" applyAlignment="1">
      <alignment horizontal="center" vertical="center" wrapText="1"/>
    </xf>
    <xf numFmtId="0" fontId="3" fillId="0" borderId="8" xfId="34" applyFont="1" applyBorder="1" applyAlignment="1">
      <alignment horizontal="center" vertical="center"/>
    </xf>
    <xf numFmtId="0" fontId="3" fillId="0" borderId="9" xfId="34" applyFont="1" applyBorder="1" applyAlignment="1">
      <alignment horizontal="center" vertical="center"/>
    </xf>
    <xf numFmtId="0" fontId="3" fillId="0" borderId="10" xfId="34" applyFont="1" applyBorder="1" applyAlignment="1">
      <alignment horizontal="center" vertical="center"/>
    </xf>
    <xf numFmtId="0" fontId="3" fillId="0" borderId="11" xfId="34" applyFont="1" applyBorder="1" applyAlignment="1">
      <alignment horizontal="center" vertical="center"/>
    </xf>
    <xf numFmtId="0" fontId="3" fillId="0" borderId="12" xfId="34" applyFont="1" applyBorder="1" applyAlignment="1">
      <alignment horizontal="center" vertical="center" textRotation="255" wrapText="1"/>
    </xf>
    <xf numFmtId="0" fontId="3" fillId="0" borderId="13" xfId="34" applyFont="1" applyBorder="1" applyAlignment="1">
      <alignment horizontal="center" vertical="center" textRotation="255" wrapText="1"/>
    </xf>
    <xf numFmtId="0" fontId="3" fillId="0" borderId="13" xfId="34" applyFont="1" applyBorder="1" applyAlignment="1">
      <alignment horizontal="center" vertical="center" wrapText="1"/>
    </xf>
    <xf numFmtId="0" fontId="3" fillId="0" borderId="3" xfId="34" applyFont="1" applyBorder="1" applyAlignment="1">
      <alignment horizontal="center" vertical="center" textRotation="255" wrapText="1"/>
    </xf>
    <xf numFmtId="0" fontId="3" fillId="0" borderId="4" xfId="34" applyFont="1" applyBorder="1" applyAlignment="1">
      <alignment horizontal="center" vertical="center" textRotation="255" wrapText="1"/>
    </xf>
    <xf numFmtId="180" fontId="3" fillId="0" borderId="14" xfId="34" applyNumberFormat="1" applyFont="1" applyBorder="1" applyAlignment="1">
      <alignment horizontal="center" vertical="center" textRotation="255" wrapText="1"/>
    </xf>
    <xf numFmtId="184" fontId="3" fillId="0" borderId="14" xfId="34" applyNumberFormat="1" applyFont="1" applyBorder="1" applyAlignment="1">
      <alignment horizontal="center" vertical="center"/>
    </xf>
    <xf numFmtId="181" fontId="3" fillId="0" borderId="14" xfId="34" applyNumberFormat="1" applyFont="1" applyBorder="1" applyAlignment="1">
      <alignment horizontal="center" vertical="center" wrapText="1"/>
    </xf>
    <xf numFmtId="194" fontId="3" fillId="0" borderId="14" xfId="34" applyNumberFormat="1" applyFont="1" applyBorder="1" applyAlignment="1">
      <alignment horizontal="center" vertical="center" wrapText="1"/>
    </xf>
    <xf numFmtId="0" fontId="3" fillId="0" borderId="14" xfId="34" applyFont="1" applyBorder="1" applyAlignment="1">
      <alignment horizontal="center" vertical="center" wrapText="1"/>
    </xf>
    <xf numFmtId="180" fontId="3" fillId="0" borderId="15" xfId="34" applyNumberFormat="1" applyFont="1" applyBorder="1" applyAlignment="1">
      <alignment horizontal="center" vertical="center" textRotation="255" wrapText="1"/>
    </xf>
    <xf numFmtId="184" fontId="3" fillId="0" borderId="15" xfId="34" applyNumberFormat="1" applyFont="1" applyBorder="1" applyAlignment="1">
      <alignment horizontal="center" vertical="center"/>
    </xf>
    <xf numFmtId="181" fontId="3" fillId="0" borderId="15" xfId="34" applyNumberFormat="1" applyFont="1" applyBorder="1" applyAlignment="1">
      <alignment horizontal="center" vertical="center" wrapText="1"/>
    </xf>
    <xf numFmtId="194" fontId="3" fillId="0" borderId="15" xfId="34" applyNumberFormat="1" applyFont="1" applyBorder="1" applyAlignment="1">
      <alignment horizontal="center" vertical="center" wrapText="1"/>
    </xf>
    <xf numFmtId="0" fontId="3" fillId="0" borderId="15" xfId="34" applyFont="1" applyBorder="1" applyAlignment="1">
      <alignment horizontal="center" vertical="center" wrapText="1"/>
    </xf>
    <xf numFmtId="180" fontId="3" fillId="0" borderId="13" xfId="34" applyNumberFormat="1" applyFont="1" applyBorder="1" applyAlignment="1">
      <alignment horizontal="center" vertical="center" textRotation="255" wrapText="1"/>
    </xf>
    <xf numFmtId="184" fontId="3" fillId="0" borderId="13" xfId="34" applyNumberFormat="1" applyFont="1" applyBorder="1" applyAlignment="1">
      <alignment horizontal="center" vertical="center"/>
    </xf>
    <xf numFmtId="181" fontId="3" fillId="0" borderId="13" xfId="34" applyNumberFormat="1" applyFont="1" applyBorder="1" applyAlignment="1">
      <alignment horizontal="center" vertical="center" wrapText="1"/>
    </xf>
    <xf numFmtId="194" fontId="3" fillId="0" borderId="13" xfId="34" applyNumberFormat="1" applyFont="1" applyBorder="1" applyAlignment="1">
      <alignment horizontal="center" vertical="center" wrapText="1"/>
    </xf>
    <xf numFmtId="179" fontId="3" fillId="0" borderId="14" xfId="34" applyNumberFormat="1" applyFont="1" applyBorder="1" applyAlignment="1">
      <alignment horizontal="center" vertical="center" textRotation="255" wrapText="1"/>
    </xf>
    <xf numFmtId="179" fontId="3" fillId="0" borderId="15" xfId="34" applyNumberFormat="1" applyFont="1" applyBorder="1" applyAlignment="1">
      <alignment horizontal="center" vertical="center" textRotation="255" wrapText="1"/>
    </xf>
    <xf numFmtId="179" fontId="3" fillId="0" borderId="13" xfId="34" applyNumberFormat="1" applyFont="1" applyBorder="1" applyAlignment="1">
      <alignment horizontal="center" vertical="center" textRotation="255" wrapText="1"/>
    </xf>
    <xf numFmtId="178" fontId="3" fillId="0" borderId="14" xfId="34" applyNumberFormat="1" applyFont="1" applyBorder="1" applyAlignment="1">
      <alignment horizontal="center" vertical="center" textRotation="255" wrapText="1"/>
    </xf>
    <xf numFmtId="178" fontId="3" fillId="0" borderId="15" xfId="34" applyNumberFormat="1" applyFont="1" applyBorder="1" applyAlignment="1">
      <alignment horizontal="center" vertical="center" textRotation="255" wrapText="1"/>
    </xf>
    <xf numFmtId="178" fontId="3" fillId="0" borderId="13" xfId="34" applyNumberFormat="1" applyFont="1" applyBorder="1" applyAlignment="1">
      <alignment horizontal="center" vertical="center" textRotation="255" wrapText="1"/>
    </xf>
    <xf numFmtId="0" fontId="3" fillId="0" borderId="8" xfId="34" applyFont="1" applyBorder="1" applyAlignment="1">
      <alignment horizontal="center" vertical="center" wrapText="1"/>
    </xf>
    <xf numFmtId="0" fontId="3" fillId="0" borderId="9" xfId="34" applyFont="1" applyBorder="1" applyAlignment="1">
      <alignment horizontal="center" vertical="center" wrapText="1"/>
    </xf>
    <xf numFmtId="0" fontId="3" fillId="0" borderId="0" xfId="34" applyFont="1" applyBorder="1" applyAlignment="1">
      <alignment horizontal="left"/>
    </xf>
    <xf numFmtId="0" fontId="4" fillId="0" borderId="0" xfId="34" applyFont="1" applyBorder="1" applyAlignment="1">
      <alignment horizontal="left"/>
    </xf>
    <xf numFmtId="0" fontId="0" fillId="0" borderId="0" xfId="34" applyFont="1" applyAlignment="1">
      <alignment horizontal="right" vertical="center"/>
    </xf>
    <xf numFmtId="0" fontId="3" fillId="0" borderId="0" xfId="34" applyFont="1" applyBorder="1" applyAlignment="1">
      <alignment horizontal="right" vertical="center"/>
    </xf>
    <xf numFmtId="188" fontId="3" fillId="0" borderId="0" xfId="0" applyNumberFormat="1" applyFont="1" applyBorder="1" applyAlignment="1">
      <alignment horizontal="right" vertical="center"/>
    </xf>
    <xf numFmtId="177" fontId="3" fillId="0" borderId="0" xfId="0" applyNumberFormat="1" applyFont="1" applyBorder="1" applyAlignment="1">
      <alignment horizontal="left" vertical="center"/>
    </xf>
    <xf numFmtId="183" fontId="3" fillId="0" borderId="16" xfId="0" applyNumberFormat="1" applyFont="1" applyBorder="1" applyAlignment="1">
      <alignment horizontal="center" vertical="center"/>
    </xf>
    <xf numFmtId="183" fontId="3" fillId="0" borderId="17" xfId="0" applyNumberFormat="1" applyFont="1" applyBorder="1" applyAlignment="1">
      <alignment horizontal="center" vertical="center"/>
    </xf>
    <xf numFmtId="183" fontId="3" fillId="0" borderId="18" xfId="0" applyNumberFormat="1" applyFont="1" applyBorder="1" applyAlignment="1">
      <alignment horizontal="center" vertical="center"/>
    </xf>
    <xf numFmtId="194" fontId="3" fillId="0" borderId="4" xfId="34" applyNumberFormat="1" applyFont="1" applyBorder="1" applyAlignment="1">
      <alignment horizontal="center" vertical="center"/>
    </xf>
    <xf numFmtId="194" fontId="3" fillId="0" borderId="19" xfId="34" applyNumberFormat="1" applyFont="1" applyBorder="1" applyAlignment="1">
      <alignment horizontal="center" vertical="center"/>
    </xf>
    <xf numFmtId="0" fontId="3" fillId="0" borderId="20" xfId="34" applyFont="1" applyBorder="1" applyAlignment="1">
      <alignment horizontal="center" vertical="center"/>
    </xf>
    <xf numFmtId="187" fontId="3" fillId="0" borderId="9" xfId="34" applyNumberFormat="1" applyFont="1" applyBorder="1" applyAlignment="1">
      <alignment horizontal="center" vertical="center"/>
    </xf>
    <xf numFmtId="187" fontId="3" fillId="0" borderId="21" xfId="34" applyNumberFormat="1" applyFont="1" applyBorder="1" applyAlignment="1">
      <alignment horizontal="center" vertical="center"/>
    </xf>
    <xf numFmtId="0" fontId="3" fillId="0" borderId="22" xfId="34" applyFont="1" applyBorder="1" applyAlignment="1">
      <alignment horizontal="center" vertical="center" wrapText="1"/>
    </xf>
    <xf numFmtId="0" fontId="3" fillId="0" borderId="19" xfId="34" applyFont="1" applyBorder="1" applyAlignment="1">
      <alignment horizontal="center" vertical="center" wrapText="1"/>
    </xf>
    <xf numFmtId="196" fontId="3" fillId="0" borderId="4" xfId="34" applyNumberFormat="1" applyFont="1" applyBorder="1" applyAlignment="1">
      <alignment horizontal="center" vertical="center" wrapText="1"/>
    </xf>
    <xf numFmtId="198" fontId="3" fillId="0" borderId="4" xfId="34" applyNumberFormat="1" applyFont="1" applyBorder="1" applyAlignment="1">
      <alignment horizontal="center" vertical="center" wrapText="1"/>
    </xf>
    <xf numFmtId="198" fontId="3" fillId="0" borderId="14" xfId="34" applyNumberFormat="1" applyFont="1" applyBorder="1" applyAlignment="1">
      <alignment horizontal="center" vertical="center" wrapText="1"/>
    </xf>
    <xf numFmtId="198" fontId="3" fillId="0" borderId="23" xfId="34" applyNumberFormat="1" applyFont="1" applyBorder="1" applyAlignment="1">
      <alignment horizontal="center" vertical="center" wrapText="1"/>
    </xf>
    <xf numFmtId="198" fontId="3" fillId="0" borderId="15" xfId="34" applyNumberFormat="1" applyFont="1" applyBorder="1" applyAlignment="1">
      <alignment horizontal="center" vertical="center" wrapText="1"/>
    </xf>
    <xf numFmtId="198" fontId="3" fillId="0" borderId="24" xfId="34" applyNumberFormat="1" applyFont="1" applyBorder="1" applyAlignment="1">
      <alignment horizontal="center" vertical="center" wrapText="1"/>
    </xf>
    <xf numFmtId="198" fontId="3" fillId="0" borderId="13" xfId="34" applyNumberFormat="1" applyFont="1" applyBorder="1" applyAlignment="1">
      <alignment horizontal="center" vertical="center" wrapText="1"/>
    </xf>
    <xf numFmtId="198" fontId="3" fillId="0" borderId="22" xfId="34" applyNumberFormat="1" applyFont="1" applyBorder="1" applyAlignment="1">
      <alignment horizontal="center" vertical="center" wrapText="1"/>
    </xf>
    <xf numFmtId="196" fontId="3" fillId="0" borderId="4" xfId="31" applyNumberFormat="1" applyFont="1" applyBorder="1" applyAlignment="1">
      <alignment horizontal="center" vertical="center" wrapText="1" shrinkToFit="1"/>
    </xf>
    <xf numFmtId="196" fontId="3" fillId="0" borderId="4" xfId="0" applyNumberFormat="1" applyFont="1" applyBorder="1" applyAlignment="1">
      <alignment horizontal="center" vertical="center" wrapText="1"/>
    </xf>
    <xf numFmtId="0" fontId="3" fillId="0" borderId="21" xfId="34" applyFont="1" applyBorder="1" applyAlignment="1">
      <alignment horizontal="center" vertical="center" wrapText="1"/>
    </xf>
    <xf numFmtId="0" fontId="5" fillId="0" borderId="4" xfId="34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0" fillId="0" borderId="0" xfId="34" applyFont="1" applyAlignment="1">
      <alignment vertical="center"/>
    </xf>
    <xf numFmtId="196" fontId="0" fillId="0" borderId="0" xfId="34" applyNumberFormat="1" applyAlignment="1">
      <alignment vertical="center"/>
    </xf>
    <xf numFmtId="0" fontId="7" fillId="0" borderId="4" xfId="53" applyFont="1" applyBorder="1" applyAlignment="1">
      <alignment horizontal="center" vertical="center"/>
    </xf>
    <xf numFmtId="198" fontId="0" fillId="0" borderId="0" xfId="34" applyNumberFormat="1" applyAlignment="1">
      <alignment vertical="center"/>
    </xf>
    <xf numFmtId="0" fontId="7" fillId="0" borderId="4" xfId="53" applyFont="1" applyBorder="1">
      <alignment vertical="center"/>
    </xf>
    <xf numFmtId="0" fontId="0" fillId="0" borderId="4" xfId="6" applyNumberFormat="1" applyFont="1" applyFill="1" applyBorder="1" applyAlignment="1">
      <alignment horizontal="center" vertical="center"/>
    </xf>
    <xf numFmtId="196" fontId="0" fillId="0" borderId="4" xfId="6" applyNumberFormat="1" applyFont="1" applyFill="1" applyBorder="1" applyAlignment="1">
      <alignment horizontal="center" vertical="center"/>
    </xf>
    <xf numFmtId="198" fontId="0" fillId="0" borderId="4" xfId="6" applyNumberFormat="1" applyFont="1" applyFill="1" applyBorder="1" applyAlignment="1">
      <alignment horizontal="center" vertical="center"/>
    </xf>
    <xf numFmtId="192" fontId="0" fillId="0" borderId="0" xfId="34" applyNumberFormat="1" applyAlignment="1">
      <alignment vertical="center"/>
    </xf>
    <xf numFmtId="0" fontId="7" fillId="0" borderId="0" xfId="55" applyFont="1" applyAlignment="1">
      <alignment vertical="center"/>
    </xf>
    <xf numFmtId="0" fontId="1" fillId="0" borderId="0" xfId="54" applyFont="1" applyAlignment="1">
      <alignment horizontal="left" vertical="center"/>
    </xf>
    <xf numFmtId="0" fontId="7" fillId="0" borderId="0" xfId="55" applyFont="1" applyAlignment="1">
      <alignment horizontal="center" vertical="center"/>
    </xf>
    <xf numFmtId="0" fontId="7" fillId="0" borderId="0" xfId="55" applyFont="1"/>
    <xf numFmtId="0" fontId="2" fillId="0" borderId="0" xfId="55" applyFont="1" applyAlignment="1">
      <alignment horizontal="center" vertical="center"/>
    </xf>
    <xf numFmtId="0" fontId="3" fillId="0" borderId="0" xfId="54" applyFont="1" applyBorder="1" applyAlignment="1">
      <alignment vertical="center"/>
    </xf>
    <xf numFmtId="0" fontId="3" fillId="0" borderId="1" xfId="55" applyFont="1" applyBorder="1" applyAlignment="1">
      <alignment horizontal="center" vertical="center"/>
    </xf>
    <xf numFmtId="0" fontId="3" fillId="0" borderId="16" xfId="55" applyFont="1" applyBorder="1" applyAlignment="1">
      <alignment horizontal="center" vertical="center"/>
    </xf>
    <xf numFmtId="0" fontId="3" fillId="0" borderId="17" xfId="55" applyFont="1" applyBorder="1" applyAlignment="1">
      <alignment horizontal="center" vertical="center"/>
    </xf>
    <xf numFmtId="0" fontId="3" fillId="0" borderId="25" xfId="55" applyFont="1" applyBorder="1" applyAlignment="1">
      <alignment horizontal="center" vertical="center"/>
    </xf>
    <xf numFmtId="0" fontId="3" fillId="0" borderId="2" xfId="55" applyFont="1" applyBorder="1" applyAlignment="1">
      <alignment horizontal="center" vertical="center"/>
    </xf>
    <xf numFmtId="0" fontId="3" fillId="0" borderId="3" xfId="55" applyFont="1" applyBorder="1" applyAlignment="1">
      <alignment horizontal="center" vertical="center"/>
    </xf>
    <xf numFmtId="0" fontId="8" fillId="0" borderId="5" xfId="55" applyFont="1" applyBorder="1" applyAlignment="1">
      <alignment horizontal="center" vertical="center" wrapText="1" shrinkToFit="1"/>
    </xf>
    <xf numFmtId="0" fontId="8" fillId="0" borderId="6" xfId="55" applyFont="1" applyBorder="1" applyAlignment="1">
      <alignment horizontal="center" vertical="center" wrapText="1" shrinkToFit="1"/>
    </xf>
    <xf numFmtId="0" fontId="8" fillId="0" borderId="7" xfId="55" applyFont="1" applyBorder="1" applyAlignment="1">
      <alignment horizontal="center" vertical="center" wrapText="1" shrinkToFit="1"/>
    </xf>
    <xf numFmtId="0" fontId="3" fillId="0" borderId="4" xfId="55" applyFont="1" applyBorder="1" applyAlignment="1">
      <alignment horizontal="center" vertical="center"/>
    </xf>
    <xf numFmtId="0" fontId="3" fillId="0" borderId="8" xfId="55" applyFont="1" applyBorder="1" applyAlignment="1">
      <alignment horizontal="center" vertical="center"/>
    </xf>
    <xf numFmtId="0" fontId="3" fillId="0" borderId="10" xfId="55" applyFont="1" applyBorder="1" applyAlignment="1">
      <alignment horizontal="center" vertical="center"/>
    </xf>
    <xf numFmtId="0" fontId="3" fillId="0" borderId="11" xfId="55" applyFont="1" applyBorder="1" applyAlignment="1">
      <alignment horizontal="center" vertical="center"/>
    </xf>
    <xf numFmtId="0" fontId="3" fillId="0" borderId="20" xfId="55" applyFont="1" applyBorder="1" applyAlignment="1">
      <alignment horizontal="center" vertical="center"/>
    </xf>
    <xf numFmtId="0" fontId="3" fillId="0" borderId="9" xfId="55" applyFont="1" applyBorder="1" applyAlignment="1">
      <alignment horizontal="center" vertical="center" wrapText="1"/>
    </xf>
    <xf numFmtId="0" fontId="9" fillId="0" borderId="9" xfId="55" applyFont="1" applyBorder="1" applyAlignment="1">
      <alignment horizontal="center" vertical="center"/>
    </xf>
    <xf numFmtId="0" fontId="3" fillId="0" borderId="12" xfId="55" applyFont="1" applyBorder="1" applyAlignment="1">
      <alignment horizontal="center" vertical="center"/>
    </xf>
    <xf numFmtId="0" fontId="3" fillId="0" borderId="26" xfId="55" applyFont="1" applyBorder="1" applyAlignment="1">
      <alignment horizontal="center" vertical="center"/>
    </xf>
    <xf numFmtId="0" fontId="3" fillId="0" borderId="27" xfId="55" applyFont="1" applyBorder="1" applyAlignment="1">
      <alignment horizontal="center" vertical="center"/>
    </xf>
    <xf numFmtId="0" fontId="3" fillId="0" borderId="28" xfId="55" applyFont="1" applyBorder="1" applyAlignment="1">
      <alignment horizontal="center" vertical="center"/>
    </xf>
    <xf numFmtId="0" fontId="3" fillId="0" borderId="13" xfId="55" applyFont="1" applyBorder="1" applyAlignment="1">
      <alignment horizontal="center" vertical="center" wrapText="1"/>
    </xf>
    <xf numFmtId="0" fontId="3" fillId="0" borderId="5" xfId="55" applyFont="1" applyBorder="1" applyAlignment="1">
      <alignment horizontal="center" vertical="center"/>
    </xf>
    <xf numFmtId="0" fontId="3" fillId="0" borderId="6" xfId="55" applyFont="1" applyBorder="1" applyAlignment="1">
      <alignment horizontal="center" vertical="center"/>
    </xf>
    <xf numFmtId="0" fontId="3" fillId="0" borderId="7" xfId="55" applyFont="1" applyBorder="1" applyAlignment="1">
      <alignment horizontal="center" vertical="center"/>
    </xf>
    <xf numFmtId="2" fontId="3" fillId="0" borderId="5" xfId="55" applyNumberFormat="1" applyFont="1" applyBorder="1" applyAlignment="1">
      <alignment horizontal="center" vertical="center"/>
    </xf>
    <xf numFmtId="0" fontId="3" fillId="0" borderId="29" xfId="55" applyFont="1" applyBorder="1" applyAlignment="1">
      <alignment horizontal="center" vertical="center"/>
    </xf>
    <xf numFmtId="0" fontId="3" fillId="0" borderId="4" xfId="55" applyFont="1" applyBorder="1" applyAlignment="1">
      <alignment horizontal="center" vertical="center" wrapText="1"/>
    </xf>
    <xf numFmtId="0" fontId="3" fillId="0" borderId="14" xfId="55" applyFont="1" applyBorder="1" applyAlignment="1">
      <alignment horizontal="center" vertical="center" wrapText="1"/>
    </xf>
    <xf numFmtId="184" fontId="3" fillId="0" borderId="4" xfId="34" applyNumberFormat="1" applyFont="1" applyBorder="1" applyAlignment="1">
      <alignment horizontal="center" vertical="center"/>
    </xf>
    <xf numFmtId="0" fontId="3" fillId="0" borderId="5" xfId="55" applyFont="1" applyBorder="1" applyAlignment="1">
      <alignment horizontal="center" vertical="center" wrapText="1"/>
    </xf>
    <xf numFmtId="0" fontId="3" fillId="0" borderId="7" xfId="55" applyFont="1" applyBorder="1" applyAlignment="1">
      <alignment horizontal="center" vertical="center" wrapText="1"/>
    </xf>
    <xf numFmtId="191" fontId="3" fillId="0" borderId="4" xfId="55" applyNumberFormat="1" applyFont="1" applyBorder="1" applyAlignment="1">
      <alignment horizontal="center" vertical="center"/>
    </xf>
    <xf numFmtId="0" fontId="3" fillId="0" borderId="30" xfId="55" applyFont="1" applyBorder="1" applyAlignment="1">
      <alignment horizontal="center" vertical="center" wrapText="1"/>
    </xf>
    <xf numFmtId="0" fontId="3" fillId="0" borderId="31" xfId="55" applyFont="1" applyBorder="1" applyAlignment="1">
      <alignment horizontal="center" vertical="center" wrapText="1"/>
    </xf>
    <xf numFmtId="0" fontId="3" fillId="0" borderId="32" xfId="55" applyFont="1" applyBorder="1" applyAlignment="1">
      <alignment horizontal="center" vertical="center" wrapText="1"/>
    </xf>
    <xf numFmtId="0" fontId="3" fillId="0" borderId="26" xfId="55" applyFont="1" applyBorder="1" applyAlignment="1">
      <alignment horizontal="center" vertical="center" wrapText="1"/>
    </xf>
    <xf numFmtId="0" fontId="3" fillId="0" borderId="27" xfId="55" applyFont="1" applyBorder="1" applyAlignment="1">
      <alignment horizontal="center" vertical="center" wrapText="1"/>
    </xf>
    <xf numFmtId="0" fontId="3" fillId="0" borderId="28" xfId="55" applyFont="1" applyBorder="1" applyAlignment="1">
      <alignment horizontal="center" vertical="center" wrapText="1"/>
    </xf>
    <xf numFmtId="184" fontId="3" fillId="0" borderId="5" xfId="55" applyNumberFormat="1" applyFont="1" applyBorder="1" applyAlignment="1">
      <alignment horizontal="center" vertical="center"/>
    </xf>
    <xf numFmtId="184" fontId="3" fillId="0" borderId="4" xfId="55" applyNumberFormat="1" applyFont="1" applyBorder="1" applyAlignment="1">
      <alignment horizontal="center" vertical="center"/>
    </xf>
    <xf numFmtId="0" fontId="3" fillId="0" borderId="5" xfId="55" applyFont="1" applyBorder="1" applyAlignment="1">
      <alignment horizontal="right" vertical="center"/>
    </xf>
    <xf numFmtId="0" fontId="3" fillId="0" borderId="6" xfId="55" applyFont="1" applyBorder="1" applyAlignment="1">
      <alignment horizontal="right" vertical="center"/>
    </xf>
    <xf numFmtId="0" fontId="3" fillId="0" borderId="6" xfId="55" applyFont="1" applyBorder="1" applyAlignment="1">
      <alignment horizontal="left" vertical="center"/>
    </xf>
    <xf numFmtId="0" fontId="3" fillId="0" borderId="8" xfId="55" applyFont="1" applyBorder="1" applyAlignment="1">
      <alignment horizontal="left" vertical="center"/>
    </xf>
    <xf numFmtId="0" fontId="3" fillId="0" borderId="9" xfId="55" applyFont="1" applyBorder="1" applyAlignment="1">
      <alignment horizontal="left" vertical="center"/>
    </xf>
    <xf numFmtId="0" fontId="3" fillId="0" borderId="33" xfId="55" applyFont="1" applyBorder="1" applyAlignment="1">
      <alignment horizontal="left" vertical="center"/>
    </xf>
    <xf numFmtId="0" fontId="3" fillId="0" borderId="0" xfId="55" applyFont="1" applyAlignment="1">
      <alignment horizontal="left"/>
    </xf>
    <xf numFmtId="190" fontId="7" fillId="0" borderId="0" xfId="55" applyNumberFormat="1" applyFont="1"/>
    <xf numFmtId="0" fontId="0" fillId="0" borderId="0" xfId="55" applyFont="1" applyAlignment="1">
      <alignment horizontal="right" vertical="center"/>
    </xf>
    <xf numFmtId="0" fontId="3" fillId="0" borderId="0" xfId="55" applyFont="1" applyBorder="1" applyAlignment="1">
      <alignment horizontal="right" vertical="center"/>
    </xf>
    <xf numFmtId="194" fontId="3" fillId="0" borderId="4" xfId="55" applyNumberFormat="1" applyFont="1" applyBorder="1" applyAlignment="1">
      <alignment horizontal="center" vertical="center"/>
    </xf>
    <xf numFmtId="194" fontId="3" fillId="0" borderId="19" xfId="55" applyNumberFormat="1" applyFont="1" applyBorder="1" applyAlignment="1">
      <alignment horizontal="center" vertical="center"/>
    </xf>
    <xf numFmtId="176" fontId="3" fillId="0" borderId="4" xfId="55" applyNumberFormat="1" applyFont="1" applyBorder="1" applyAlignment="1">
      <alignment horizontal="center" vertical="center"/>
    </xf>
    <xf numFmtId="176" fontId="3" fillId="0" borderId="19" xfId="55" applyNumberFormat="1" applyFont="1" applyBorder="1" applyAlignment="1">
      <alignment horizontal="center" vertical="center"/>
    </xf>
    <xf numFmtId="0" fontId="10" fillId="0" borderId="4" xfId="55" applyFont="1" applyBorder="1" applyAlignment="1">
      <alignment horizontal="center" vertical="center" wrapText="1"/>
    </xf>
    <xf numFmtId="49" fontId="3" fillId="0" borderId="9" xfId="55" applyNumberFormat="1" applyFont="1" applyBorder="1" applyAlignment="1">
      <alignment horizontal="center" vertical="center"/>
    </xf>
    <xf numFmtId="49" fontId="3" fillId="0" borderId="21" xfId="55" applyNumberFormat="1" applyFont="1" applyBorder="1" applyAlignment="1">
      <alignment horizontal="center" vertical="center"/>
    </xf>
    <xf numFmtId="198" fontId="11" fillId="0" borderId="4" xfId="55" applyNumberFormat="1" applyFont="1" applyBorder="1" applyAlignment="1">
      <alignment horizontal="center" vertical="center"/>
    </xf>
    <xf numFmtId="0" fontId="3" fillId="0" borderId="13" xfId="55" applyFont="1" applyBorder="1" applyAlignment="1">
      <alignment horizontal="center" vertical="center"/>
    </xf>
    <xf numFmtId="0" fontId="3" fillId="0" borderId="22" xfId="55" applyFont="1" applyBorder="1" applyAlignment="1">
      <alignment horizontal="center" vertical="center"/>
    </xf>
    <xf numFmtId="0" fontId="3" fillId="0" borderId="19" xfId="55" applyFont="1" applyBorder="1"/>
    <xf numFmtId="187" fontId="3" fillId="0" borderId="4" xfId="55" applyNumberFormat="1" applyFont="1" applyBorder="1" applyAlignment="1">
      <alignment horizontal="center" vertical="center"/>
    </xf>
    <xf numFmtId="0" fontId="3" fillId="0" borderId="19" xfId="55" applyFont="1" applyBorder="1" applyAlignment="1">
      <alignment horizontal="center" vertical="center"/>
    </xf>
    <xf numFmtId="0" fontId="7" fillId="0" borderId="14" xfId="55" applyFont="1" applyBorder="1" applyAlignment="1">
      <alignment horizontal="center" vertical="center"/>
    </xf>
    <xf numFmtId="0" fontId="3" fillId="0" borderId="19" xfId="55" applyFont="1" applyBorder="1" applyAlignment="1">
      <alignment horizontal="center" vertical="center" wrapText="1"/>
    </xf>
    <xf numFmtId="0" fontId="7" fillId="0" borderId="13" xfId="55" applyFont="1" applyBorder="1" applyAlignment="1">
      <alignment horizontal="center" vertical="center"/>
    </xf>
    <xf numFmtId="184" fontId="3" fillId="0" borderId="7" xfId="34" applyNumberFormat="1" applyFont="1" applyBorder="1" applyAlignment="1">
      <alignment horizontal="center" vertical="center" wrapText="1"/>
    </xf>
    <xf numFmtId="0" fontId="3" fillId="0" borderId="19" xfId="55" applyFont="1" applyBorder="1" applyAlignment="1">
      <alignment horizontal="center" vertical="center" shrinkToFit="1"/>
    </xf>
    <xf numFmtId="184" fontId="7" fillId="0" borderId="0" xfId="55" applyNumberFormat="1" applyFont="1" applyAlignment="1">
      <alignment horizontal="center" vertical="center"/>
    </xf>
    <xf numFmtId="0" fontId="3" fillId="0" borderId="4" xfId="55" applyFont="1" applyBorder="1" applyAlignment="1">
      <alignment horizontal="left" vertical="center" wrapText="1"/>
    </xf>
    <xf numFmtId="0" fontId="3" fillId="0" borderId="19" xfId="55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3" fillId="0" borderId="35" xfId="55" applyFont="1" applyBorder="1" applyAlignment="1">
      <alignment horizontal="left" vertical="center"/>
    </xf>
    <xf numFmtId="196" fontId="7" fillId="0" borderId="0" xfId="55" applyNumberFormat="1" applyFont="1"/>
    <xf numFmtId="0" fontId="0" fillId="0" borderId="4" xfId="34" applyFont="1" applyBorder="1" applyAlignment="1">
      <alignment horizontal="center" vertical="center" wrapText="1"/>
    </xf>
    <xf numFmtId="0" fontId="0" fillId="0" borderId="4" xfId="34" applyFont="1" applyBorder="1" applyAlignment="1">
      <alignment horizontal="center" vertical="center"/>
    </xf>
    <xf numFmtId="0" fontId="0" fillId="0" borderId="0" xfId="34" applyBorder="1" applyAlignment="1">
      <alignment vertical="center"/>
    </xf>
    <xf numFmtId="0" fontId="12" fillId="0" borderId="4" xfId="34" applyFont="1" applyBorder="1" applyAlignment="1">
      <alignment horizontal="center" vertical="center"/>
    </xf>
    <xf numFmtId="0" fontId="10" fillId="0" borderId="4" xfId="55" applyFont="1" applyBorder="1" applyAlignment="1">
      <alignment horizontal="center" vertical="center"/>
    </xf>
    <xf numFmtId="192" fontId="10" fillId="0" borderId="4" xfId="55" applyNumberFormat="1" applyFont="1" applyBorder="1" applyAlignment="1">
      <alignment horizontal="center" vertical="center"/>
    </xf>
    <xf numFmtId="192" fontId="10" fillId="0" borderId="5" xfId="55" applyNumberFormat="1" applyFont="1" applyBorder="1" applyAlignment="1">
      <alignment horizontal="center" vertical="center"/>
    </xf>
    <xf numFmtId="192" fontId="10" fillId="0" borderId="7" xfId="55" applyNumberFormat="1" applyFont="1" applyBorder="1" applyAlignment="1">
      <alignment horizontal="center" vertical="center"/>
    </xf>
    <xf numFmtId="191" fontId="10" fillId="0" borderId="5" xfId="55" applyNumberFormat="1" applyFont="1" applyBorder="1" applyAlignment="1">
      <alignment horizontal="center" vertical="center"/>
    </xf>
    <xf numFmtId="191" fontId="10" fillId="0" borderId="7" xfId="55" applyNumberFormat="1" applyFont="1" applyBorder="1" applyAlignment="1">
      <alignment horizontal="center" vertical="center"/>
    </xf>
    <xf numFmtId="190" fontId="7" fillId="0" borderId="0" xfId="55" applyNumberFormat="1" applyFont="1" applyAlignment="1">
      <alignment horizontal="center" vertical="center"/>
    </xf>
    <xf numFmtId="0" fontId="10" fillId="0" borderId="0" xfId="55" applyFont="1" applyAlignment="1">
      <alignment vertical="center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0" fillId="0" borderId="0" xfId="0" applyFont="1"/>
    <xf numFmtId="0" fontId="15" fillId="0" borderId="0" xfId="0" applyFont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0" fillId="0" borderId="0" xfId="0" applyBorder="1"/>
    <xf numFmtId="0" fontId="0" fillId="0" borderId="0" xfId="0" applyFont="1" applyAlignment="1">
      <alignment horizontal="right" vertical="center"/>
    </xf>
    <xf numFmtId="194" fontId="3" fillId="0" borderId="4" xfId="0" applyNumberFormat="1" applyFont="1" applyBorder="1" applyAlignment="1">
      <alignment horizontal="center" vertical="center"/>
    </xf>
    <xf numFmtId="194" fontId="3" fillId="0" borderId="5" xfId="0" applyNumberFormat="1" applyFont="1" applyBorder="1" applyAlignment="1">
      <alignment horizontal="center" vertical="center"/>
    </xf>
    <xf numFmtId="194" fontId="3" fillId="0" borderId="19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184" fontId="3" fillId="0" borderId="30" xfId="0" applyNumberFormat="1" applyFont="1" applyBorder="1" applyAlignment="1">
      <alignment horizontal="center" vertical="center" wrapText="1"/>
    </xf>
    <xf numFmtId="184" fontId="3" fillId="0" borderId="31" xfId="0" applyNumberFormat="1" applyFont="1" applyBorder="1" applyAlignment="1">
      <alignment horizontal="center" vertical="center" wrapText="1"/>
    </xf>
    <xf numFmtId="184" fontId="3" fillId="0" borderId="37" xfId="0" applyNumberFormat="1" applyFont="1" applyBorder="1" applyAlignment="1">
      <alignment horizontal="center" vertical="center" wrapText="1"/>
    </xf>
    <xf numFmtId="184" fontId="3" fillId="0" borderId="26" xfId="0" applyNumberFormat="1" applyFont="1" applyBorder="1" applyAlignment="1">
      <alignment horizontal="center" vertical="center" wrapText="1"/>
    </xf>
    <xf numFmtId="184" fontId="3" fillId="0" borderId="27" xfId="0" applyNumberFormat="1" applyFont="1" applyBorder="1" applyAlignment="1">
      <alignment horizontal="center" vertical="center" wrapText="1"/>
    </xf>
    <xf numFmtId="184" fontId="3" fillId="0" borderId="38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left" vertical="center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 wrapText="1"/>
    </xf>
    <xf numFmtId="0" fontId="0" fillId="0" borderId="0" xfId="34" applyAlignment="1">
      <alignment horizontal="center" vertical="center"/>
    </xf>
    <xf numFmtId="0" fontId="3" fillId="0" borderId="40" xfId="34" applyFont="1" applyBorder="1" applyAlignment="1">
      <alignment horizontal="center" vertical="center"/>
    </xf>
    <xf numFmtId="0" fontId="3" fillId="0" borderId="17" xfId="34" applyFont="1" applyBorder="1" applyAlignment="1">
      <alignment horizontal="center" vertical="center"/>
    </xf>
    <xf numFmtId="0" fontId="3" fillId="0" borderId="25" xfId="34" applyFont="1" applyBorder="1" applyAlignment="1">
      <alignment horizontal="center" vertical="center"/>
    </xf>
    <xf numFmtId="0" fontId="3" fillId="0" borderId="16" xfId="34" applyFont="1" applyBorder="1" applyAlignment="1">
      <alignment horizontal="center" vertical="center" wrapText="1" shrinkToFit="1"/>
    </xf>
    <xf numFmtId="0" fontId="3" fillId="0" borderId="17" xfId="34" applyFont="1" applyBorder="1" applyAlignment="1">
      <alignment horizontal="center" vertical="center" wrapText="1" shrinkToFit="1"/>
    </xf>
    <xf numFmtId="0" fontId="3" fillId="0" borderId="25" xfId="34" applyFont="1" applyBorder="1" applyAlignment="1">
      <alignment horizontal="center" vertical="center" wrapText="1" shrinkToFit="1"/>
    </xf>
    <xf numFmtId="0" fontId="3" fillId="0" borderId="29" xfId="34" applyFont="1" applyBorder="1" applyAlignment="1">
      <alignment horizontal="center" vertical="center"/>
    </xf>
    <xf numFmtId="0" fontId="3" fillId="0" borderId="6" xfId="34" applyFont="1" applyBorder="1" applyAlignment="1">
      <alignment horizontal="center" vertical="center"/>
    </xf>
    <xf numFmtId="0" fontId="3" fillId="0" borderId="7" xfId="34" applyFont="1" applyBorder="1" applyAlignment="1">
      <alignment horizontal="center" vertical="center"/>
    </xf>
    <xf numFmtId="0" fontId="16" fillId="0" borderId="5" xfId="34" applyFont="1" applyBorder="1" applyAlignment="1">
      <alignment horizontal="center" vertical="center" wrapText="1" shrinkToFit="1"/>
    </xf>
    <xf numFmtId="0" fontId="16" fillId="0" borderId="6" xfId="34" applyFont="1" applyBorder="1" applyAlignment="1">
      <alignment horizontal="center" vertical="center" wrapText="1" shrinkToFit="1"/>
    </xf>
    <xf numFmtId="0" fontId="3" fillId="0" borderId="36" xfId="34" applyFont="1" applyBorder="1" applyAlignment="1">
      <alignment horizontal="center" vertical="center"/>
    </xf>
    <xf numFmtId="0" fontId="3" fillId="0" borderId="12" xfId="34" applyFont="1" applyBorder="1" applyAlignment="1">
      <alignment horizontal="left" vertical="center"/>
    </xf>
    <xf numFmtId="0" fontId="3" fillId="0" borderId="13" xfId="34" applyFont="1" applyBorder="1" applyAlignment="1">
      <alignment horizontal="left" vertical="center"/>
    </xf>
    <xf numFmtId="0" fontId="3" fillId="0" borderId="30" xfId="34" applyFont="1" applyBorder="1" applyAlignment="1">
      <alignment horizontal="center" vertical="center" wrapText="1"/>
    </xf>
    <xf numFmtId="0" fontId="3" fillId="0" borderId="31" xfId="34" applyFont="1" applyBorder="1" applyAlignment="1">
      <alignment horizontal="center" vertical="center" wrapText="1"/>
    </xf>
    <xf numFmtId="0" fontId="3" fillId="0" borderId="32" xfId="34" applyFont="1" applyBorder="1" applyAlignment="1">
      <alignment horizontal="center" vertical="center" wrapText="1"/>
    </xf>
    <xf numFmtId="0" fontId="3" fillId="0" borderId="26" xfId="34" applyFont="1" applyBorder="1" applyAlignment="1">
      <alignment horizontal="center" vertical="center" wrapText="1"/>
    </xf>
    <xf numFmtId="0" fontId="3" fillId="0" borderId="28" xfId="34" applyFont="1" applyBorder="1" applyAlignment="1">
      <alignment horizontal="center" vertical="center" wrapText="1"/>
    </xf>
    <xf numFmtId="190" fontId="3" fillId="0" borderId="5" xfId="34" applyNumberFormat="1" applyFont="1" applyBorder="1" applyAlignment="1">
      <alignment horizontal="center" vertical="center"/>
    </xf>
    <xf numFmtId="194" fontId="3" fillId="0" borderId="5" xfId="34" applyNumberFormat="1" applyFont="1" applyBorder="1" applyAlignment="1">
      <alignment horizontal="center" vertical="center" wrapText="1"/>
    </xf>
    <xf numFmtId="194" fontId="3" fillId="0" borderId="7" xfId="34" applyNumberFormat="1" applyFont="1" applyBorder="1" applyAlignment="1">
      <alignment horizontal="center" vertical="center" wrapText="1"/>
    </xf>
    <xf numFmtId="0" fontId="3" fillId="0" borderId="41" xfId="34" applyFont="1" applyBorder="1" applyAlignment="1">
      <alignment horizontal="center" vertical="center" wrapText="1"/>
    </xf>
    <xf numFmtId="0" fontId="17" fillId="0" borderId="30" xfId="34" applyFont="1" applyBorder="1" applyAlignment="1">
      <alignment horizontal="center" vertical="center" wrapText="1"/>
    </xf>
    <xf numFmtId="0" fontId="17" fillId="0" borderId="31" xfId="34" applyFont="1" applyBorder="1" applyAlignment="1">
      <alignment horizontal="center" vertical="center" wrapText="1"/>
    </xf>
    <xf numFmtId="0" fontId="3" fillId="0" borderId="12" xfId="34" applyFont="1" applyBorder="1" applyAlignment="1">
      <alignment horizontal="center" vertical="center" wrapText="1"/>
    </xf>
    <xf numFmtId="0" fontId="17" fillId="0" borderId="26" xfId="34" applyFont="1" applyBorder="1" applyAlignment="1">
      <alignment horizontal="center" vertical="center" wrapText="1"/>
    </xf>
    <xf numFmtId="0" fontId="17" fillId="0" borderId="27" xfId="34" applyFont="1" applyBorder="1" applyAlignment="1">
      <alignment horizontal="center" vertical="center" wrapText="1"/>
    </xf>
    <xf numFmtId="0" fontId="3" fillId="0" borderId="42" xfId="34" applyFont="1" applyBorder="1" applyAlignment="1">
      <alignment horizontal="right" vertical="center"/>
    </xf>
    <xf numFmtId="195" fontId="3" fillId="0" borderId="42" xfId="34" applyNumberFormat="1" applyFont="1" applyBorder="1" applyAlignment="1">
      <alignment horizontal="left" vertical="center"/>
    </xf>
    <xf numFmtId="0" fontId="16" fillId="0" borderId="16" xfId="34" applyFont="1" applyBorder="1" applyAlignment="1">
      <alignment horizontal="center" vertical="center" wrapText="1"/>
    </xf>
    <xf numFmtId="0" fontId="16" fillId="0" borderId="17" xfId="34" applyFont="1" applyBorder="1" applyAlignment="1">
      <alignment horizontal="center" vertical="center" wrapText="1"/>
    </xf>
    <xf numFmtId="0" fontId="16" fillId="0" borderId="25" xfId="34" applyFont="1" applyBorder="1" applyAlignment="1">
      <alignment horizontal="center" vertical="center" wrapText="1"/>
    </xf>
    <xf numFmtId="0" fontId="3" fillId="0" borderId="16" xfId="34" applyFont="1" applyBorder="1" applyAlignment="1">
      <alignment horizontal="center" vertical="center"/>
    </xf>
    <xf numFmtId="183" fontId="3" fillId="0" borderId="16" xfId="34" applyNumberFormat="1" applyFont="1" applyBorder="1" applyAlignment="1">
      <alignment horizontal="center" vertical="center"/>
    </xf>
    <xf numFmtId="183" fontId="3" fillId="0" borderId="17" xfId="34" applyNumberFormat="1" applyFont="1" applyBorder="1" applyAlignment="1">
      <alignment horizontal="center" vertical="center"/>
    </xf>
    <xf numFmtId="0" fontId="3" fillId="0" borderId="6" xfId="34" applyFont="1" applyBorder="1" applyAlignment="1">
      <alignment horizontal="center" vertical="center" wrapText="1"/>
    </xf>
    <xf numFmtId="0" fontId="3" fillId="0" borderId="7" xfId="34" applyFont="1" applyBorder="1" applyAlignment="1">
      <alignment horizontal="center" vertical="center" wrapText="1"/>
    </xf>
    <xf numFmtId="0" fontId="3" fillId="0" borderId="5" xfId="34" applyFont="1" applyBorder="1" applyAlignment="1">
      <alignment horizontal="center" vertical="center"/>
    </xf>
    <xf numFmtId="194" fontId="3" fillId="0" borderId="5" xfId="34" applyNumberFormat="1" applyFont="1" applyBorder="1" applyAlignment="1">
      <alignment horizontal="center" vertical="center"/>
    </xf>
    <xf numFmtId="194" fontId="3" fillId="0" borderId="6" xfId="34" applyNumberFormat="1" applyFont="1" applyBorder="1" applyAlignment="1">
      <alignment horizontal="center" vertical="center"/>
    </xf>
    <xf numFmtId="176" fontId="3" fillId="0" borderId="5" xfId="34" applyNumberFormat="1" applyFont="1" applyBorder="1" applyAlignment="1">
      <alignment horizontal="center" vertical="center"/>
    </xf>
    <xf numFmtId="176" fontId="3" fillId="0" borderId="6" xfId="34" applyNumberFormat="1" applyFont="1" applyBorder="1" applyAlignment="1">
      <alignment horizontal="center" vertical="center"/>
    </xf>
    <xf numFmtId="0" fontId="16" fillId="0" borderId="7" xfId="34" applyFont="1" applyBorder="1" applyAlignment="1">
      <alignment horizontal="center" vertical="center" wrapText="1" shrinkToFit="1"/>
    </xf>
    <xf numFmtId="0" fontId="3" fillId="0" borderId="5" xfId="34" applyFont="1" applyBorder="1" applyAlignment="1">
      <alignment horizontal="center" vertical="center" wrapText="1"/>
    </xf>
    <xf numFmtId="0" fontId="0" fillId="0" borderId="7" xfId="0" applyBorder="1"/>
    <xf numFmtId="0" fontId="3" fillId="0" borderId="9" xfId="34" applyFont="1" applyBorder="1" applyAlignment="1">
      <alignment vertical="center" wrapText="1"/>
    </xf>
    <xf numFmtId="20" fontId="3" fillId="0" borderId="10" xfId="34" applyNumberFormat="1" applyFont="1" applyBorder="1" applyAlignment="1">
      <alignment horizontal="center" vertical="center"/>
    </xf>
    <xf numFmtId="194" fontId="3" fillId="0" borderId="4" xfId="34" applyNumberFormat="1" applyFont="1" applyBorder="1" applyAlignment="1">
      <alignment horizontal="center" vertical="center" wrapText="1"/>
    </xf>
    <xf numFmtId="198" fontId="3" fillId="0" borderId="5" xfId="34" applyNumberFormat="1" applyFont="1" applyBorder="1" applyAlignment="1">
      <alignment horizontal="center" vertical="center" wrapText="1"/>
    </xf>
    <xf numFmtId="198" fontId="3" fillId="0" borderId="7" xfId="34" applyNumberFormat="1" applyFont="1" applyBorder="1" applyAlignment="1">
      <alignment horizontal="center" vertical="center" wrapText="1"/>
    </xf>
    <xf numFmtId="0" fontId="17" fillId="0" borderId="0" xfId="34" applyFont="1" applyBorder="1" applyAlignment="1">
      <alignment horizontal="left" shrinkToFit="1"/>
    </xf>
    <xf numFmtId="20" fontId="3" fillId="0" borderId="0" xfId="34" applyNumberFormat="1" applyFont="1" applyBorder="1" applyAlignment="1">
      <alignment horizontal="center" vertical="top" wrapText="1"/>
    </xf>
    <xf numFmtId="183" fontId="3" fillId="0" borderId="18" xfId="34" applyNumberFormat="1" applyFont="1" applyBorder="1" applyAlignment="1">
      <alignment horizontal="center" vertical="center"/>
    </xf>
    <xf numFmtId="0" fontId="0" fillId="0" borderId="0" xfId="34" applyFont="1" applyAlignment="1">
      <alignment horizontal="center" vertical="center"/>
    </xf>
    <xf numFmtId="194" fontId="3" fillId="0" borderId="34" xfId="34" applyNumberFormat="1" applyFont="1" applyBorder="1" applyAlignment="1">
      <alignment horizontal="center" vertical="center"/>
    </xf>
    <xf numFmtId="176" fontId="3" fillId="0" borderId="34" xfId="34" applyNumberFormat="1" applyFont="1" applyBorder="1" applyAlignment="1">
      <alignment horizontal="center" vertical="center"/>
    </xf>
    <xf numFmtId="0" fontId="3" fillId="0" borderId="34" xfId="34" applyFont="1" applyBorder="1" applyAlignment="1">
      <alignment horizontal="center" vertical="center"/>
    </xf>
    <xf numFmtId="0" fontId="3" fillId="0" borderId="39" xfId="34" applyFont="1" applyBorder="1" applyAlignment="1">
      <alignment horizontal="center" vertical="center"/>
    </xf>
    <xf numFmtId="0" fontId="3" fillId="0" borderId="22" xfId="34" applyFont="1" applyBorder="1" applyAlignment="1">
      <alignment horizontal="left" vertical="center"/>
    </xf>
    <xf numFmtId="0" fontId="3" fillId="0" borderId="23" xfId="34" applyFont="1" applyBorder="1" applyAlignment="1">
      <alignment horizontal="center" vertical="center" wrapText="1"/>
    </xf>
    <xf numFmtId="0" fontId="0" fillId="0" borderId="0" xfId="34" applyAlignment="1">
      <alignment horizontal="center" vertical="center" wrapText="1"/>
    </xf>
    <xf numFmtId="196" fontId="0" fillId="0" borderId="0" xfId="34" applyNumberFormat="1" applyAlignment="1">
      <alignment horizontal="center" vertical="center" wrapText="1"/>
    </xf>
    <xf numFmtId="0" fontId="17" fillId="0" borderId="37" xfId="34" applyFont="1" applyBorder="1" applyAlignment="1">
      <alignment horizontal="center" vertical="center" wrapText="1"/>
    </xf>
    <xf numFmtId="0" fontId="0" fillId="0" borderId="0" xfId="34" applyFont="1" applyAlignment="1">
      <alignment horizontal="left" vertical="center"/>
    </xf>
    <xf numFmtId="0" fontId="17" fillId="0" borderId="38" xfId="34" applyFont="1" applyBorder="1" applyAlignment="1">
      <alignment horizontal="center" vertical="center" wrapText="1"/>
    </xf>
    <xf numFmtId="0" fontId="12" fillId="0" borderId="0" xfId="34" applyFont="1" applyAlignment="1">
      <alignment horizontal="left" vertical="center"/>
    </xf>
    <xf numFmtId="0" fontId="0" fillId="0" borderId="0" xfId="34" applyAlignment="1">
      <alignment horizontal="left" vertical="center"/>
    </xf>
    <xf numFmtId="0" fontId="0" fillId="0" borderId="0" xfId="34" applyAlignment="1">
      <alignment horizontal="left"/>
    </xf>
    <xf numFmtId="0" fontId="3" fillId="0" borderId="0" xfId="49" applyFont="1" applyAlignment="1">
      <alignment horizontal="center" vertical="center"/>
    </xf>
    <xf numFmtId="0" fontId="0" fillId="0" borderId="0" xfId="49" applyAlignment="1">
      <alignment horizontal="center"/>
    </xf>
    <xf numFmtId="0" fontId="0" fillId="0" borderId="0" xfId="49" applyAlignment="1">
      <alignment horizontal="center" vertical="center"/>
    </xf>
    <xf numFmtId="0" fontId="15" fillId="0" borderId="0" xfId="49" applyFont="1" applyAlignment="1">
      <alignment horizontal="center" vertical="center"/>
    </xf>
    <xf numFmtId="0" fontId="3" fillId="0" borderId="42" xfId="49" applyFont="1" applyBorder="1" applyAlignment="1">
      <alignment horizontal="left" vertical="center"/>
    </xf>
    <xf numFmtId="0" fontId="3" fillId="0" borderId="42" xfId="49" applyFont="1" applyBorder="1" applyAlignment="1">
      <alignment horizontal="right" vertical="center"/>
    </xf>
    <xf numFmtId="195" fontId="3" fillId="0" borderId="42" xfId="49" applyNumberFormat="1" applyFont="1" applyBorder="1" applyAlignment="1">
      <alignment horizontal="left" vertical="center"/>
    </xf>
    <xf numFmtId="0" fontId="3" fillId="0" borderId="12" xfId="49" applyFont="1" applyBorder="1" applyAlignment="1">
      <alignment horizontal="center" vertical="center"/>
    </xf>
    <xf numFmtId="0" fontId="3" fillId="0" borderId="13" xfId="49" applyFont="1" applyBorder="1" applyAlignment="1">
      <alignment horizontal="center" vertical="center"/>
    </xf>
    <xf numFmtId="183" fontId="3" fillId="0" borderId="13" xfId="49" applyNumberFormat="1" applyFont="1" applyBorder="1" applyAlignment="1">
      <alignment horizontal="center" vertical="center"/>
    </xf>
    <xf numFmtId="0" fontId="3" fillId="0" borderId="3" xfId="49" applyFont="1" applyBorder="1" applyAlignment="1">
      <alignment horizontal="center" vertical="center" wrapText="1"/>
    </xf>
    <xf numFmtId="0" fontId="3" fillId="0" borderId="4" xfId="49" applyFont="1" applyBorder="1" applyAlignment="1">
      <alignment horizontal="center" vertical="center" wrapText="1"/>
    </xf>
    <xf numFmtId="0" fontId="3" fillId="0" borderId="4" xfId="49" applyFont="1" applyBorder="1" applyAlignment="1">
      <alignment horizontal="center" vertical="center"/>
    </xf>
    <xf numFmtId="176" fontId="3" fillId="0" borderId="4" xfId="49" applyNumberFormat="1" applyFont="1" applyBorder="1" applyAlignment="1">
      <alignment horizontal="center" vertical="center"/>
    </xf>
    <xf numFmtId="0" fontId="3" fillId="0" borderId="8" xfId="49" applyFont="1" applyBorder="1" applyAlignment="1">
      <alignment horizontal="center" vertical="center" wrapText="1"/>
    </xf>
    <xf numFmtId="0" fontId="3" fillId="0" borderId="9" xfId="49" applyFont="1" applyBorder="1" applyAlignment="1">
      <alignment horizontal="center" vertical="center" wrapText="1"/>
    </xf>
    <xf numFmtId="0" fontId="3" fillId="0" borderId="12" xfId="49" applyFont="1" applyBorder="1" applyAlignment="1">
      <alignment horizontal="center" vertical="center" wrapText="1"/>
    </xf>
    <xf numFmtId="0" fontId="3" fillId="0" borderId="13" xfId="49" applyFont="1" applyBorder="1" applyAlignment="1">
      <alignment horizontal="center" vertical="center" wrapText="1"/>
    </xf>
    <xf numFmtId="0" fontId="18" fillId="0" borderId="13" xfId="49" applyFont="1" applyBorder="1" applyAlignment="1">
      <alignment horizontal="center" vertical="center" wrapText="1"/>
    </xf>
    <xf numFmtId="197" fontId="3" fillId="0" borderId="13" xfId="49" applyNumberFormat="1" applyFont="1" applyBorder="1" applyAlignment="1">
      <alignment horizontal="center" vertical="center" wrapText="1"/>
    </xf>
    <xf numFmtId="0" fontId="18" fillId="0" borderId="4" xfId="49" applyFont="1" applyBorder="1" applyAlignment="1">
      <alignment horizontal="center" vertical="center" wrapText="1"/>
    </xf>
    <xf numFmtId="189" fontId="3" fillId="0" borderId="4" xfId="49" applyNumberFormat="1" applyFont="1" applyBorder="1" applyAlignment="1">
      <alignment horizontal="center" vertical="center" wrapText="1"/>
    </xf>
    <xf numFmtId="193" fontId="3" fillId="0" borderId="13" xfId="49" applyNumberFormat="1" applyFont="1" applyBorder="1" applyAlignment="1">
      <alignment horizontal="center" vertical="center" wrapText="1"/>
    </xf>
    <xf numFmtId="198" fontId="18" fillId="0" borderId="4" xfId="49" applyNumberFormat="1" applyFont="1" applyBorder="1" applyAlignment="1">
      <alignment horizontal="center" vertical="center" wrapText="1"/>
    </xf>
    <xf numFmtId="186" fontId="3" fillId="0" borderId="13" xfId="49" applyNumberFormat="1" applyFont="1" applyBorder="1" applyAlignment="1">
      <alignment horizontal="center" vertical="center" wrapText="1"/>
    </xf>
    <xf numFmtId="0" fontId="3" fillId="0" borderId="41" xfId="49" applyFont="1" applyBorder="1" applyAlignment="1">
      <alignment horizontal="center" vertical="center" wrapText="1"/>
    </xf>
    <xf numFmtId="0" fontId="3" fillId="0" borderId="14" xfId="49" applyFont="1" applyBorder="1" applyAlignment="1">
      <alignment horizontal="center" vertical="center" wrapText="1"/>
    </xf>
    <xf numFmtId="0" fontId="18" fillId="0" borderId="14" xfId="49" applyFont="1" applyBorder="1" applyAlignment="1">
      <alignment horizontal="center" vertical="center" wrapText="1"/>
    </xf>
    <xf numFmtId="0" fontId="3" fillId="0" borderId="43" xfId="49" applyFont="1" applyBorder="1" applyAlignment="1">
      <alignment horizontal="center" vertical="center" wrapText="1"/>
    </xf>
    <xf numFmtId="0" fontId="3" fillId="0" borderId="15" xfId="49" applyFont="1" applyBorder="1" applyAlignment="1">
      <alignment horizontal="center" vertical="center" wrapText="1"/>
    </xf>
    <xf numFmtId="0" fontId="18" fillId="0" borderId="15" xfId="49" applyFont="1" applyBorder="1" applyAlignment="1">
      <alignment horizontal="center" vertical="center" wrapText="1"/>
    </xf>
    <xf numFmtId="0" fontId="18" fillId="0" borderId="14" xfId="49" applyFont="1" applyBorder="1" applyAlignment="1">
      <alignment horizontal="center" wrapText="1"/>
    </xf>
    <xf numFmtId="0" fontId="3" fillId="0" borderId="14" xfId="49" applyFont="1" applyBorder="1" applyAlignment="1">
      <alignment horizontal="center" wrapText="1"/>
    </xf>
    <xf numFmtId="9" fontId="3" fillId="0" borderId="4" xfId="49" applyNumberFormat="1" applyFont="1" applyBorder="1" applyAlignment="1">
      <alignment horizontal="center" vertical="center" wrapText="1"/>
    </xf>
    <xf numFmtId="0" fontId="18" fillId="0" borderId="15" xfId="49" applyFont="1" applyBorder="1" applyAlignment="1">
      <alignment horizontal="center" wrapText="1"/>
    </xf>
    <xf numFmtId="0" fontId="3" fillId="0" borderId="15" xfId="49" applyFont="1" applyBorder="1" applyAlignment="1">
      <alignment horizontal="center" wrapText="1"/>
    </xf>
    <xf numFmtId="0" fontId="3" fillId="0" borderId="4" xfId="49" applyNumberFormat="1" applyFont="1" applyBorder="1" applyAlignment="1">
      <alignment horizontal="center" vertical="center" wrapText="1"/>
    </xf>
    <xf numFmtId="0" fontId="16" fillId="0" borderId="4" xfId="49" applyFont="1" applyFill="1" applyBorder="1" applyAlignment="1">
      <alignment horizontal="center" vertical="center" wrapText="1"/>
    </xf>
    <xf numFmtId="0" fontId="18" fillId="0" borderId="15" xfId="49" applyFont="1" applyBorder="1" applyAlignment="1">
      <alignment horizontal="center" vertical="top" wrapText="1"/>
    </xf>
    <xf numFmtId="0" fontId="3" fillId="0" borderId="15" xfId="49" applyFont="1" applyBorder="1" applyAlignment="1">
      <alignment horizontal="center" vertical="top" wrapText="1"/>
    </xf>
    <xf numFmtId="9" fontId="18" fillId="0" borderId="4" xfId="49" applyNumberFormat="1" applyFont="1" applyBorder="1" applyAlignment="1">
      <alignment horizontal="center" vertical="center" wrapText="1"/>
    </xf>
    <xf numFmtId="0" fontId="18" fillId="0" borderId="13" xfId="49" applyFont="1" applyBorder="1" applyAlignment="1">
      <alignment horizontal="center" vertical="top" wrapText="1"/>
    </xf>
    <xf numFmtId="0" fontId="3" fillId="0" borderId="13" xfId="49" applyFont="1" applyBorder="1" applyAlignment="1">
      <alignment horizontal="center" vertical="top" wrapText="1"/>
    </xf>
    <xf numFmtId="0" fontId="3" fillId="0" borderId="10" xfId="49" applyFont="1" applyBorder="1" applyAlignment="1">
      <alignment horizontal="center" vertical="center" wrapText="1"/>
    </xf>
    <xf numFmtId="0" fontId="3" fillId="0" borderId="11" xfId="49" applyFont="1" applyBorder="1" applyAlignment="1">
      <alignment horizontal="center" vertical="center" wrapText="1"/>
    </xf>
    <xf numFmtId="0" fontId="3" fillId="0" borderId="0" xfId="49" applyFont="1" applyBorder="1" applyAlignment="1">
      <alignment horizontal="left"/>
    </xf>
    <xf numFmtId="0" fontId="0" fillId="0" borderId="0" xfId="49" applyFont="1" applyAlignment="1">
      <alignment horizontal="right" vertical="center"/>
    </xf>
    <xf numFmtId="183" fontId="3" fillId="0" borderId="22" xfId="49" applyNumberFormat="1" applyFont="1" applyBorder="1" applyAlignment="1">
      <alignment horizontal="center" vertical="center"/>
    </xf>
    <xf numFmtId="176" fontId="3" fillId="0" borderId="19" xfId="49" applyNumberFormat="1" applyFont="1" applyBorder="1" applyAlignment="1">
      <alignment horizontal="center" vertical="center"/>
    </xf>
    <xf numFmtId="0" fontId="3" fillId="0" borderId="19" xfId="49" applyFont="1" applyBorder="1" applyAlignment="1">
      <alignment horizontal="center" vertical="center" wrapText="1"/>
    </xf>
    <xf numFmtId="0" fontId="3" fillId="0" borderId="21" xfId="49" applyFont="1" applyBorder="1" applyAlignment="1">
      <alignment horizontal="center" vertical="center" wrapText="1"/>
    </xf>
    <xf numFmtId="182" fontId="3" fillId="0" borderId="24" xfId="49" applyNumberFormat="1" applyFont="1" applyBorder="1" applyAlignment="1">
      <alignment horizontal="center" vertical="center" wrapText="1" shrinkToFit="1"/>
    </xf>
    <xf numFmtId="182" fontId="3" fillId="0" borderId="22" xfId="49" applyNumberFormat="1" applyFont="1" applyBorder="1" applyAlignment="1">
      <alignment horizontal="center" vertical="center" wrapText="1" shrinkToFit="1"/>
    </xf>
    <xf numFmtId="0" fontId="18" fillId="0" borderId="23" xfId="49" applyFont="1" applyBorder="1" applyAlignment="1">
      <alignment horizontal="center" vertical="center" wrapText="1"/>
    </xf>
    <xf numFmtId="0" fontId="18" fillId="0" borderId="24" xfId="49" applyFont="1" applyBorder="1" applyAlignment="1">
      <alignment horizontal="center" vertical="center" wrapText="1"/>
    </xf>
    <xf numFmtId="0" fontId="18" fillId="0" borderId="22" xfId="49" applyFont="1" applyBorder="1" applyAlignment="1">
      <alignment horizontal="center" vertical="center" wrapText="1"/>
    </xf>
    <xf numFmtId="185" fontId="3" fillId="0" borderId="24" xfId="49" applyNumberFormat="1" applyFont="1" applyBorder="1" applyAlignment="1">
      <alignment horizontal="center" vertical="center" wrapText="1" shrinkToFit="1"/>
    </xf>
    <xf numFmtId="2" fontId="3" fillId="0" borderId="4" xfId="49" applyNumberFormat="1" applyFont="1" applyBorder="1" applyAlignment="1">
      <alignment horizontal="center" vertical="center" wrapText="1"/>
    </xf>
    <xf numFmtId="0" fontId="0" fillId="0" borderId="0" xfId="49" applyFont="1" applyAlignment="1">
      <alignment horizontal="center" vertical="center"/>
    </xf>
    <xf numFmtId="0" fontId="3" fillId="0" borderId="4" xfId="49" applyFont="1" applyFill="1" applyBorder="1" applyAlignment="1">
      <alignment horizontal="center" vertical="center" wrapText="1"/>
    </xf>
    <xf numFmtId="185" fontId="3" fillId="0" borderId="22" xfId="49" applyNumberFormat="1" applyFont="1" applyBorder="1" applyAlignment="1">
      <alignment horizontal="center" vertical="center" wrapText="1" shrinkToFit="1"/>
    </xf>
    <xf numFmtId="0" fontId="3" fillId="0" borderId="23" xfId="49" applyFont="1" applyBorder="1" applyAlignment="1">
      <alignment horizontal="center" vertical="center" wrapText="1"/>
    </xf>
    <xf numFmtId="0" fontId="3" fillId="0" borderId="24" xfId="49" applyFont="1" applyBorder="1" applyAlignment="1">
      <alignment horizontal="center" vertical="center" wrapText="1"/>
    </xf>
    <xf numFmtId="0" fontId="3" fillId="0" borderId="22" xfId="49" applyFont="1" applyBorder="1" applyAlignment="1">
      <alignment horizontal="center" vertical="center" wrapText="1"/>
    </xf>
    <xf numFmtId="0" fontId="3" fillId="0" borderId="39" xfId="49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19" fillId="0" borderId="0" xfId="0" applyFont="1" applyAlignment="1">
      <alignment horizontal="right"/>
    </xf>
    <xf numFmtId="183" fontId="20" fillId="0" borderId="0" xfId="0" applyNumberFormat="1" applyFont="1" applyAlignment="1">
      <alignment horizontal="left"/>
    </xf>
    <xf numFmtId="0" fontId="2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22" fillId="0" borderId="0" xfId="0" applyFont="1" applyAlignment="1">
      <alignment horizontal="distributed" vertical="center"/>
    </xf>
    <xf numFmtId="0" fontId="22" fillId="0" borderId="0" xfId="0" applyFont="1" applyAlignment="1">
      <alignment horizontal="distributed" vertical="center" wrapText="1"/>
    </xf>
    <xf numFmtId="0" fontId="23" fillId="0" borderId="0" xfId="0" applyFont="1" applyAlignment="1">
      <alignment horizontal="left" vertical="center"/>
    </xf>
    <xf numFmtId="0" fontId="14" fillId="0" borderId="0" xfId="0" applyFont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5" fillId="0" borderId="42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183" fontId="20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83" fontId="0" fillId="0" borderId="0" xfId="0" applyNumberFormat="1" applyAlignment="1">
      <alignment horizontal="left"/>
    </xf>
    <xf numFmtId="0" fontId="26" fillId="0" borderId="46" xfId="0" applyFont="1" applyBorder="1" applyAlignment="1">
      <alignment horizontal="center" vertical="center" wrapText="1"/>
    </xf>
    <xf numFmtId="194" fontId="26" fillId="0" borderId="2" xfId="0" applyNumberFormat="1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195" fontId="26" fillId="0" borderId="5" xfId="0" applyNumberFormat="1" applyFont="1" applyBorder="1" applyAlignment="1">
      <alignment horizontal="center" vertical="center" shrinkToFit="1"/>
    </xf>
    <xf numFmtId="0" fontId="23" fillId="0" borderId="0" xfId="0" applyFont="1" applyAlignment="1">
      <alignment vertical="center"/>
    </xf>
    <xf numFmtId="194" fontId="26" fillId="0" borderId="47" xfId="0" applyNumberFormat="1" applyFont="1" applyBorder="1" applyAlignment="1">
      <alignment horizontal="center" vertical="center" wrapText="1"/>
    </xf>
    <xf numFmtId="195" fontId="26" fillId="0" borderId="6" xfId="0" applyNumberFormat="1" applyFont="1" applyBorder="1" applyAlignment="1">
      <alignment horizontal="center" vertical="center" shrinkToFit="1"/>
    </xf>
    <xf numFmtId="195" fontId="26" fillId="0" borderId="34" xfId="0" applyNumberFormat="1" applyFont="1" applyBorder="1" applyAlignment="1">
      <alignment horizontal="center" vertical="center" shrinkToFit="1"/>
    </xf>
    <xf numFmtId="0" fontId="26" fillId="0" borderId="4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31" fontId="26" fillId="0" borderId="4" xfId="0" applyNumberFormat="1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31" xfId="0" applyFont="1" applyBorder="1" applyAlignment="1">
      <alignment horizontal="left" vertical="center" wrapText="1"/>
    </xf>
    <xf numFmtId="0" fontId="26" fillId="0" borderId="50" xfId="0" applyFont="1" applyBorder="1" applyAlignment="1">
      <alignment horizontal="left" vertical="center" wrapText="1"/>
    </xf>
    <xf numFmtId="0" fontId="26" fillId="0" borderId="0" xfId="0" applyFont="1" applyBorder="1" applyAlignment="1">
      <alignment horizontal="left" vertical="center" wrapText="1"/>
    </xf>
    <xf numFmtId="0" fontId="26" fillId="0" borderId="50" xfId="0" applyFont="1" applyBorder="1" applyAlignment="1">
      <alignment vertical="center" wrapText="1"/>
    </xf>
    <xf numFmtId="0" fontId="26" fillId="0" borderId="0" xfId="0" applyFont="1" applyBorder="1" applyAlignment="1">
      <alignment vertical="center" wrapText="1"/>
    </xf>
    <xf numFmtId="0" fontId="26" fillId="0" borderId="5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7" fillId="0" borderId="0" xfId="0" applyFont="1" applyAlignment="1">
      <alignment horizontal="left" wrapText="1"/>
    </xf>
    <xf numFmtId="0" fontId="26" fillId="0" borderId="7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183" fontId="26" fillId="0" borderId="30" xfId="0" applyNumberFormat="1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183" fontId="26" fillId="0" borderId="26" xfId="0" applyNumberFormat="1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shrinkToFit="1"/>
    </xf>
    <xf numFmtId="0" fontId="26" fillId="0" borderId="26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right" vertical="center" wrapText="1"/>
    </xf>
    <xf numFmtId="194" fontId="6" fillId="0" borderId="0" xfId="0" applyNumberFormat="1" applyFont="1" applyBorder="1" applyAlignment="1">
      <alignment horizontal="left" vertical="center" wrapText="1"/>
    </xf>
    <xf numFmtId="0" fontId="26" fillId="0" borderId="19" xfId="0" applyFont="1" applyBorder="1" applyAlignment="1">
      <alignment horizontal="center" vertical="center" wrapText="1"/>
    </xf>
    <xf numFmtId="183" fontId="26" fillId="0" borderId="31" xfId="0" applyNumberFormat="1" applyFont="1" applyBorder="1" applyAlignment="1">
      <alignment horizontal="center" vertical="center" wrapText="1"/>
    </xf>
    <xf numFmtId="183" fontId="26" fillId="0" borderId="37" xfId="0" applyNumberFormat="1" applyFont="1" applyBorder="1" applyAlignment="1">
      <alignment horizontal="center" vertical="center" wrapText="1"/>
    </xf>
    <xf numFmtId="183" fontId="26" fillId="0" borderId="27" xfId="0" applyNumberFormat="1" applyFont="1" applyBorder="1" applyAlignment="1">
      <alignment horizontal="center" vertical="center" wrapText="1"/>
    </xf>
    <xf numFmtId="183" fontId="26" fillId="0" borderId="38" xfId="0" applyNumberFormat="1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shrinkToFit="1"/>
    </xf>
    <xf numFmtId="0" fontId="26" fillId="0" borderId="37" xfId="0" applyFont="1" applyBorder="1" applyAlignment="1">
      <alignment horizontal="center" shrinkToFit="1"/>
    </xf>
    <xf numFmtId="0" fontId="26" fillId="0" borderId="27" xfId="0" applyFont="1" applyBorder="1" applyAlignment="1">
      <alignment horizontal="center" vertical="top" wrapText="1"/>
    </xf>
    <xf numFmtId="0" fontId="26" fillId="0" borderId="38" xfId="0" applyFont="1" applyBorder="1" applyAlignment="1">
      <alignment horizontal="center" vertical="top" wrapText="1"/>
    </xf>
    <xf numFmtId="0" fontId="26" fillId="0" borderId="37" xfId="0" applyFont="1" applyBorder="1" applyAlignment="1">
      <alignment horizontal="left" vertical="center" wrapText="1"/>
    </xf>
    <xf numFmtId="0" fontId="26" fillId="0" borderId="51" xfId="0" applyFont="1" applyBorder="1" applyAlignment="1">
      <alignment horizontal="left" vertical="center" wrapText="1"/>
    </xf>
    <xf numFmtId="0" fontId="28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26" fillId="0" borderId="51" xfId="0" applyFont="1" applyBorder="1" applyAlignment="1">
      <alignment vertical="center" wrapText="1"/>
    </xf>
    <xf numFmtId="0" fontId="6" fillId="0" borderId="51" xfId="0" applyFont="1" applyBorder="1" applyAlignment="1">
      <alignment horizontal="center" vertical="center" wrapText="1"/>
    </xf>
    <xf numFmtId="194" fontId="6" fillId="0" borderId="51" xfId="0" applyNumberFormat="1" applyFont="1" applyBorder="1" applyAlignment="1">
      <alignment horizontal="left" vertical="center" wrapText="1"/>
    </xf>
    <xf numFmtId="0" fontId="26" fillId="0" borderId="38" xfId="0" applyFont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198" fontId="28" fillId="0" borderId="0" xfId="0" applyNumberFormat="1" applyFont="1" applyAlignment="1">
      <alignment horizontal="center" vertical="center" wrapText="1"/>
    </xf>
    <xf numFmtId="192" fontId="0" fillId="0" borderId="0" xfId="0" applyNumberFormat="1" applyAlignment="1">
      <alignment horizontal="center" vertical="center" wrapText="1"/>
    </xf>
    <xf numFmtId="192" fontId="0" fillId="0" borderId="0" xfId="0" applyNumberFormat="1" applyAlignment="1">
      <alignment horizontal="center" wrapText="1"/>
    </xf>
  </cellXfs>
  <cellStyles count="56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常规_C15砼配合比试验" xf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常规_Sheet2" xfId="31"/>
    <cellStyle name="汇总" xfId="32" builtinId="25"/>
    <cellStyle name="好" xfId="33" builtinId="26"/>
    <cellStyle name="常规_46-砂浆配合比试验报告" xfId="34"/>
    <cellStyle name="适中" xfId="35" builtinId="28"/>
    <cellStyle name="20% - 强调文字颜色 5" xfId="36" builtinId="46"/>
    <cellStyle name="强调文字颜色 1" xfId="37" builtinId="29"/>
    <cellStyle name="20% - 强调文字颜色 1" xfId="38" builtinId="30"/>
    <cellStyle name="40% - 强调文字颜色 1" xfId="39" builtinId="31"/>
    <cellStyle name="20% - 强调文字颜色 2" xfId="40" builtinId="34"/>
    <cellStyle name="40% - 强调文字颜色 2" xfId="41" builtinId="35"/>
    <cellStyle name="强调文字颜色 3" xfId="42" builtinId="37"/>
    <cellStyle name="强调文字颜色 4" xfId="43" builtinId="41"/>
    <cellStyle name="20% - 强调文字颜色 4" xfId="44" builtinId="42"/>
    <cellStyle name="40% - 强调文字颜色 4" xfId="45" builtinId="43"/>
    <cellStyle name="强调文字颜色 5" xfId="46" builtinId="45"/>
    <cellStyle name="40% - 强调文字颜色 5" xfId="47" builtinId="47"/>
    <cellStyle name="60% - 强调文字颜色 5" xfId="48" builtinId="48"/>
    <cellStyle name="常规_混凝土配合比原材料技术指标试验汇总表" xfId="49"/>
    <cellStyle name="强调文字颜色 6" xfId="50" builtinId="49"/>
    <cellStyle name="40% - 强调文字颜色 6" xfId="51" builtinId="51"/>
    <cellStyle name="60% - 强调文字颜色 6" xfId="52" builtinId="52"/>
    <cellStyle name="常规_34-水泥物理检验记录表" xfId="53"/>
    <cellStyle name="常规_抗压强度7d" xfId="54"/>
    <cellStyle name="常规_砂浆配合比试验报告" xfId="55"/>
  </cellStyles>
  <dxfs count="1">
    <dxf>
      <font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4.xml"/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857250</xdr:colOff>
      <xdr:row>10</xdr:row>
      <xdr:rowOff>285750</xdr:rowOff>
    </xdr:from>
    <xdr:to>
      <xdr:col>5</xdr:col>
      <xdr:colOff>942975</xdr:colOff>
      <xdr:row>10</xdr:row>
      <xdr:rowOff>285750</xdr:rowOff>
    </xdr:to>
    <xdr:sp>
      <xdr:nvSpPr>
        <xdr:cNvPr id="6145" name="Line 2"/>
        <xdr:cNvSpPr>
          <a:spLocks noChangeShapeType="1"/>
        </xdr:cNvSpPr>
      </xdr:nvSpPr>
      <xdr:spPr>
        <a:xfrm flipV="1">
          <a:off x="5562600" y="333375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857250</xdr:colOff>
      <xdr:row>10</xdr:row>
      <xdr:rowOff>285750</xdr:rowOff>
    </xdr:from>
    <xdr:to>
      <xdr:col>5</xdr:col>
      <xdr:colOff>942975</xdr:colOff>
      <xdr:row>10</xdr:row>
      <xdr:rowOff>285750</xdr:rowOff>
    </xdr:to>
    <xdr:sp>
      <xdr:nvSpPr>
        <xdr:cNvPr id="6146" name="Line 2"/>
        <xdr:cNvSpPr>
          <a:spLocks noChangeShapeType="1"/>
        </xdr:cNvSpPr>
      </xdr:nvSpPr>
      <xdr:spPr>
        <a:xfrm flipV="1">
          <a:off x="5562600" y="333375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857250</xdr:colOff>
      <xdr:row>16</xdr:row>
      <xdr:rowOff>285750</xdr:rowOff>
    </xdr:from>
    <xdr:to>
      <xdr:col>5</xdr:col>
      <xdr:colOff>942975</xdr:colOff>
      <xdr:row>16</xdr:row>
      <xdr:rowOff>285750</xdr:rowOff>
    </xdr:to>
    <xdr:sp>
      <xdr:nvSpPr>
        <xdr:cNvPr id="6147" name="Line 2"/>
        <xdr:cNvSpPr>
          <a:spLocks noChangeShapeType="1"/>
        </xdr:cNvSpPr>
      </xdr:nvSpPr>
      <xdr:spPr>
        <a:xfrm flipV="1">
          <a:off x="5562600" y="504825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857250</xdr:colOff>
      <xdr:row>10</xdr:row>
      <xdr:rowOff>285750</xdr:rowOff>
    </xdr:from>
    <xdr:to>
      <xdr:col>5</xdr:col>
      <xdr:colOff>942975</xdr:colOff>
      <xdr:row>10</xdr:row>
      <xdr:rowOff>285750</xdr:rowOff>
    </xdr:to>
    <xdr:sp>
      <xdr:nvSpPr>
        <xdr:cNvPr id="7169" name="Line 2"/>
        <xdr:cNvSpPr>
          <a:spLocks noChangeShapeType="1"/>
        </xdr:cNvSpPr>
      </xdr:nvSpPr>
      <xdr:spPr>
        <a:xfrm flipV="1">
          <a:off x="5553075" y="333375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857250</xdr:colOff>
      <xdr:row>10</xdr:row>
      <xdr:rowOff>285750</xdr:rowOff>
    </xdr:from>
    <xdr:to>
      <xdr:col>5</xdr:col>
      <xdr:colOff>942975</xdr:colOff>
      <xdr:row>10</xdr:row>
      <xdr:rowOff>285750</xdr:rowOff>
    </xdr:to>
    <xdr:sp>
      <xdr:nvSpPr>
        <xdr:cNvPr id="7170" name="Line 2"/>
        <xdr:cNvSpPr>
          <a:spLocks noChangeShapeType="1"/>
        </xdr:cNvSpPr>
      </xdr:nvSpPr>
      <xdr:spPr>
        <a:xfrm flipV="1">
          <a:off x="5553075" y="333375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857250</xdr:colOff>
      <xdr:row>16</xdr:row>
      <xdr:rowOff>285750</xdr:rowOff>
    </xdr:from>
    <xdr:to>
      <xdr:col>5</xdr:col>
      <xdr:colOff>942975</xdr:colOff>
      <xdr:row>16</xdr:row>
      <xdr:rowOff>285750</xdr:rowOff>
    </xdr:to>
    <xdr:sp>
      <xdr:nvSpPr>
        <xdr:cNvPr id="7171" name="Line 2"/>
        <xdr:cNvSpPr>
          <a:spLocks noChangeShapeType="1"/>
        </xdr:cNvSpPr>
      </xdr:nvSpPr>
      <xdr:spPr>
        <a:xfrm flipV="1">
          <a:off x="5553075" y="504825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857250</xdr:colOff>
      <xdr:row>10</xdr:row>
      <xdr:rowOff>285750</xdr:rowOff>
    </xdr:from>
    <xdr:to>
      <xdr:col>5</xdr:col>
      <xdr:colOff>942975</xdr:colOff>
      <xdr:row>10</xdr:row>
      <xdr:rowOff>285750</xdr:rowOff>
    </xdr:to>
    <xdr:sp>
      <xdr:nvSpPr>
        <xdr:cNvPr id="8193" name="Line 2"/>
        <xdr:cNvSpPr>
          <a:spLocks noChangeShapeType="1"/>
        </xdr:cNvSpPr>
      </xdr:nvSpPr>
      <xdr:spPr>
        <a:xfrm flipV="1">
          <a:off x="5581650" y="333375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5</xdr:col>
      <xdr:colOff>857250</xdr:colOff>
      <xdr:row>16</xdr:row>
      <xdr:rowOff>285750</xdr:rowOff>
    </xdr:from>
    <xdr:to>
      <xdr:col>5</xdr:col>
      <xdr:colOff>942975</xdr:colOff>
      <xdr:row>16</xdr:row>
      <xdr:rowOff>285750</xdr:rowOff>
    </xdr:to>
    <xdr:sp>
      <xdr:nvSpPr>
        <xdr:cNvPr id="8194" name="Line 2"/>
        <xdr:cNvSpPr>
          <a:spLocks noChangeShapeType="1"/>
        </xdr:cNvSpPr>
      </xdr:nvSpPr>
      <xdr:spPr>
        <a:xfrm flipV="1">
          <a:off x="5581650" y="504825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8598;&#260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&#32418;&#27827;&#36335;&#21451;&#24314;&#31569;&#24037;&#31243;&#26448;&#26009;&#26816;&#27979;&#26377;&#38480;&#20844;&#21496;\&#32418;&#27827;&#36335;&#21451;2015&#25442;&#35777;&#22797;&#26597;&#36164;&#26009;\&#22269;&#36947;323&#32447;&#34434;&#22365;2&#26631;&#26631;&#20934;&#35797;&#39564;\&#38598;&#260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21326;&#28070;32.5&#27700;&#27877;.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80;&#38598;&#2600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砼细集封面"/>
      <sheetName val="砼用细集料报告11"/>
      <sheetName val="砼细集料记录1"/>
      <sheetName val="细集料压碎指标3"/>
      <sheetName val="细集料砂当量"/>
      <sheetName val="砼粗集封面"/>
      <sheetName val="砼用粗集料报告"/>
      <sheetName val="砼用粗集料记录1"/>
      <sheetName val="粗集料压碎值"/>
      <sheetName val="砼用粗集料记录2"/>
      <sheetName val="粗集料掺配"/>
    </sheetNames>
    <sheetDataSet>
      <sheetData sheetId="0">
        <row r="63">
          <cell r="P63">
            <v>-2</v>
          </cell>
        </row>
        <row r="67">
          <cell r="D67" t="str">
            <v>XX</v>
          </cell>
        </row>
        <row r="72">
          <cell r="P72" t="str">
            <v>XX</v>
          </cell>
        </row>
      </sheetData>
      <sheetData sheetId="1">
        <row r="2">
          <cell r="J2">
            <v>0</v>
          </cell>
        </row>
        <row r="3">
          <cell r="C3" t="str">
            <v>XX</v>
          </cell>
        </row>
        <row r="4">
          <cell r="C4" t="str">
            <v>XX</v>
          </cell>
        </row>
        <row r="8">
          <cell r="C8" t="str">
            <v>XX</v>
          </cell>
        </row>
        <row r="8">
          <cell r="J8" t="str">
            <v>机制砂</v>
          </cell>
        </row>
        <row r="20">
          <cell r="I20">
            <v>6.6</v>
          </cell>
        </row>
        <row r="24">
          <cell r="I24">
            <v>2680</v>
          </cell>
        </row>
        <row r="25">
          <cell r="I25">
            <v>1680</v>
          </cell>
        </row>
        <row r="26">
          <cell r="I26">
            <v>37.3</v>
          </cell>
        </row>
        <row r="28">
          <cell r="I28">
            <v>2.59</v>
          </cell>
        </row>
        <row r="28">
          <cell r="K28" t="str">
            <v>中砂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细集料封面"/>
      <sheetName val="砼用细集料报告11"/>
      <sheetName val="砼细集料记录1"/>
      <sheetName val="细集料砂当量2"/>
      <sheetName val="细集料压碎指标3"/>
      <sheetName val="粗集料封面"/>
      <sheetName val="砼用粗集料报告"/>
      <sheetName val="砼用粗集料记录1"/>
      <sheetName val="粗集料压碎值2"/>
      <sheetName val="X"/>
    </sheetNames>
    <sheetDataSet>
      <sheetData sheetId="0" refreshError="1"/>
      <sheetData sheetId="1">
        <row r="2">
          <cell r="A2" t="str">
            <v>试验室名称:红河路友建筑工程材料检测有限公司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水泥报告"/>
      <sheetName val="水泥胶砂强度记录1"/>
      <sheetName val="水泥细度、凝结时间、安定性记录2"/>
      <sheetName val="水泥密度、胶砂流动度、烧失量记录"/>
      <sheetName val="x"/>
      <sheetName val="Z"/>
      <sheetName val="1"/>
      <sheetName val="2"/>
      <sheetName val="5"/>
    </sheetNames>
    <sheetDataSet>
      <sheetData sheetId="0" refreshError="1"/>
      <sheetData sheetId="1">
        <row r="2">
          <cell r="H2">
            <v>0</v>
          </cell>
        </row>
        <row r="10">
          <cell r="C10" t="str">
            <v>广西华润</v>
          </cell>
        </row>
        <row r="11">
          <cell r="C11" t="str">
            <v>P·C32.5</v>
          </cell>
        </row>
        <row r="15">
          <cell r="G15">
            <v>198</v>
          </cell>
        </row>
        <row r="16">
          <cell r="G16">
            <v>274</v>
          </cell>
        </row>
        <row r="18">
          <cell r="G18" t="str">
            <v>合格</v>
          </cell>
        </row>
        <row r="21">
          <cell r="F21">
            <v>5.5</v>
          </cell>
        </row>
        <row r="22">
          <cell r="H22">
            <v>7.75</v>
          </cell>
        </row>
        <row r="26">
          <cell r="F26">
            <v>32.5</v>
          </cell>
        </row>
        <row r="28">
          <cell r="H28">
            <v>38.65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砼细集封面"/>
      <sheetName val="砼用细集料报告11"/>
      <sheetName val="砼细集料记录1"/>
      <sheetName val="砼细集料记录2"/>
      <sheetName val="细集料砂当量"/>
      <sheetName val="细集料压碎指标3"/>
      <sheetName val="砼粗集封面"/>
      <sheetName val="砼用粗集料报告"/>
      <sheetName val="砼用粗集料记录1"/>
      <sheetName val="砼用粗集料记录2"/>
      <sheetName val="粗集料掺配"/>
      <sheetName val="粗集料压碎值"/>
    </sheetNames>
    <sheetDataSet>
      <sheetData sheetId="0" refreshError="1"/>
      <sheetData sheetId="1" refreshError="1">
        <row r="28">
          <cell r="K28" t="str">
            <v>中砂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53"/>
  </sheetPr>
  <dimension ref="A1:Z103"/>
  <sheetViews>
    <sheetView view="pageBreakPreview" zoomScaleNormal="100" zoomScaleSheetLayoutView="100" topLeftCell="A73" workbookViewId="0">
      <selection activeCell="P67" sqref="P67:S68"/>
    </sheetView>
  </sheetViews>
  <sheetFormatPr defaultColWidth="9" defaultRowHeight="15"/>
  <cols>
    <col min="1" max="1" width="3.625" customWidth="1"/>
    <col min="2" max="2" width="4" customWidth="1"/>
    <col min="3" max="9" width="3.625" customWidth="1"/>
    <col min="10" max="15" width="4.625" customWidth="1"/>
    <col min="16" max="19" width="5.125" customWidth="1"/>
    <col min="21" max="21" width="104.125" customWidth="1"/>
  </cols>
  <sheetData>
    <row r="1" ht="31.5" customHeight="1" spans="11:19">
      <c r="K1" s="372"/>
      <c r="L1" s="372"/>
      <c r="M1" s="373"/>
      <c r="N1" s="373"/>
      <c r="O1" s="373"/>
      <c r="P1" s="373"/>
      <c r="Q1" s="373"/>
      <c r="R1" s="373"/>
      <c r="S1" s="373"/>
    </row>
    <row r="2" ht="24" customHeight="1" spans="11:19">
      <c r="K2" s="372"/>
      <c r="L2" s="372"/>
      <c r="M2" s="373"/>
      <c r="N2" s="373"/>
      <c r="O2" s="373"/>
      <c r="P2" s="373"/>
      <c r="Q2" s="373"/>
      <c r="R2" s="373"/>
      <c r="S2" s="373"/>
    </row>
    <row r="3" ht="32" spans="1:19">
      <c r="A3" s="372"/>
      <c r="B3" s="372"/>
      <c r="C3" s="372"/>
      <c r="D3" s="373"/>
      <c r="E3" s="373"/>
      <c r="F3" s="373"/>
      <c r="G3" s="373"/>
      <c r="H3" s="373"/>
      <c r="I3" s="373"/>
      <c r="J3" s="373"/>
      <c r="K3" s="372"/>
      <c r="L3" s="372"/>
      <c r="M3" s="372"/>
      <c r="N3" s="372"/>
      <c r="O3" s="395"/>
      <c r="P3" s="395"/>
      <c r="Q3" s="395"/>
      <c r="R3" s="395"/>
      <c r="S3" s="395"/>
    </row>
    <row r="4" spans="11:19">
      <c r="K4" s="396"/>
      <c r="L4" s="396"/>
      <c r="M4" s="397"/>
      <c r="N4" s="397"/>
      <c r="O4" s="397"/>
      <c r="P4" s="397"/>
      <c r="Q4" s="397"/>
      <c r="R4" s="397"/>
      <c r="S4" s="397"/>
    </row>
    <row r="5" spans="11:19">
      <c r="K5" s="396"/>
      <c r="L5" s="396"/>
      <c r="M5" s="397"/>
      <c r="N5" s="397"/>
      <c r="O5" s="397"/>
      <c r="P5" s="397"/>
      <c r="Q5" s="397"/>
      <c r="R5" s="397"/>
      <c r="S5" s="397"/>
    </row>
    <row r="7" spans="1:19">
      <c r="A7" s="374" t="s">
        <v>0</v>
      </c>
      <c r="B7" s="374"/>
      <c r="C7" s="374"/>
      <c r="D7" s="374"/>
      <c r="E7" s="374"/>
      <c r="F7" s="374"/>
      <c r="G7" s="374"/>
      <c r="H7" s="374"/>
      <c r="I7" s="374"/>
      <c r="J7" s="374"/>
      <c r="K7" s="374"/>
      <c r="L7" s="374"/>
      <c r="M7" s="374"/>
      <c r="N7" s="374"/>
      <c r="O7" s="374"/>
      <c r="P7" s="374"/>
      <c r="Q7" s="374"/>
      <c r="R7" s="374"/>
      <c r="S7" s="374"/>
    </row>
    <row r="8" spans="1:19">
      <c r="A8" s="374"/>
      <c r="B8" s="374"/>
      <c r="C8" s="374"/>
      <c r="D8" s="374"/>
      <c r="E8" s="374"/>
      <c r="F8" s="374"/>
      <c r="G8" s="374"/>
      <c r="H8" s="374"/>
      <c r="I8" s="374"/>
      <c r="J8" s="374"/>
      <c r="K8" s="374"/>
      <c r="L8" s="374"/>
      <c r="M8" s="374"/>
      <c r="N8" s="374"/>
      <c r="O8" s="374"/>
      <c r="P8" s="374"/>
      <c r="Q8" s="374"/>
      <c r="R8" s="374"/>
      <c r="S8" s="374"/>
    </row>
    <row r="9" spans="1:19">
      <c r="A9" s="374"/>
      <c r="B9" s="374"/>
      <c r="C9" s="374"/>
      <c r="D9" s="374"/>
      <c r="E9" s="374"/>
      <c r="F9" s="374"/>
      <c r="G9" s="374"/>
      <c r="H9" s="374"/>
      <c r="I9" s="374"/>
      <c r="J9" s="374"/>
      <c r="K9" s="374"/>
      <c r="L9" s="374"/>
      <c r="M9" s="374"/>
      <c r="N9" s="374"/>
      <c r="O9" s="374"/>
      <c r="P9" s="374"/>
      <c r="Q9" s="374"/>
      <c r="R9" s="374"/>
      <c r="S9" s="374"/>
    </row>
    <row r="10" spans="1:19">
      <c r="A10" s="374"/>
      <c r="B10" s="374"/>
      <c r="C10" s="374"/>
      <c r="D10" s="374"/>
      <c r="E10" s="374"/>
      <c r="F10" s="374"/>
      <c r="G10" s="374"/>
      <c r="H10" s="374"/>
      <c r="I10" s="374"/>
      <c r="J10" s="374"/>
      <c r="K10" s="374"/>
      <c r="L10" s="374"/>
      <c r="M10" s="374"/>
      <c r="N10" s="374"/>
      <c r="O10" s="374"/>
      <c r="P10" s="374"/>
      <c r="Q10" s="374"/>
      <c r="R10" s="374"/>
      <c r="S10" s="374"/>
    </row>
    <row r="11" spans="1:19">
      <c r="A11" s="374"/>
      <c r="B11" s="374"/>
      <c r="C11" s="374"/>
      <c r="D11" s="374"/>
      <c r="E11" s="374"/>
      <c r="F11" s="374"/>
      <c r="G11" s="374"/>
      <c r="H11" s="374"/>
      <c r="I11" s="374"/>
      <c r="J11" s="374"/>
      <c r="K11" s="374"/>
      <c r="L11" s="374"/>
      <c r="M11" s="374"/>
      <c r="N11" s="374"/>
      <c r="O11" s="374"/>
      <c r="P11" s="374"/>
      <c r="Q11" s="374"/>
      <c r="R11" s="374"/>
      <c r="S11" s="374"/>
    </row>
    <row r="12" spans="1:19">
      <c r="A12" s="374"/>
      <c r="B12" s="374"/>
      <c r="C12" s="374"/>
      <c r="D12" s="374"/>
      <c r="E12" s="374"/>
      <c r="F12" s="374"/>
      <c r="G12" s="374"/>
      <c r="H12" s="374"/>
      <c r="I12" s="374"/>
      <c r="J12" s="374"/>
      <c r="K12" s="374"/>
      <c r="L12" s="374"/>
      <c r="M12" s="374"/>
      <c r="N12" s="374"/>
      <c r="O12" s="374"/>
      <c r="P12" s="374"/>
      <c r="Q12" s="374"/>
      <c r="R12" s="374"/>
      <c r="S12" s="374"/>
    </row>
    <row r="13" spans="1:19">
      <c r="A13" s="374"/>
      <c r="B13" s="374"/>
      <c r="C13" s="374"/>
      <c r="D13" s="374"/>
      <c r="E13" s="374"/>
      <c r="F13" s="374"/>
      <c r="G13" s="374"/>
      <c r="H13" s="374"/>
      <c r="I13" s="374"/>
      <c r="J13" s="374"/>
      <c r="K13" s="374"/>
      <c r="L13" s="374"/>
      <c r="M13" s="374"/>
      <c r="N13" s="374"/>
      <c r="O13" s="374"/>
      <c r="P13" s="374"/>
      <c r="Q13" s="374"/>
      <c r="R13" s="374"/>
      <c r="S13" s="374"/>
    </row>
    <row r="14" spans="1:19">
      <c r="A14" s="374"/>
      <c r="B14" s="374"/>
      <c r="C14" s="374"/>
      <c r="D14" s="374"/>
      <c r="E14" s="374"/>
      <c r="F14" s="374"/>
      <c r="G14" s="374"/>
      <c r="H14" s="374"/>
      <c r="I14" s="374"/>
      <c r="J14" s="374"/>
      <c r="K14" s="374"/>
      <c r="L14" s="374"/>
      <c r="M14" s="374"/>
      <c r="N14" s="374"/>
      <c r="O14" s="374"/>
      <c r="P14" s="374"/>
      <c r="Q14" s="374"/>
      <c r="R14" s="374"/>
      <c r="S14" s="374"/>
    </row>
    <row r="15" spans="1:19">
      <c r="A15" s="374"/>
      <c r="B15" s="374"/>
      <c r="C15" s="374"/>
      <c r="D15" s="374"/>
      <c r="E15" s="374"/>
      <c r="F15" s="374"/>
      <c r="G15" s="374"/>
      <c r="H15" s="374"/>
      <c r="I15" s="374"/>
      <c r="J15" s="374"/>
      <c r="K15" s="374"/>
      <c r="L15" s="374"/>
      <c r="M15" s="374"/>
      <c r="N15" s="374"/>
      <c r="O15" s="374"/>
      <c r="P15" s="374"/>
      <c r="Q15" s="374"/>
      <c r="R15" s="374"/>
      <c r="S15" s="374"/>
    </row>
    <row r="16" spans="1:19">
      <c r="A16" s="374"/>
      <c r="B16" s="374"/>
      <c r="C16" s="374"/>
      <c r="D16" s="374"/>
      <c r="E16" s="374"/>
      <c r="F16" s="374"/>
      <c r="G16" s="374"/>
      <c r="H16" s="374"/>
      <c r="I16" s="374"/>
      <c r="J16" s="374"/>
      <c r="K16" s="374"/>
      <c r="L16" s="374"/>
      <c r="M16" s="374"/>
      <c r="N16" s="374"/>
      <c r="O16" s="374"/>
      <c r="P16" s="374"/>
      <c r="Q16" s="374"/>
      <c r="R16" s="374"/>
      <c r="S16" s="374"/>
    </row>
    <row r="17" spans="1:19">
      <c r="A17" s="374"/>
      <c r="B17" s="374"/>
      <c r="C17" s="374"/>
      <c r="D17" s="374"/>
      <c r="E17" s="374"/>
      <c r="F17" s="374"/>
      <c r="G17" s="374"/>
      <c r="H17" s="374"/>
      <c r="I17" s="374"/>
      <c r="J17" s="374"/>
      <c r="K17" s="374"/>
      <c r="L17" s="374"/>
      <c r="M17" s="374"/>
      <c r="N17" s="374"/>
      <c r="O17" s="374"/>
      <c r="P17" s="374"/>
      <c r="Q17" s="374"/>
      <c r="R17" s="374"/>
      <c r="S17" s="374"/>
    </row>
    <row r="18" spans="1:19">
      <c r="A18" s="374"/>
      <c r="B18" s="374"/>
      <c r="C18" s="374"/>
      <c r="D18" s="374"/>
      <c r="E18" s="374"/>
      <c r="F18" s="374"/>
      <c r="G18" s="374"/>
      <c r="H18" s="374"/>
      <c r="I18" s="374"/>
      <c r="J18" s="374"/>
      <c r="K18" s="374"/>
      <c r="L18" s="374"/>
      <c r="M18" s="374"/>
      <c r="N18" s="374"/>
      <c r="O18" s="374"/>
      <c r="P18" s="374"/>
      <c r="Q18" s="374"/>
      <c r="R18" s="374"/>
      <c r="S18" s="374"/>
    </row>
    <row r="19" spans="1:19">
      <c r="A19" s="374"/>
      <c r="B19" s="374"/>
      <c r="C19" s="374"/>
      <c r="D19" s="374"/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</row>
    <row r="20" spans="1:19">
      <c r="A20" s="374"/>
      <c r="B20" s="374"/>
      <c r="C20" s="374"/>
      <c r="D20" s="374"/>
      <c r="E20" s="374"/>
      <c r="F20" s="374"/>
      <c r="G20" s="374"/>
      <c r="H20" s="374"/>
      <c r="I20" s="374"/>
      <c r="J20" s="374"/>
      <c r="K20" s="374"/>
      <c r="L20" s="374"/>
      <c r="M20" s="374"/>
      <c r="N20" s="374"/>
      <c r="O20" s="374"/>
      <c r="P20" s="374"/>
      <c r="Q20" s="374"/>
      <c r="R20" s="374"/>
      <c r="S20" s="374"/>
    </row>
    <row r="21" spans="1:19">
      <c r="A21" s="374"/>
      <c r="B21" s="374"/>
      <c r="C21" s="374"/>
      <c r="D21" s="374"/>
      <c r="E21" s="374"/>
      <c r="F21" s="374"/>
      <c r="G21" s="374"/>
      <c r="H21" s="374"/>
      <c r="I21" s="374"/>
      <c r="J21" s="374"/>
      <c r="K21" s="374"/>
      <c r="L21" s="374"/>
      <c r="M21" s="374"/>
      <c r="N21" s="374"/>
      <c r="O21" s="374"/>
      <c r="P21" s="374"/>
      <c r="Q21" s="374"/>
      <c r="R21" s="374"/>
      <c r="S21" s="374"/>
    </row>
    <row r="25" s="369" customFormat="1" ht="60" customHeight="1" spans="2:21">
      <c r="B25" s="375"/>
      <c r="C25" s="376" t="s">
        <v>1</v>
      </c>
      <c r="D25" s="376"/>
      <c r="E25" s="376"/>
      <c r="F25" s="376"/>
      <c r="G25" s="377"/>
      <c r="H25" s="378" t="s">
        <v>2</v>
      </c>
      <c r="I25" s="378"/>
      <c r="J25" s="378"/>
      <c r="K25" s="378"/>
      <c r="L25" s="378"/>
      <c r="M25" s="378"/>
      <c r="N25" s="378"/>
      <c r="O25" s="378"/>
      <c r="P25" s="378"/>
      <c r="Q25" s="378"/>
      <c r="R25" s="402"/>
      <c r="S25" s="402"/>
      <c r="U25" s="369" t="s">
        <v>2</v>
      </c>
    </row>
    <row r="26" s="369" customFormat="1" ht="60" customHeight="1" spans="3:19">
      <c r="C26" s="376" t="s">
        <v>3</v>
      </c>
      <c r="D26" s="376"/>
      <c r="E26" s="376"/>
      <c r="F26" s="376"/>
      <c r="G26" s="377"/>
      <c r="H26" s="379" t="str">
        <f ca="1">水泥砂浆配合比设计报告3!D3</f>
        <v>XX</v>
      </c>
      <c r="I26" s="379"/>
      <c r="J26" s="379"/>
      <c r="K26" s="379"/>
      <c r="L26" s="379"/>
      <c r="M26" s="379"/>
      <c r="N26" s="379"/>
      <c r="O26" s="379"/>
      <c r="P26" s="379"/>
      <c r="Q26" s="379"/>
      <c r="R26" s="402"/>
      <c r="S26" s="402"/>
    </row>
    <row r="27" s="369" customFormat="1" ht="60" customHeight="1" spans="3:19">
      <c r="C27" s="376" t="s">
        <v>4</v>
      </c>
      <c r="D27" s="376"/>
      <c r="E27" s="376"/>
      <c r="F27" s="376"/>
      <c r="G27" s="377"/>
      <c r="H27" s="380" t="s">
        <v>5</v>
      </c>
      <c r="I27" s="380"/>
      <c r="J27" s="380"/>
      <c r="K27" s="380"/>
      <c r="L27" s="380"/>
      <c r="M27" s="380"/>
      <c r="N27" s="380"/>
      <c r="O27" s="380"/>
      <c r="P27" s="380"/>
      <c r="Q27" s="380"/>
      <c r="R27" s="402"/>
      <c r="S27" s="402"/>
    </row>
    <row r="33" ht="25.5" spans="1:19">
      <c r="A33" s="381"/>
      <c r="B33" s="381"/>
      <c r="C33" s="381"/>
      <c r="D33" s="381"/>
      <c r="E33" s="381"/>
      <c r="F33" s="381"/>
      <c r="G33" s="381"/>
      <c r="H33" s="381"/>
      <c r="I33" s="381"/>
      <c r="J33" s="381"/>
      <c r="K33" s="381"/>
      <c r="L33" s="381"/>
      <c r="M33" s="381"/>
      <c r="N33" s="381"/>
      <c r="O33" s="381"/>
      <c r="P33" s="381"/>
      <c r="Q33" s="381"/>
      <c r="R33" s="381"/>
      <c r="S33" s="381"/>
    </row>
    <row r="37" s="370" customFormat="1"/>
    <row r="38" s="370" customFormat="1"/>
    <row r="39" s="370" customFormat="1" ht="54.75" customHeight="1" spans="1:19">
      <c r="A39" s="382" t="s">
        <v>6</v>
      </c>
      <c r="B39" s="382"/>
      <c r="C39" s="382"/>
      <c r="D39" s="382"/>
      <c r="E39" s="382"/>
      <c r="F39" s="382"/>
      <c r="G39" s="382"/>
      <c r="H39" s="382"/>
      <c r="I39" s="382"/>
      <c r="J39" s="382"/>
      <c r="K39" s="382"/>
      <c r="L39" s="382"/>
      <c r="M39" s="382"/>
      <c r="N39" s="382"/>
      <c r="O39" s="382"/>
      <c r="P39" s="382"/>
      <c r="Q39" s="382"/>
      <c r="R39" s="382"/>
      <c r="S39" s="382"/>
    </row>
    <row r="40" s="370" customFormat="1"/>
    <row r="41" s="370" customFormat="1" ht="39.95" customHeight="1" spans="1:19">
      <c r="A41" s="383" t="s">
        <v>7</v>
      </c>
      <c r="B41" s="383"/>
      <c r="C41" s="384" t="s">
        <v>8</v>
      </c>
      <c r="D41" s="384"/>
      <c r="E41" s="384"/>
      <c r="F41" s="384"/>
      <c r="G41" s="384"/>
      <c r="H41" s="384"/>
      <c r="I41" s="384"/>
      <c r="J41" s="384"/>
      <c r="K41" s="384"/>
      <c r="L41" s="384"/>
      <c r="M41" s="384"/>
      <c r="N41" s="384"/>
      <c r="O41" s="384"/>
      <c r="P41" s="384"/>
      <c r="Q41" s="384"/>
      <c r="R41" s="384"/>
      <c r="S41" s="384"/>
    </row>
    <row r="42" s="370" customFormat="1" ht="39.95" customHeight="1" spans="1:19">
      <c r="A42" s="383" t="s">
        <v>9</v>
      </c>
      <c r="B42" s="383"/>
      <c r="C42" s="384" t="s">
        <v>10</v>
      </c>
      <c r="D42" s="384"/>
      <c r="E42" s="384"/>
      <c r="F42" s="384"/>
      <c r="G42" s="384"/>
      <c r="H42" s="384"/>
      <c r="I42" s="384"/>
      <c r="J42" s="384"/>
      <c r="K42" s="384"/>
      <c r="L42" s="384"/>
      <c r="M42" s="384"/>
      <c r="N42" s="384"/>
      <c r="O42" s="384"/>
      <c r="P42" s="384"/>
      <c r="Q42" s="384"/>
      <c r="R42" s="384"/>
      <c r="S42" s="384"/>
    </row>
    <row r="43" s="370" customFormat="1" ht="39.95" customHeight="1" spans="1:19">
      <c r="A43" s="383" t="s">
        <v>11</v>
      </c>
      <c r="B43" s="383"/>
      <c r="C43" s="384" t="s">
        <v>12</v>
      </c>
      <c r="D43" s="384"/>
      <c r="E43" s="384"/>
      <c r="F43" s="384"/>
      <c r="G43" s="384"/>
      <c r="H43" s="384"/>
      <c r="I43" s="384"/>
      <c r="J43" s="384"/>
      <c r="K43" s="384"/>
      <c r="L43" s="384"/>
      <c r="M43" s="384"/>
      <c r="N43" s="384"/>
      <c r="O43" s="384"/>
      <c r="P43" s="384"/>
      <c r="Q43" s="384"/>
      <c r="R43" s="384"/>
      <c r="S43" s="384"/>
    </row>
    <row r="44" s="370" customFormat="1" ht="39.95" customHeight="1" spans="1:19">
      <c r="A44" s="383" t="s">
        <v>13</v>
      </c>
      <c r="B44" s="383"/>
      <c r="C44" s="384" t="s">
        <v>14</v>
      </c>
      <c r="D44" s="384"/>
      <c r="E44" s="384"/>
      <c r="F44" s="384"/>
      <c r="G44" s="384"/>
      <c r="H44" s="384"/>
      <c r="I44" s="384"/>
      <c r="J44" s="384"/>
      <c r="K44" s="384"/>
      <c r="L44" s="384"/>
      <c r="M44" s="384"/>
      <c r="N44" s="384"/>
      <c r="O44" s="384"/>
      <c r="P44" s="384"/>
      <c r="Q44" s="384"/>
      <c r="R44" s="384"/>
      <c r="S44" s="384"/>
    </row>
    <row r="45" s="370" customFormat="1" ht="39.95" customHeight="1" spans="1:19">
      <c r="A45" s="383" t="s">
        <v>15</v>
      </c>
      <c r="B45" s="383"/>
      <c r="C45" s="384" t="s">
        <v>16</v>
      </c>
      <c r="D45" s="384"/>
      <c r="E45" s="384"/>
      <c r="F45" s="384"/>
      <c r="G45" s="384"/>
      <c r="H45" s="384"/>
      <c r="I45" s="384"/>
      <c r="J45" s="384"/>
      <c r="K45" s="384"/>
      <c r="L45" s="384"/>
      <c r="M45" s="384"/>
      <c r="N45" s="384"/>
      <c r="O45" s="384"/>
      <c r="P45" s="384"/>
      <c r="Q45" s="384"/>
      <c r="R45" s="384"/>
      <c r="S45" s="384"/>
    </row>
    <row r="46" s="370" customFormat="1" ht="39.95" customHeight="1" spans="1:19">
      <c r="A46" s="383"/>
      <c r="B46" s="383"/>
      <c r="C46" s="384" t="s">
        <v>17</v>
      </c>
      <c r="D46" s="384"/>
      <c r="E46" s="384"/>
      <c r="F46" s="384"/>
      <c r="G46" s="384"/>
      <c r="H46" s="384"/>
      <c r="I46" s="384"/>
      <c r="J46" s="384"/>
      <c r="K46" s="384"/>
      <c r="L46" s="384"/>
      <c r="M46" s="384"/>
      <c r="N46" s="384"/>
      <c r="O46" s="384"/>
      <c r="P46" s="384"/>
      <c r="Q46" s="384"/>
      <c r="R46" s="384"/>
      <c r="S46" s="384"/>
    </row>
    <row r="47" s="370" customFormat="1" ht="39.95" customHeight="1" spans="1:19">
      <c r="A47" s="383" t="s">
        <v>18</v>
      </c>
      <c r="B47" s="383"/>
      <c r="C47" s="384" t="s">
        <v>19</v>
      </c>
      <c r="D47" s="384"/>
      <c r="E47" s="384"/>
      <c r="F47" s="384"/>
      <c r="G47" s="384"/>
      <c r="H47" s="384"/>
      <c r="I47" s="384"/>
      <c r="J47" s="384"/>
      <c r="K47" s="384"/>
      <c r="L47" s="384"/>
      <c r="M47" s="384"/>
      <c r="N47" s="384"/>
      <c r="O47" s="384"/>
      <c r="P47" s="384"/>
      <c r="Q47" s="384"/>
      <c r="R47" s="384"/>
      <c r="S47" s="384"/>
    </row>
    <row r="48" s="370" customFormat="1" ht="39.95" customHeight="1" spans="1:19">
      <c r="A48" s="383" t="s">
        <v>20</v>
      </c>
      <c r="B48" s="383"/>
      <c r="C48" s="384" t="s">
        <v>21</v>
      </c>
      <c r="D48" s="384"/>
      <c r="E48" s="384"/>
      <c r="F48" s="384"/>
      <c r="G48" s="384"/>
      <c r="H48" s="384"/>
      <c r="I48" s="384"/>
      <c r="J48" s="384"/>
      <c r="K48" s="384"/>
      <c r="L48" s="384"/>
      <c r="M48" s="384"/>
      <c r="N48" s="384"/>
      <c r="O48" s="384"/>
      <c r="P48" s="384"/>
      <c r="Q48" s="384"/>
      <c r="R48" s="384"/>
      <c r="S48" s="384"/>
    </row>
    <row r="49" s="370" customFormat="1" ht="39.95" customHeight="1" spans="1:19">
      <c r="A49" s="383" t="s">
        <v>22</v>
      </c>
      <c r="B49" s="383"/>
      <c r="C49" s="384" t="s">
        <v>23</v>
      </c>
      <c r="D49" s="384"/>
      <c r="E49" s="384"/>
      <c r="F49" s="384"/>
      <c r="G49" s="384"/>
      <c r="H49" s="384"/>
      <c r="I49" s="384"/>
      <c r="J49" s="384"/>
      <c r="K49" s="384"/>
      <c r="L49" s="384"/>
      <c r="M49" s="384"/>
      <c r="N49" s="384"/>
      <c r="O49" s="384"/>
      <c r="P49" s="384"/>
      <c r="Q49" s="384"/>
      <c r="R49" s="384"/>
      <c r="S49" s="384"/>
    </row>
    <row r="50" s="370" customFormat="1" ht="39.95" customHeight="1" spans="1:19">
      <c r="A50" s="383"/>
      <c r="B50" s="383"/>
      <c r="C50" s="384" t="s">
        <v>24</v>
      </c>
      <c r="D50" s="384"/>
      <c r="E50" s="384"/>
      <c r="F50" s="384"/>
      <c r="G50" s="384"/>
      <c r="H50" s="384"/>
      <c r="I50" s="384"/>
      <c r="J50" s="384"/>
      <c r="K50" s="384"/>
      <c r="L50" s="384"/>
      <c r="M50" s="384"/>
      <c r="N50" s="384"/>
      <c r="O50" s="384"/>
      <c r="P50" s="384"/>
      <c r="Q50" s="384"/>
      <c r="R50" s="384"/>
      <c r="S50" s="384"/>
    </row>
    <row r="51" s="370" customFormat="1" ht="21" spans="1:19">
      <c r="A51" s="383"/>
      <c r="B51" s="383"/>
      <c r="C51" s="385"/>
      <c r="D51" s="385"/>
      <c r="E51" s="385"/>
      <c r="F51" s="385"/>
      <c r="G51" s="385"/>
      <c r="H51" s="38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</row>
    <row r="52" s="370" customFormat="1"/>
    <row r="53" s="370" customFormat="1"/>
    <row r="54" s="370" customFormat="1"/>
    <row r="55" s="370" customFormat="1" ht="30" customHeight="1" spans="11:18">
      <c r="K55" s="384"/>
      <c r="L55" s="384"/>
      <c r="M55" s="384"/>
      <c r="N55" s="384"/>
      <c r="O55" s="384"/>
      <c r="P55" s="384"/>
      <c r="Q55" s="384"/>
      <c r="R55" s="384"/>
    </row>
    <row r="56" s="370" customFormat="1" ht="30" customHeight="1" spans="11:18">
      <c r="K56" s="384"/>
      <c r="L56" s="384"/>
      <c r="M56" s="384"/>
      <c r="N56" s="384"/>
      <c r="O56" s="384"/>
      <c r="P56" s="384"/>
      <c r="Q56" s="384"/>
      <c r="R56" s="384"/>
    </row>
    <row r="57" s="370" customFormat="1" ht="30" customHeight="1" spans="11:18">
      <c r="K57" s="384"/>
      <c r="L57" s="384"/>
      <c r="M57" s="384"/>
      <c r="N57" s="384"/>
      <c r="O57" s="384"/>
      <c r="P57" s="384"/>
      <c r="Q57" s="384"/>
      <c r="R57" s="384"/>
    </row>
    <row r="58" s="370" customFormat="1"/>
    <row r="59" s="370" customFormat="1"/>
    <row r="60" s="370" customFormat="1"/>
    <row r="61" s="370" customFormat="1"/>
    <row r="62" s="370" customFormat="1" ht="42" customHeight="1" spans="1:19">
      <c r="A62" s="386" t="s">
        <v>25</v>
      </c>
      <c r="B62" s="386"/>
      <c r="C62" s="386"/>
      <c r="D62" s="386"/>
      <c r="E62" s="386"/>
      <c r="F62" s="386"/>
      <c r="G62" s="386"/>
      <c r="H62" s="386"/>
      <c r="I62" s="386"/>
      <c r="J62" s="386"/>
      <c r="K62" s="386"/>
      <c r="L62" s="386"/>
      <c r="M62" s="386"/>
      <c r="N62" s="386"/>
      <c r="O62" s="386"/>
      <c r="P62" s="386"/>
      <c r="Q62" s="386"/>
      <c r="R62" s="386"/>
      <c r="S62" s="386"/>
    </row>
    <row r="63" s="370" customFormat="1" ht="27.95" customHeight="1" spans="1:19">
      <c r="A63" s="387" t="s">
        <v>26</v>
      </c>
      <c r="B63" s="388"/>
      <c r="C63" s="388"/>
      <c r="D63" s="389" t="str">
        <f>H25</f>
        <v>M7.5砂浆配合比</v>
      </c>
      <c r="E63" s="390"/>
      <c r="F63" s="390"/>
      <c r="G63" s="390"/>
      <c r="H63" s="390"/>
      <c r="I63" s="390"/>
      <c r="J63" s="390"/>
      <c r="K63" s="390"/>
      <c r="L63" s="398"/>
      <c r="M63" s="388" t="s">
        <v>27</v>
      </c>
      <c r="N63" s="388"/>
      <c r="O63" s="388"/>
      <c r="P63" s="399">
        <f>[1]砼细集封面!$P$63</f>
        <v>-2</v>
      </c>
      <c r="Q63" s="399"/>
      <c r="R63" s="399"/>
      <c r="S63" s="403"/>
    </row>
    <row r="64" s="370" customFormat="1" ht="27.95" customHeight="1" spans="1:19">
      <c r="A64" s="391"/>
      <c r="B64" s="392"/>
      <c r="C64" s="392"/>
      <c r="D64" s="393"/>
      <c r="E64" s="394"/>
      <c r="F64" s="394"/>
      <c r="G64" s="394"/>
      <c r="H64" s="394"/>
      <c r="I64" s="394"/>
      <c r="J64" s="394"/>
      <c r="K64" s="394"/>
      <c r="L64" s="400"/>
      <c r="M64" s="392" t="s">
        <v>28</v>
      </c>
      <c r="N64" s="392"/>
      <c r="O64" s="392"/>
      <c r="P64" s="401">
        <f ca="1">水泥砂浆配合比设计报告3!O2</f>
        <v>0</v>
      </c>
      <c r="Q64" s="404"/>
      <c r="R64" s="404"/>
      <c r="S64" s="405"/>
    </row>
    <row r="65" s="370" customFormat="1" ht="45.95" customHeight="1" spans="1:19">
      <c r="A65" s="391" t="s">
        <v>29</v>
      </c>
      <c r="B65" s="392"/>
      <c r="C65" s="392"/>
      <c r="D65" s="406" t="str">
        <f ca="1">H26</f>
        <v>XX</v>
      </c>
      <c r="E65" s="406"/>
      <c r="F65" s="406"/>
      <c r="G65" s="406"/>
      <c r="H65" s="406"/>
      <c r="I65" s="406"/>
      <c r="J65" s="406"/>
      <c r="K65" s="406"/>
      <c r="L65" s="406"/>
      <c r="M65" s="406"/>
      <c r="N65" s="406"/>
      <c r="O65" s="406"/>
      <c r="P65" s="406"/>
      <c r="Q65" s="406"/>
      <c r="R65" s="406"/>
      <c r="S65" s="444"/>
    </row>
    <row r="66" s="370" customFormat="1" ht="45.95" customHeight="1" spans="1:19">
      <c r="A66" s="391" t="s">
        <v>30</v>
      </c>
      <c r="B66" s="392"/>
      <c r="C66" s="392"/>
      <c r="D66" s="407">
        <f>A33</f>
        <v>0</v>
      </c>
      <c r="E66" s="408"/>
      <c r="F66" s="408"/>
      <c r="G66" s="408"/>
      <c r="H66" s="408"/>
      <c r="I66" s="408"/>
      <c r="J66" s="408"/>
      <c r="K66" s="408"/>
      <c r="L66" s="433"/>
      <c r="M66" s="392" t="s">
        <v>31</v>
      </c>
      <c r="N66" s="392"/>
      <c r="O66" s="392"/>
      <c r="P66" s="406" t="s">
        <v>32</v>
      </c>
      <c r="Q66" s="406"/>
      <c r="R66" s="406"/>
      <c r="S66" s="444"/>
    </row>
    <row r="67" s="370" customFormat="1" ht="27.95" customHeight="1" spans="1:19">
      <c r="A67" s="409" t="s">
        <v>33</v>
      </c>
      <c r="B67" s="410"/>
      <c r="C67" s="411"/>
      <c r="D67" s="412" t="str">
        <f>[1]砼细集封面!$D$67</f>
        <v>XX</v>
      </c>
      <c r="E67" s="413"/>
      <c r="F67" s="413"/>
      <c r="G67" s="413"/>
      <c r="H67" s="413"/>
      <c r="I67" s="413"/>
      <c r="J67" s="413"/>
      <c r="K67" s="413"/>
      <c r="L67" s="434"/>
      <c r="M67" s="435" t="s">
        <v>34</v>
      </c>
      <c r="N67" s="410"/>
      <c r="O67" s="411"/>
      <c r="P67" s="436"/>
      <c r="Q67" s="445"/>
      <c r="R67" s="445"/>
      <c r="S67" s="446"/>
    </row>
    <row r="68" s="370" customFormat="1" ht="27.95" customHeight="1" spans="1:19">
      <c r="A68" s="414"/>
      <c r="B68" s="415"/>
      <c r="C68" s="416"/>
      <c r="D68" s="393"/>
      <c r="E68" s="394"/>
      <c r="F68" s="394"/>
      <c r="G68" s="394"/>
      <c r="H68" s="394"/>
      <c r="I68" s="394"/>
      <c r="J68" s="394"/>
      <c r="K68" s="394"/>
      <c r="L68" s="400"/>
      <c r="M68" s="437"/>
      <c r="N68" s="415"/>
      <c r="O68" s="416"/>
      <c r="P68" s="438"/>
      <c r="Q68" s="447"/>
      <c r="R68" s="447"/>
      <c r="S68" s="448"/>
    </row>
    <row r="69" s="370" customFormat="1" ht="24.95" customHeight="1" spans="1:19">
      <c r="A69" s="409" t="s">
        <v>35</v>
      </c>
      <c r="B69" s="410"/>
      <c r="C69" s="411"/>
      <c r="D69" s="412" t="str">
        <f ca="1">原材料技术指标报告!C16</f>
        <v>XX</v>
      </c>
      <c r="E69" s="413"/>
      <c r="F69" s="413"/>
      <c r="G69" s="413"/>
      <c r="H69" s="413"/>
      <c r="I69" s="413"/>
      <c r="J69" s="413"/>
      <c r="K69" s="413"/>
      <c r="L69" s="434"/>
      <c r="M69" s="435" t="s">
        <v>36</v>
      </c>
      <c r="N69" s="410"/>
      <c r="O69" s="411"/>
      <c r="P69" s="439" t="str">
        <f ca="1">原材料技术指标报告!C7</f>
        <v>广西华润</v>
      </c>
      <c r="Q69" s="449"/>
      <c r="R69" s="449"/>
      <c r="S69" s="450"/>
    </row>
    <row r="70" s="370" customFormat="1" ht="24.95" customHeight="1" spans="1:19">
      <c r="A70" s="414"/>
      <c r="B70" s="415"/>
      <c r="C70" s="416"/>
      <c r="D70" s="393"/>
      <c r="E70" s="394"/>
      <c r="F70" s="394"/>
      <c r="G70" s="394"/>
      <c r="H70" s="394"/>
      <c r="I70" s="394"/>
      <c r="J70" s="394"/>
      <c r="K70" s="394"/>
      <c r="L70" s="400"/>
      <c r="M70" s="437"/>
      <c r="N70" s="415"/>
      <c r="O70" s="416"/>
      <c r="P70" s="440" t="str">
        <f ca="1">原材料技术指标报告!D7</f>
        <v>P·C32.5</v>
      </c>
      <c r="Q70" s="451"/>
      <c r="R70" s="451"/>
      <c r="S70" s="452"/>
    </row>
    <row r="71" s="370" customFormat="1" ht="45.95" customHeight="1" spans="1:22">
      <c r="A71" s="391" t="s">
        <v>37</v>
      </c>
      <c r="B71" s="392"/>
      <c r="C71" s="392"/>
      <c r="D71" s="407">
        <v>1</v>
      </c>
      <c r="E71" s="408"/>
      <c r="F71" s="408"/>
      <c r="G71" s="408"/>
      <c r="H71" s="408"/>
      <c r="I71" s="408"/>
      <c r="J71" s="408"/>
      <c r="K71" s="408"/>
      <c r="L71" s="433"/>
      <c r="M71" s="392" t="s">
        <v>38</v>
      </c>
      <c r="N71" s="392"/>
      <c r="O71" s="392"/>
      <c r="P71" s="406" t="str">
        <f ca="1">D69</f>
        <v>XX</v>
      </c>
      <c r="Q71" s="406"/>
      <c r="R71" s="406"/>
      <c r="S71" s="444"/>
      <c r="U71" s="370" t="str">
        <f ca="1">水泥砂浆配合比设计报告3!J4</f>
        <v>JGJ/T 98-2010、JGJ/T 70-2009、JTG E30-2005</v>
      </c>
      <c r="V71" s="370" t="s">
        <v>39</v>
      </c>
    </row>
    <row r="72" s="370" customFormat="1" ht="45.95" customHeight="1" spans="1:21">
      <c r="A72" s="391" t="s">
        <v>40</v>
      </c>
      <c r="B72" s="392"/>
      <c r="C72" s="392"/>
      <c r="D72" s="407" t="s">
        <v>41</v>
      </c>
      <c r="E72" s="408"/>
      <c r="F72" s="408"/>
      <c r="G72" s="408"/>
      <c r="H72" s="408"/>
      <c r="I72" s="408"/>
      <c r="J72" s="408"/>
      <c r="K72" s="408"/>
      <c r="L72" s="433"/>
      <c r="M72" s="392" t="s">
        <v>42</v>
      </c>
      <c r="N72" s="392"/>
      <c r="O72" s="392"/>
      <c r="P72" s="406" t="str">
        <f>[1]砼细集封面!$P$72</f>
        <v>XX</v>
      </c>
      <c r="Q72" s="406"/>
      <c r="R72" s="406"/>
      <c r="S72" s="444"/>
      <c r="U72" s="370" t="str">
        <f ca="1">水泥砂浆配合比设计报告3!J5</f>
        <v>GB50203-20l1</v>
      </c>
    </row>
    <row r="73" s="370" customFormat="1" ht="45.95" customHeight="1" spans="1:21">
      <c r="A73" s="391" t="s">
        <v>43</v>
      </c>
      <c r="B73" s="392"/>
      <c r="C73" s="392"/>
      <c r="D73" s="417" t="str">
        <f ca="1">U71&amp;V71&amp;U72</f>
        <v>JGJ/T 98-2010、JGJ/T 70-2009、JTG E30-2005、GB50203-20l1</v>
      </c>
      <c r="E73" s="406"/>
      <c r="F73" s="406"/>
      <c r="G73" s="406"/>
      <c r="H73" s="406"/>
      <c r="I73" s="406"/>
      <c r="J73" s="406"/>
      <c r="K73" s="406"/>
      <c r="L73" s="406"/>
      <c r="M73" s="406"/>
      <c r="N73" s="406"/>
      <c r="O73" s="406"/>
      <c r="P73" s="406"/>
      <c r="Q73" s="406"/>
      <c r="R73" s="406"/>
      <c r="S73" s="444"/>
      <c r="U73" s="370" t="s">
        <v>44</v>
      </c>
    </row>
    <row r="74" s="370" customFormat="1" ht="15.95" customHeight="1" spans="1:21">
      <c r="A74" s="418"/>
      <c r="B74" s="419"/>
      <c r="C74" s="419"/>
      <c r="D74" s="420" t="str">
        <f ca="1">U74&amp;U75&amp;U76&amp;U77&amp;U78&amp;U79&amp;U80&amp;U81&amp;U82&amp;U83&amp;U84&amp;U85&amp;U86&amp;U87&amp;U88&amp;U89&amp;U90</f>
        <v>    经检验采用三个不同水灰比试验，确定试验室配合比：配制M7.5砂浆配合比，每立方米材料用量（kg/m3）=245：1680：223：=1：6.86：0.91。7天抗压强度8.8MPa，28天抗压强度13.6Mpa。满足规范试配强度：9.0Mpa，详见水泥砂浆配合比设计试验检测报告。</v>
      </c>
      <c r="E74" s="421"/>
      <c r="F74" s="421"/>
      <c r="G74" s="421"/>
      <c r="H74" s="421"/>
      <c r="I74" s="421"/>
      <c r="J74" s="421"/>
      <c r="K74" s="421"/>
      <c r="L74" s="421"/>
      <c r="M74" s="421"/>
      <c r="N74" s="421"/>
      <c r="O74" s="421"/>
      <c r="P74" s="421"/>
      <c r="Q74" s="421"/>
      <c r="R74" s="421"/>
      <c r="S74" s="453"/>
      <c r="U74" s="370" t="s">
        <v>45</v>
      </c>
    </row>
    <row r="75" s="370" customFormat="1" ht="15.95" customHeight="1" spans="1:21">
      <c r="A75" s="418"/>
      <c r="B75" s="419"/>
      <c r="C75" s="419"/>
      <c r="D75" s="422"/>
      <c r="E75" s="423"/>
      <c r="F75" s="423"/>
      <c r="G75" s="423"/>
      <c r="H75" s="423"/>
      <c r="I75" s="423"/>
      <c r="J75" s="423"/>
      <c r="K75" s="423"/>
      <c r="L75" s="423"/>
      <c r="M75" s="423"/>
      <c r="N75" s="423"/>
      <c r="O75" s="423"/>
      <c r="P75" s="423"/>
      <c r="Q75" s="423"/>
      <c r="R75" s="423"/>
      <c r="S75" s="454"/>
      <c r="U75" s="455" t="s">
        <v>46</v>
      </c>
    </row>
    <row r="76" s="370" customFormat="1" ht="15.95" customHeight="1" spans="1:21">
      <c r="A76" s="418" t="s">
        <v>47</v>
      </c>
      <c r="B76" s="419"/>
      <c r="C76" s="419"/>
      <c r="D76" s="422"/>
      <c r="E76" s="423"/>
      <c r="F76" s="423"/>
      <c r="G76" s="423"/>
      <c r="H76" s="423"/>
      <c r="I76" s="423"/>
      <c r="J76" s="423"/>
      <c r="K76" s="423"/>
      <c r="L76" s="423"/>
      <c r="M76" s="423"/>
      <c r="N76" s="423"/>
      <c r="O76" s="423"/>
      <c r="P76" s="423"/>
      <c r="Q76" s="423"/>
      <c r="R76" s="423"/>
      <c r="S76" s="454"/>
      <c r="U76" s="370" t="s">
        <v>48</v>
      </c>
    </row>
    <row r="77" s="370" customFormat="1" ht="15.95" customHeight="1" spans="1:21">
      <c r="A77" s="418"/>
      <c r="B77" s="419"/>
      <c r="C77" s="419"/>
      <c r="D77" s="422"/>
      <c r="E77" s="423"/>
      <c r="F77" s="423"/>
      <c r="G77" s="423"/>
      <c r="H77" s="423"/>
      <c r="I77" s="423"/>
      <c r="J77" s="423"/>
      <c r="K77" s="423"/>
      <c r="L77" s="423"/>
      <c r="M77" s="423"/>
      <c r="N77" s="423"/>
      <c r="O77" s="423"/>
      <c r="P77" s="423"/>
      <c r="Q77" s="423"/>
      <c r="R77" s="423"/>
      <c r="S77" s="454"/>
      <c r="U77" s="456" t="str">
        <f ca="1">砂浆配合比记录1!Q24</f>
        <v>245：1680：223：</v>
      </c>
    </row>
    <row r="78" s="370" customFormat="1" ht="15.95" customHeight="1" spans="1:21">
      <c r="A78" s="418"/>
      <c r="B78" s="419"/>
      <c r="C78" s="419"/>
      <c r="D78" s="422"/>
      <c r="E78" s="423"/>
      <c r="F78" s="423"/>
      <c r="G78" s="423"/>
      <c r="H78" s="423"/>
      <c r="I78" s="423"/>
      <c r="J78" s="423"/>
      <c r="K78" s="423"/>
      <c r="L78" s="423"/>
      <c r="M78" s="423"/>
      <c r="N78" s="423"/>
      <c r="O78" s="423"/>
      <c r="P78" s="423"/>
      <c r="Q78" s="423"/>
      <c r="R78" s="423"/>
      <c r="S78" s="454"/>
      <c r="U78" s="457" t="s">
        <v>49</v>
      </c>
    </row>
    <row r="79" s="370" customFormat="1" ht="15.95" customHeight="1" spans="1:21">
      <c r="A79" s="418" t="s">
        <v>50</v>
      </c>
      <c r="B79" s="419"/>
      <c r="C79" s="419"/>
      <c r="D79" s="422"/>
      <c r="E79" s="423"/>
      <c r="F79" s="423"/>
      <c r="G79" s="423"/>
      <c r="H79" s="423"/>
      <c r="I79" s="423"/>
      <c r="J79" s="423"/>
      <c r="K79" s="423"/>
      <c r="L79" s="423"/>
      <c r="M79" s="423"/>
      <c r="N79" s="423"/>
      <c r="O79" s="423"/>
      <c r="P79" s="423"/>
      <c r="Q79" s="423"/>
      <c r="R79" s="423"/>
      <c r="S79" s="454"/>
      <c r="U79" s="456" t="str">
        <f ca="1">砂浆配合比记录1!G23</f>
        <v>1：6.86：0.91</v>
      </c>
    </row>
    <row r="80" s="370" customFormat="1" ht="15.95" customHeight="1" spans="1:21">
      <c r="A80" s="418"/>
      <c r="B80" s="419"/>
      <c r="C80" s="419"/>
      <c r="D80" s="422"/>
      <c r="E80" s="423"/>
      <c r="F80" s="423"/>
      <c r="G80" s="423"/>
      <c r="H80" s="423"/>
      <c r="I80" s="423"/>
      <c r="J80" s="423"/>
      <c r="K80" s="423"/>
      <c r="L80" s="423"/>
      <c r="M80" s="423"/>
      <c r="N80" s="423"/>
      <c r="O80" s="423"/>
      <c r="P80" s="423"/>
      <c r="Q80" s="423"/>
      <c r="R80" s="423"/>
      <c r="S80" s="454"/>
      <c r="U80" s="457" t="s">
        <v>51</v>
      </c>
    </row>
    <row r="81" s="370" customFormat="1" ht="15.95" customHeight="1" spans="1:22">
      <c r="A81" s="418"/>
      <c r="B81" s="419"/>
      <c r="C81" s="419"/>
      <c r="D81" s="422"/>
      <c r="E81" s="423"/>
      <c r="F81" s="423"/>
      <c r="G81" s="423"/>
      <c r="H81" s="423"/>
      <c r="I81" s="423"/>
      <c r="J81" s="423"/>
      <c r="K81" s="423"/>
      <c r="L81" s="423"/>
      <c r="M81" s="423"/>
      <c r="N81" s="423"/>
      <c r="O81" s="423"/>
      <c r="P81" s="423"/>
      <c r="Q81" s="423"/>
      <c r="R81" s="423"/>
      <c r="S81" s="454"/>
      <c r="U81" s="457" t="s">
        <v>52</v>
      </c>
      <c r="V81" s="370" t="str">
        <f>TEXT(A1,"0.00")&amp;V88&amp;W88&amp;X88&amp;Y88&amp;Z88</f>
        <v>0.005.35:5.23:5.1</v>
      </c>
    </row>
    <row r="82" s="370" customFormat="1" ht="15.95" customHeight="1" spans="1:21">
      <c r="A82" s="418" t="s">
        <v>53</v>
      </c>
      <c r="B82" s="419"/>
      <c r="C82" s="419"/>
      <c r="D82" s="422"/>
      <c r="E82" s="423"/>
      <c r="F82" s="423"/>
      <c r="G82" s="423"/>
      <c r="H82" s="423"/>
      <c r="I82" s="423"/>
      <c r="J82" s="423"/>
      <c r="K82" s="423"/>
      <c r="L82" s="423"/>
      <c r="M82" s="423"/>
      <c r="N82" s="423"/>
      <c r="O82" s="423"/>
      <c r="P82" s="423"/>
      <c r="Q82" s="423"/>
      <c r="R82" s="423"/>
      <c r="S82" s="454"/>
      <c r="U82" s="456">
        <f ca="1">砂浆配合比记录2!M14</f>
        <v>8.8</v>
      </c>
    </row>
    <row r="83" s="370" customFormat="1" ht="15.95" customHeight="1" spans="1:21">
      <c r="A83" s="418"/>
      <c r="B83" s="419"/>
      <c r="C83" s="419"/>
      <c r="D83" s="424"/>
      <c r="E83" s="425"/>
      <c r="F83" s="425"/>
      <c r="G83" s="425"/>
      <c r="H83" s="425"/>
      <c r="I83" s="425"/>
      <c r="J83" s="425"/>
      <c r="K83" s="425"/>
      <c r="L83" s="425"/>
      <c r="M83" s="425"/>
      <c r="N83" s="425"/>
      <c r="O83" s="425"/>
      <c r="P83" s="425"/>
      <c r="Q83" s="425"/>
      <c r="R83" s="425"/>
      <c r="S83" s="458"/>
      <c r="U83" s="457" t="s">
        <v>54</v>
      </c>
    </row>
    <row r="84" s="370" customFormat="1" ht="15.95" customHeight="1" spans="1:21">
      <c r="A84" s="418"/>
      <c r="B84" s="419"/>
      <c r="C84" s="419"/>
      <c r="D84" s="426"/>
      <c r="E84" s="427"/>
      <c r="F84" s="427"/>
      <c r="G84" s="427"/>
      <c r="H84" s="427"/>
      <c r="I84" s="427"/>
      <c r="J84" s="427"/>
      <c r="K84" s="427"/>
      <c r="L84" s="441"/>
      <c r="M84" s="441" t="s">
        <v>55</v>
      </c>
      <c r="N84" s="441"/>
      <c r="O84" s="441"/>
      <c r="P84" s="441"/>
      <c r="Q84" s="441"/>
      <c r="R84" s="441"/>
      <c r="S84" s="459"/>
      <c r="U84" s="457" t="s">
        <v>56</v>
      </c>
    </row>
    <row r="85" s="370" customFormat="1" ht="15.95" customHeight="1" spans="1:21">
      <c r="A85" s="418" t="s">
        <v>57</v>
      </c>
      <c r="B85" s="419"/>
      <c r="C85" s="419"/>
      <c r="D85" s="426"/>
      <c r="E85" s="427"/>
      <c r="F85" s="427"/>
      <c r="G85" s="427"/>
      <c r="H85" s="427"/>
      <c r="I85" s="427"/>
      <c r="J85" s="427"/>
      <c r="K85" s="427"/>
      <c r="L85" s="441"/>
      <c r="M85" s="441"/>
      <c r="N85" s="441"/>
      <c r="O85" s="441"/>
      <c r="P85" s="441"/>
      <c r="Q85" s="441"/>
      <c r="R85" s="441"/>
      <c r="S85" s="459"/>
      <c r="U85" s="456">
        <f ca="1">砂浆配合比记录2!N14</f>
        <v>13.6</v>
      </c>
    </row>
    <row r="86" s="370" customFormat="1" ht="15.95" customHeight="1" spans="1:21">
      <c r="A86" s="418"/>
      <c r="B86" s="419"/>
      <c r="C86" s="419"/>
      <c r="D86" s="426"/>
      <c r="E86" s="427"/>
      <c r="F86" s="427"/>
      <c r="G86" s="427"/>
      <c r="H86" s="427"/>
      <c r="I86" s="427"/>
      <c r="J86" s="427"/>
      <c r="K86" s="427"/>
      <c r="L86" s="442" t="s">
        <v>58</v>
      </c>
      <c r="M86" s="442"/>
      <c r="N86" s="442"/>
      <c r="O86" s="443">
        <f ca="1">水泥砂浆配合比设计报告3!J14+1</f>
        <v>29</v>
      </c>
      <c r="P86" s="443"/>
      <c r="Q86" s="443"/>
      <c r="R86" s="443"/>
      <c r="S86" s="460"/>
      <c r="U86" s="457" t="s">
        <v>59</v>
      </c>
    </row>
    <row r="87" s="370" customFormat="1" ht="15.95" customHeight="1" spans="1:22">
      <c r="A87" s="428"/>
      <c r="B87" s="429"/>
      <c r="C87" s="429"/>
      <c r="D87" s="393"/>
      <c r="E87" s="394"/>
      <c r="F87" s="394"/>
      <c r="G87" s="394"/>
      <c r="H87" s="394"/>
      <c r="I87" s="394"/>
      <c r="J87" s="394"/>
      <c r="K87" s="394"/>
      <c r="L87" s="394"/>
      <c r="M87" s="394"/>
      <c r="N87" s="394"/>
      <c r="O87" s="394"/>
      <c r="P87" s="394"/>
      <c r="Q87" s="394"/>
      <c r="R87" s="394"/>
      <c r="S87" s="461"/>
      <c r="U87" s="457" t="s">
        <v>60</v>
      </c>
      <c r="V87" s="370" t="s">
        <v>61</v>
      </c>
    </row>
    <row r="88" s="370" customFormat="1" ht="22.5" customHeight="1" spans="1:26">
      <c r="A88" s="430" t="s">
        <v>62</v>
      </c>
      <c r="B88" s="431"/>
      <c r="C88" s="431"/>
      <c r="D88" s="431" t="s">
        <v>63</v>
      </c>
      <c r="E88" s="431"/>
      <c r="F88" s="431"/>
      <c r="G88" s="431"/>
      <c r="H88" s="431"/>
      <c r="I88" s="431"/>
      <c r="J88" s="431"/>
      <c r="K88" s="431"/>
      <c r="L88" s="431"/>
      <c r="M88" s="431"/>
      <c r="N88" s="431"/>
      <c r="O88" s="431"/>
      <c r="P88" s="431"/>
      <c r="Q88" s="431"/>
      <c r="R88" s="431"/>
      <c r="S88" s="462"/>
      <c r="U88" s="463" t="str">
        <f ca="1">砂浆配合比记录1!L6</f>
        <v>9.0</v>
      </c>
      <c r="V88" s="464">
        <v>5.35</v>
      </c>
      <c r="W88" s="464" t="s">
        <v>64</v>
      </c>
      <c r="X88" s="464">
        <v>5.23</v>
      </c>
      <c r="Y88" s="464" t="s">
        <v>64</v>
      </c>
      <c r="Z88" s="464">
        <v>5.1</v>
      </c>
    </row>
    <row r="89" s="371" customFormat="1" ht="18.75" customHeight="1" spans="1:26">
      <c r="A89" s="432" t="s">
        <v>65</v>
      </c>
      <c r="B89" s="432"/>
      <c r="C89" s="432"/>
      <c r="D89" s="432"/>
      <c r="E89" s="432"/>
      <c r="F89" s="432"/>
      <c r="G89" s="432"/>
      <c r="H89" s="432"/>
      <c r="I89" s="432"/>
      <c r="J89" s="432"/>
      <c r="K89" s="432"/>
      <c r="L89" s="432"/>
      <c r="M89" s="432"/>
      <c r="N89" s="432"/>
      <c r="O89" s="432"/>
      <c r="P89" s="432"/>
      <c r="Q89" s="432"/>
      <c r="R89" s="432"/>
      <c r="S89" s="432"/>
      <c r="U89" s="371" t="s">
        <v>66</v>
      </c>
      <c r="V89" s="465" t="str">
        <f>V88&amp;W88&amp;X88&amp;Y88&amp;Z88</f>
        <v>5.35:5.23:5.1</v>
      </c>
      <c r="W89" s="465"/>
      <c r="X89" s="465"/>
      <c r="Y89" s="465"/>
      <c r="Z89" s="465"/>
    </row>
    <row r="90" s="370" customFormat="1" spans="21:26">
      <c r="U90" s="370" t="s">
        <v>67</v>
      </c>
      <c r="V90" s="465" t="str">
        <f>CONCATENATE(V88,W88,X88,Y88,Z88)</f>
        <v>5.35:5.23:5.1</v>
      </c>
      <c r="W90" s="465"/>
      <c r="X90" s="465"/>
      <c r="Y90" s="465"/>
      <c r="Z90" s="465"/>
    </row>
    <row r="91" s="370" customFormat="1"/>
    <row r="92" s="370" customFormat="1" ht="17.5" spans="5:5">
      <c r="E92" s="74" t="s">
        <v>68</v>
      </c>
    </row>
    <row r="93" s="370" customFormat="1" ht="28.5" customHeight="1" spans="5:24">
      <c r="E93" s="74" t="s">
        <v>69</v>
      </c>
      <c r="X93" s="370" t="str">
        <f>TEXT(V84,"0.00")&amp;X88&amp;Z88</f>
        <v>0.005.235.1</v>
      </c>
    </row>
    <row r="94" s="370" customFormat="1" ht="17.5" spans="5:5">
      <c r="E94" s="74" t="s">
        <v>70</v>
      </c>
    </row>
    <row r="95" s="370" customFormat="1" ht="17.5" spans="5:5">
      <c r="E95" s="74" t="s">
        <v>71</v>
      </c>
    </row>
    <row r="96" s="370" customFormat="1"/>
    <row r="97" s="370" customFormat="1" spans="4:4">
      <c r="D97" s="370">
        <v>5.35</v>
      </c>
    </row>
    <row r="98" s="370" customFormat="1"/>
    <row r="99" s="370" customFormat="1"/>
    <row r="100" s="370" customFormat="1"/>
    <row r="101" s="370" customFormat="1"/>
    <row r="102" s="370" customFormat="1"/>
    <row r="103" s="370" customFormat="1"/>
  </sheetData>
  <mergeCells count="101">
    <mergeCell ref="K1:L1"/>
    <mergeCell ref="M1:S1"/>
    <mergeCell ref="A3:C3"/>
    <mergeCell ref="D3:J3"/>
    <mergeCell ref="K3:L3"/>
    <mergeCell ref="M3:N3"/>
    <mergeCell ref="O3:S3"/>
    <mergeCell ref="K4:L4"/>
    <mergeCell ref="M4:S4"/>
    <mergeCell ref="C25:F25"/>
    <mergeCell ref="H25:Q25"/>
    <mergeCell ref="C26:F26"/>
    <mergeCell ref="H26:Q26"/>
    <mergeCell ref="C27:F27"/>
    <mergeCell ref="H27:Q27"/>
    <mergeCell ref="A33:S33"/>
    <mergeCell ref="A39:S39"/>
    <mergeCell ref="A41:B41"/>
    <mergeCell ref="C41:S41"/>
    <mergeCell ref="A42:B42"/>
    <mergeCell ref="C42:S42"/>
    <mergeCell ref="A43:B43"/>
    <mergeCell ref="C43:S43"/>
    <mergeCell ref="A44:B44"/>
    <mergeCell ref="C44:S44"/>
    <mergeCell ref="A45:B45"/>
    <mergeCell ref="C45:S45"/>
    <mergeCell ref="C46:S46"/>
    <mergeCell ref="A47:B47"/>
    <mergeCell ref="C47:S47"/>
    <mergeCell ref="A48:B48"/>
    <mergeCell ref="C48:S48"/>
    <mergeCell ref="A49:B49"/>
    <mergeCell ref="C49:S49"/>
    <mergeCell ref="A50:B50"/>
    <mergeCell ref="C50:S50"/>
    <mergeCell ref="A51:B51"/>
    <mergeCell ref="C51:S51"/>
    <mergeCell ref="C52:S52"/>
    <mergeCell ref="K55:R55"/>
    <mergeCell ref="K56:R56"/>
    <mergeCell ref="K57:R57"/>
    <mergeCell ref="A62:S62"/>
    <mergeCell ref="M63:O63"/>
    <mergeCell ref="P63:S63"/>
    <mergeCell ref="M64:O64"/>
    <mergeCell ref="P64:S64"/>
    <mergeCell ref="A65:C65"/>
    <mergeCell ref="D65:S65"/>
    <mergeCell ref="A66:C66"/>
    <mergeCell ref="D66:L66"/>
    <mergeCell ref="M66:O66"/>
    <mergeCell ref="P66:S66"/>
    <mergeCell ref="P69:S69"/>
    <mergeCell ref="P70:S70"/>
    <mergeCell ref="A71:C71"/>
    <mergeCell ref="D71:L71"/>
    <mergeCell ref="M71:O71"/>
    <mergeCell ref="P71:S71"/>
    <mergeCell ref="A72:C72"/>
    <mergeCell ref="D72:L72"/>
    <mergeCell ref="M72:O72"/>
    <mergeCell ref="P72:S72"/>
    <mergeCell ref="A73:C73"/>
    <mergeCell ref="D73:S73"/>
    <mergeCell ref="A74:C74"/>
    <mergeCell ref="A75:C75"/>
    <mergeCell ref="A76:C76"/>
    <mergeCell ref="A77:C77"/>
    <mergeCell ref="A78:C78"/>
    <mergeCell ref="A79:C79"/>
    <mergeCell ref="A80:C80"/>
    <mergeCell ref="A81:C81"/>
    <mergeCell ref="V81:Y81"/>
    <mergeCell ref="A82:C82"/>
    <mergeCell ref="A83:C83"/>
    <mergeCell ref="A84:C84"/>
    <mergeCell ref="M84:R84"/>
    <mergeCell ref="A85:C85"/>
    <mergeCell ref="A86:C86"/>
    <mergeCell ref="L86:N86"/>
    <mergeCell ref="O86:S86"/>
    <mergeCell ref="A87:C87"/>
    <mergeCell ref="V87:Z87"/>
    <mergeCell ref="A88:C88"/>
    <mergeCell ref="D88:S88"/>
    <mergeCell ref="A89:S89"/>
    <mergeCell ref="V89:Z89"/>
    <mergeCell ref="V90:Z90"/>
    <mergeCell ref="X93:Z93"/>
    <mergeCell ref="A69:C70"/>
    <mergeCell ref="M69:O70"/>
    <mergeCell ref="D67:L68"/>
    <mergeCell ref="A67:C68"/>
    <mergeCell ref="M67:O68"/>
    <mergeCell ref="D74:S82"/>
    <mergeCell ref="D69:L70"/>
    <mergeCell ref="P67:S68"/>
    <mergeCell ref="A63:C64"/>
    <mergeCell ref="D63:L64"/>
    <mergeCell ref="A7:S21"/>
  </mergeCells>
  <printOptions horizontalCentered="1" verticalCentered="1"/>
  <pageMargins left="0.78740157480315" right="0.590551181102362" top="0.984251968503937" bottom="0.590551181102362" header="0.590551181102362" footer="0.511811023622047"/>
  <pageSetup paperSize="9" orientation="portrait"/>
  <headerFooter alignWithMargins="0">
    <oddHeader>&amp;R第 &amp;P 页共 &amp;[5 页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50"/>
  </sheetPr>
  <dimension ref="A1:Q43"/>
  <sheetViews>
    <sheetView view="pageBreakPreview" zoomScaleNormal="100" zoomScaleSheetLayoutView="100" workbookViewId="0">
      <selection activeCell="N22" sqref="N22"/>
    </sheetView>
  </sheetViews>
  <sheetFormatPr defaultColWidth="9" defaultRowHeight="15"/>
  <cols>
    <col min="1" max="1" width="3.625" style="306" customWidth="1"/>
    <col min="2" max="2" width="4.625" style="306" customWidth="1"/>
    <col min="3" max="4" width="8.625" style="306" customWidth="1"/>
    <col min="5" max="5" width="7.5" style="306" customWidth="1"/>
    <col min="6" max="6" width="7.75" style="306" customWidth="1"/>
    <col min="7" max="7" width="9.375" style="306" customWidth="1"/>
    <col min="8" max="8" width="8.625" style="306" customWidth="1"/>
    <col min="9" max="9" width="8.125" style="306" customWidth="1"/>
    <col min="10" max="10" width="12.875" style="306" customWidth="1"/>
    <col min="11" max="16384" width="9" style="306"/>
  </cols>
  <sheetData>
    <row r="1" ht="37.5" customHeight="1" spans="1:10">
      <c r="A1" s="307" t="s">
        <v>72</v>
      </c>
      <c r="B1" s="307"/>
      <c r="C1" s="307"/>
      <c r="D1" s="307"/>
      <c r="E1" s="307"/>
      <c r="F1" s="307"/>
      <c r="G1" s="307"/>
      <c r="H1" s="307"/>
      <c r="I1" s="307"/>
      <c r="J1" s="350" t="s">
        <v>73</v>
      </c>
    </row>
    <row r="2" s="304" customFormat="1" ht="22.5" customHeight="1" spans="1:10">
      <c r="A2" s="308" t="str">
        <f>[2]砼用细集料报告11!$A$2</f>
        <v>试验室名称:红河路友建筑工程材料检测有限公司</v>
      </c>
      <c r="B2" s="308"/>
      <c r="C2" s="308"/>
      <c r="D2" s="308"/>
      <c r="E2" s="308"/>
      <c r="F2" s="308"/>
      <c r="G2" s="309" t="s">
        <v>74</v>
      </c>
      <c r="H2" s="310">
        <v>0</v>
      </c>
      <c r="I2" s="310"/>
      <c r="J2" s="310"/>
    </row>
    <row r="3" s="304" customFormat="1" ht="18.75" customHeight="1" spans="1:10">
      <c r="A3" s="311" t="s">
        <v>75</v>
      </c>
      <c r="B3" s="312"/>
      <c r="C3" s="312" t="str">
        <f>[1]砼用细集料报告11!$C$3</f>
        <v>XX</v>
      </c>
      <c r="D3" s="312"/>
      <c r="E3" s="312"/>
      <c r="F3" s="312"/>
      <c r="G3" s="312" t="s">
        <v>76</v>
      </c>
      <c r="H3" s="313">
        <v>0</v>
      </c>
      <c r="I3" s="313"/>
      <c r="J3" s="351"/>
    </row>
    <row r="4" s="304" customFormat="1" ht="18.75" customHeight="1" spans="1:10">
      <c r="A4" s="314" t="s">
        <v>77</v>
      </c>
      <c r="B4" s="315"/>
      <c r="C4" s="316" t="s">
        <v>78</v>
      </c>
      <c r="D4" s="316"/>
      <c r="E4" s="316"/>
      <c r="F4" s="316"/>
      <c r="G4" s="316" t="s">
        <v>79</v>
      </c>
      <c r="H4" s="317">
        <v>7.5</v>
      </c>
      <c r="I4" s="317"/>
      <c r="J4" s="352"/>
    </row>
    <row r="5" s="304" customFormat="1" ht="18.75" customHeight="1" spans="1:10">
      <c r="A5" s="314" t="s">
        <v>80</v>
      </c>
      <c r="B5" s="315" t="s">
        <v>81</v>
      </c>
      <c r="C5" s="315" t="s">
        <v>82</v>
      </c>
      <c r="D5" s="315" t="s">
        <v>83</v>
      </c>
      <c r="E5" s="315" t="s">
        <v>84</v>
      </c>
      <c r="F5" s="315"/>
      <c r="G5" s="315"/>
      <c r="H5" s="315"/>
      <c r="I5" s="315"/>
      <c r="J5" s="353"/>
    </row>
    <row r="6" s="304" customFormat="1" ht="18.75" customHeight="1" spans="1:10">
      <c r="A6" s="318"/>
      <c r="B6" s="319"/>
      <c r="C6" s="319"/>
      <c r="D6" s="319"/>
      <c r="E6" s="319" t="s">
        <v>85</v>
      </c>
      <c r="F6" s="319"/>
      <c r="G6" s="319" t="s">
        <v>86</v>
      </c>
      <c r="H6" s="319" t="s">
        <v>87</v>
      </c>
      <c r="I6" s="319" t="s">
        <v>88</v>
      </c>
      <c r="J6" s="354" t="s">
        <v>28</v>
      </c>
    </row>
    <row r="7" s="304" customFormat="1" ht="17.25" customHeight="1" spans="1:10">
      <c r="A7" s="320">
        <v>1</v>
      </c>
      <c r="B7" s="321" t="s">
        <v>89</v>
      </c>
      <c r="C7" s="322" t="str">
        <f>[3]水泥报告!$C$10</f>
        <v>广西华润</v>
      </c>
      <c r="D7" s="321" t="str">
        <f>[3]水泥报告!$C$11</f>
        <v>P·C32.5</v>
      </c>
      <c r="E7" s="321" t="s">
        <v>90</v>
      </c>
      <c r="F7" s="321"/>
      <c r="G7" s="323">
        <v>45</v>
      </c>
      <c r="H7" s="322">
        <f>[3]水泥报告!$G$15</f>
        <v>198</v>
      </c>
      <c r="I7" s="315" t="s">
        <v>91</v>
      </c>
      <c r="J7" s="355">
        <f>[3]水泥报告!$H$2</f>
        <v>0</v>
      </c>
    </row>
    <row r="8" s="304" customFormat="1" ht="17.25" customHeight="1" spans="1:10">
      <c r="A8" s="314"/>
      <c r="B8" s="315"/>
      <c r="C8" s="324"/>
      <c r="D8" s="315"/>
      <c r="E8" s="315" t="s">
        <v>92</v>
      </c>
      <c r="F8" s="315"/>
      <c r="G8" s="325">
        <v>600</v>
      </c>
      <c r="H8" s="324">
        <f>[3]水泥报告!$G$16</f>
        <v>274</v>
      </c>
      <c r="I8" s="315" t="s">
        <v>91</v>
      </c>
      <c r="J8" s="355"/>
    </row>
    <row r="9" s="304" customFormat="1" ht="17.25" customHeight="1" spans="1:10">
      <c r="A9" s="314"/>
      <c r="B9" s="315"/>
      <c r="C9" s="324"/>
      <c r="D9" s="315"/>
      <c r="E9" s="315" t="s">
        <v>93</v>
      </c>
      <c r="F9" s="315"/>
      <c r="G9" s="315" t="s">
        <v>91</v>
      </c>
      <c r="H9" s="324" t="str">
        <f>[3]水泥报告!$G$18</f>
        <v>合格</v>
      </c>
      <c r="I9" s="315" t="s">
        <v>91</v>
      </c>
      <c r="J9" s="355"/>
    </row>
    <row r="10" s="304" customFormat="1" ht="17.25" customHeight="1" spans="1:10">
      <c r="A10" s="314"/>
      <c r="B10" s="315"/>
      <c r="C10" s="324"/>
      <c r="D10" s="315"/>
      <c r="E10" s="315" t="s">
        <v>94</v>
      </c>
      <c r="F10" s="315"/>
      <c r="G10" s="326">
        <f>[3]水泥报告!$F$21</f>
        <v>5.5</v>
      </c>
      <c r="H10" s="327">
        <f>[3]水泥报告!$H$22</f>
        <v>7.75</v>
      </c>
      <c r="I10" s="315" t="s">
        <v>91</v>
      </c>
      <c r="J10" s="355"/>
    </row>
    <row r="11" s="304" customFormat="1" ht="17.25" customHeight="1" spans="1:10">
      <c r="A11" s="314"/>
      <c r="B11" s="315"/>
      <c r="C11" s="324"/>
      <c r="D11" s="315"/>
      <c r="E11" s="315" t="s">
        <v>95</v>
      </c>
      <c r="F11" s="315"/>
      <c r="G11" s="328">
        <f>[3]水泥报告!$F$26</f>
        <v>32.5</v>
      </c>
      <c r="H11" s="327">
        <f>[3]水泥报告!$H$28</f>
        <v>38.65</v>
      </c>
      <c r="I11" s="315" t="s">
        <v>91</v>
      </c>
      <c r="J11" s="356"/>
    </row>
    <row r="12" s="304" customFormat="1" ht="17.25" customHeight="1" spans="1:14">
      <c r="A12" s="329">
        <v>2</v>
      </c>
      <c r="B12" s="330" t="s">
        <v>96</v>
      </c>
      <c r="C12" s="331" t="s">
        <v>78</v>
      </c>
      <c r="D12" s="330" t="s">
        <v>78</v>
      </c>
      <c r="E12" s="315" t="s">
        <v>97</v>
      </c>
      <c r="F12" s="315"/>
      <c r="G12" s="315" t="s">
        <v>78</v>
      </c>
      <c r="H12" s="324" t="s">
        <v>78</v>
      </c>
      <c r="I12" s="324" t="s">
        <v>78</v>
      </c>
      <c r="J12" s="357" t="s">
        <v>78</v>
      </c>
      <c r="N12" s="304" t="s">
        <v>98</v>
      </c>
    </row>
    <row r="13" s="304" customFormat="1" ht="17.25" customHeight="1" spans="1:10">
      <c r="A13" s="332"/>
      <c r="B13" s="333"/>
      <c r="C13" s="334"/>
      <c r="D13" s="333"/>
      <c r="E13" s="315" t="s">
        <v>99</v>
      </c>
      <c r="F13" s="315"/>
      <c r="G13" s="315" t="s">
        <v>100</v>
      </c>
      <c r="H13" s="324" t="s">
        <v>78</v>
      </c>
      <c r="I13" s="324" t="s">
        <v>78</v>
      </c>
      <c r="J13" s="358"/>
    </row>
    <row r="14" s="304" customFormat="1" ht="17.25" customHeight="1" spans="1:10">
      <c r="A14" s="332"/>
      <c r="B14" s="333"/>
      <c r="C14" s="334"/>
      <c r="D14" s="333"/>
      <c r="E14" s="315" t="s">
        <v>101</v>
      </c>
      <c r="F14" s="315"/>
      <c r="G14" s="315" t="s">
        <v>102</v>
      </c>
      <c r="H14" s="324" t="s">
        <v>78</v>
      </c>
      <c r="I14" s="324" t="s">
        <v>78</v>
      </c>
      <c r="J14" s="358"/>
    </row>
    <row r="15" s="304" customFormat="1" ht="17.25" customHeight="1" spans="1:10">
      <c r="A15" s="320"/>
      <c r="B15" s="321"/>
      <c r="C15" s="322"/>
      <c r="D15" s="321"/>
      <c r="E15" s="315" t="s">
        <v>103</v>
      </c>
      <c r="F15" s="315"/>
      <c r="G15" s="315" t="s">
        <v>100</v>
      </c>
      <c r="H15" s="324" t="s">
        <v>78</v>
      </c>
      <c r="I15" s="324" t="s">
        <v>78</v>
      </c>
      <c r="J15" s="359"/>
    </row>
    <row r="16" s="304" customFormat="1" ht="17.25" customHeight="1" spans="1:10">
      <c r="A16" s="332">
        <v>3</v>
      </c>
      <c r="B16" s="333" t="s">
        <v>104</v>
      </c>
      <c r="C16" s="335" t="str">
        <f>[1]砼用细集料报告11!$C$8</f>
        <v>XX</v>
      </c>
      <c r="D16" s="336" t="s">
        <v>98</v>
      </c>
      <c r="E16" s="321" t="s">
        <v>105</v>
      </c>
      <c r="F16" s="321"/>
      <c r="G16" s="337" t="s">
        <v>106</v>
      </c>
      <c r="H16" s="322" t="s">
        <v>78</v>
      </c>
      <c r="I16" s="322" t="s">
        <v>78</v>
      </c>
      <c r="J16" s="360">
        <f>[1]砼用细集料报告11!$J$2</f>
        <v>0</v>
      </c>
    </row>
    <row r="17" ht="17.25" customHeight="1" spans="1:13">
      <c r="A17" s="332"/>
      <c r="B17" s="333"/>
      <c r="C17" s="338"/>
      <c r="D17" s="339"/>
      <c r="E17" s="315" t="s">
        <v>107</v>
      </c>
      <c r="F17" s="315"/>
      <c r="G17" s="315" t="s">
        <v>108</v>
      </c>
      <c r="H17" s="340">
        <f>[1]砼用细集料报告11!$I$28</f>
        <v>2.59</v>
      </c>
      <c r="I17" s="361" t="str">
        <f>[1]砼用细集料报告11!$K$28</f>
        <v>中砂</v>
      </c>
      <c r="J17" s="360"/>
      <c r="M17" s="362" t="s">
        <v>109</v>
      </c>
    </row>
    <row r="18" ht="17.25" customHeight="1" spans="1:17">
      <c r="A18" s="332"/>
      <c r="B18" s="333"/>
      <c r="C18" s="338"/>
      <c r="D18" s="339"/>
      <c r="E18" s="341" t="s">
        <v>110</v>
      </c>
      <c r="F18" s="341"/>
      <c r="G18" s="337" t="s">
        <v>111</v>
      </c>
      <c r="H18" s="315">
        <f>[1]砼用细集料报告11!$I$20</f>
        <v>6.6</v>
      </c>
      <c r="I18" s="315" t="s">
        <v>91</v>
      </c>
      <c r="J18" s="360"/>
      <c r="L18" s="362" t="s">
        <v>78</v>
      </c>
      <c r="O18" s="363" t="s">
        <v>112</v>
      </c>
      <c r="P18" s="363"/>
      <c r="Q18" s="337" t="s">
        <v>113</v>
      </c>
    </row>
    <row r="19" ht="17.25" customHeight="1" spans="1:10">
      <c r="A19" s="332"/>
      <c r="B19" s="333"/>
      <c r="C19" s="342" t="str">
        <f>[1]砼用细集料报告11!$J$8</f>
        <v>机制砂</v>
      </c>
      <c r="D19" s="343" t="s">
        <v>114</v>
      </c>
      <c r="E19" s="315" t="s">
        <v>115</v>
      </c>
      <c r="F19" s="315"/>
      <c r="G19" s="337" t="s">
        <v>116</v>
      </c>
      <c r="H19" s="315" t="s">
        <v>78</v>
      </c>
      <c r="I19" s="315" t="s">
        <v>78</v>
      </c>
      <c r="J19" s="360"/>
    </row>
    <row r="20" ht="17.25" customHeight="1" spans="1:10">
      <c r="A20" s="332"/>
      <c r="B20" s="333"/>
      <c r="C20" s="342"/>
      <c r="D20" s="343"/>
      <c r="E20" s="315" t="s">
        <v>117</v>
      </c>
      <c r="F20" s="315"/>
      <c r="G20" s="344" t="s">
        <v>118</v>
      </c>
      <c r="H20" s="315" t="s">
        <v>78</v>
      </c>
      <c r="I20" s="315" t="s">
        <v>78</v>
      </c>
      <c r="J20" s="360"/>
    </row>
    <row r="21" ht="17.25" customHeight="1" spans="1:13">
      <c r="A21" s="320"/>
      <c r="B21" s="321"/>
      <c r="C21" s="345"/>
      <c r="D21" s="346"/>
      <c r="E21" s="315" t="s">
        <v>119</v>
      </c>
      <c r="F21" s="315"/>
      <c r="G21" s="337" t="s">
        <v>120</v>
      </c>
      <c r="H21" s="315" t="s">
        <v>78</v>
      </c>
      <c r="I21" s="315" t="s">
        <v>78</v>
      </c>
      <c r="J21" s="364"/>
      <c r="L21" s="362" t="s">
        <v>121</v>
      </c>
      <c r="M21" s="344" t="s">
        <v>122</v>
      </c>
    </row>
    <row r="22" ht="17.25" customHeight="1" spans="1:13">
      <c r="A22" s="314">
        <v>4</v>
      </c>
      <c r="B22" s="315" t="s">
        <v>123</v>
      </c>
      <c r="C22" s="324" t="s">
        <v>78</v>
      </c>
      <c r="D22" s="315" t="s">
        <v>78</v>
      </c>
      <c r="E22" s="315" t="s">
        <v>124</v>
      </c>
      <c r="F22" s="315"/>
      <c r="G22" s="344" t="s">
        <v>78</v>
      </c>
      <c r="H22" s="315" t="s">
        <v>78</v>
      </c>
      <c r="I22" s="315" t="s">
        <v>78</v>
      </c>
      <c r="J22" s="365" t="s">
        <v>78</v>
      </c>
      <c r="M22" s="344" t="s">
        <v>125</v>
      </c>
    </row>
    <row r="23" ht="17.25" customHeight="1" spans="1:13">
      <c r="A23" s="314"/>
      <c r="B23" s="315"/>
      <c r="C23" s="324"/>
      <c r="D23" s="315"/>
      <c r="E23" s="315" t="s">
        <v>126</v>
      </c>
      <c r="F23" s="315"/>
      <c r="G23" s="344" t="s">
        <v>78</v>
      </c>
      <c r="H23" s="315" t="s">
        <v>78</v>
      </c>
      <c r="I23" s="315" t="s">
        <v>78</v>
      </c>
      <c r="J23" s="366"/>
      <c r="M23" s="344" t="s">
        <v>127</v>
      </c>
    </row>
    <row r="24" ht="17.25" customHeight="1" spans="1:13">
      <c r="A24" s="314"/>
      <c r="B24" s="315"/>
      <c r="C24" s="324"/>
      <c r="D24" s="315"/>
      <c r="E24" s="315" t="s">
        <v>128</v>
      </c>
      <c r="F24" s="315"/>
      <c r="G24" s="344" t="s">
        <v>78</v>
      </c>
      <c r="H24" s="315" t="s">
        <v>78</v>
      </c>
      <c r="I24" s="315" t="s">
        <v>78</v>
      </c>
      <c r="J24" s="367"/>
      <c r="M24" s="344" t="s">
        <v>129</v>
      </c>
    </row>
    <row r="25" ht="17.25" customHeight="1" spans="1:10">
      <c r="A25" s="314">
        <v>5</v>
      </c>
      <c r="B25" s="315" t="s">
        <v>130</v>
      </c>
      <c r="C25" s="315" t="s">
        <v>78</v>
      </c>
      <c r="D25" s="315" t="s">
        <v>78</v>
      </c>
      <c r="E25" s="315" t="s">
        <v>131</v>
      </c>
      <c r="F25" s="315"/>
      <c r="G25" s="344" t="s">
        <v>78</v>
      </c>
      <c r="H25" s="315" t="s">
        <v>78</v>
      </c>
      <c r="I25" s="315" t="s">
        <v>78</v>
      </c>
      <c r="J25" s="365" t="s">
        <v>78</v>
      </c>
    </row>
    <row r="26" ht="17.25" customHeight="1" spans="1:10">
      <c r="A26" s="314"/>
      <c r="B26" s="315"/>
      <c r="C26" s="315"/>
      <c r="D26" s="315"/>
      <c r="E26" s="315" t="s">
        <v>132</v>
      </c>
      <c r="F26" s="315"/>
      <c r="G26" s="344" t="s">
        <v>78</v>
      </c>
      <c r="H26" s="315" t="s">
        <v>78</v>
      </c>
      <c r="I26" s="315" t="s">
        <v>78</v>
      </c>
      <c r="J26" s="366"/>
    </row>
    <row r="27" ht="17.25" customHeight="1" spans="1:10">
      <c r="A27" s="314"/>
      <c r="B27" s="315"/>
      <c r="C27" s="315"/>
      <c r="D27" s="315"/>
      <c r="E27" s="315" t="s">
        <v>133</v>
      </c>
      <c r="F27" s="315"/>
      <c r="G27" s="344" t="s">
        <v>78</v>
      </c>
      <c r="H27" s="315" t="s">
        <v>78</v>
      </c>
      <c r="I27" s="315" t="s">
        <v>78</v>
      </c>
      <c r="J27" s="366"/>
    </row>
    <row r="28" ht="17.25" customHeight="1" spans="1:10">
      <c r="A28" s="314"/>
      <c r="B28" s="315"/>
      <c r="C28" s="315"/>
      <c r="D28" s="315"/>
      <c r="E28" s="315" t="s">
        <v>97</v>
      </c>
      <c r="F28" s="315"/>
      <c r="G28" s="344" t="s">
        <v>78</v>
      </c>
      <c r="H28" s="315" t="s">
        <v>78</v>
      </c>
      <c r="I28" s="315" t="s">
        <v>78</v>
      </c>
      <c r="J28" s="366"/>
    </row>
    <row r="29" ht="17.25" customHeight="1" spans="1:10">
      <c r="A29" s="314"/>
      <c r="B29" s="315"/>
      <c r="C29" s="315"/>
      <c r="D29" s="315"/>
      <c r="E29" s="315" t="s">
        <v>134</v>
      </c>
      <c r="F29" s="315"/>
      <c r="G29" s="344" t="s">
        <v>78</v>
      </c>
      <c r="H29" s="315" t="s">
        <v>78</v>
      </c>
      <c r="I29" s="315" t="s">
        <v>78</v>
      </c>
      <c r="J29" s="367"/>
    </row>
    <row r="30" ht="17.25" customHeight="1" spans="1:10">
      <c r="A30" s="314">
        <v>6</v>
      </c>
      <c r="B30" s="315" t="s">
        <v>135</v>
      </c>
      <c r="C30" s="315" t="s">
        <v>78</v>
      </c>
      <c r="D30" s="315" t="s">
        <v>78</v>
      </c>
      <c r="E30" s="315" t="s">
        <v>136</v>
      </c>
      <c r="F30" s="315"/>
      <c r="G30" s="344" t="s">
        <v>78</v>
      </c>
      <c r="H30" s="315" t="s">
        <v>78</v>
      </c>
      <c r="I30" s="315" t="s">
        <v>78</v>
      </c>
      <c r="J30" s="365" t="s">
        <v>78</v>
      </c>
    </row>
    <row r="31" ht="17.25" customHeight="1" spans="1:10">
      <c r="A31" s="314"/>
      <c r="B31" s="315"/>
      <c r="C31" s="315"/>
      <c r="D31" s="315"/>
      <c r="E31" s="315" t="s">
        <v>137</v>
      </c>
      <c r="F31" s="315"/>
      <c r="G31" s="344" t="s">
        <v>78</v>
      </c>
      <c r="H31" s="315" t="s">
        <v>78</v>
      </c>
      <c r="I31" s="315" t="s">
        <v>78</v>
      </c>
      <c r="J31" s="366"/>
    </row>
    <row r="32" ht="17.25" customHeight="1" spans="1:10">
      <c r="A32" s="314"/>
      <c r="B32" s="315"/>
      <c r="C32" s="315"/>
      <c r="D32" s="315"/>
      <c r="E32" s="315" t="s">
        <v>138</v>
      </c>
      <c r="F32" s="315"/>
      <c r="G32" s="344" t="s">
        <v>78</v>
      </c>
      <c r="H32" s="315" t="s">
        <v>78</v>
      </c>
      <c r="I32" s="315" t="s">
        <v>78</v>
      </c>
      <c r="J32" s="366"/>
    </row>
    <row r="33" ht="17.25" customHeight="1" spans="1:10">
      <c r="A33" s="314"/>
      <c r="B33" s="315"/>
      <c r="C33" s="315"/>
      <c r="D33" s="315"/>
      <c r="E33" s="315" t="s">
        <v>139</v>
      </c>
      <c r="F33" s="315"/>
      <c r="G33" s="344" t="s">
        <v>78</v>
      </c>
      <c r="H33" s="315" t="s">
        <v>78</v>
      </c>
      <c r="I33" s="315" t="s">
        <v>78</v>
      </c>
      <c r="J33" s="366"/>
    </row>
    <row r="34" ht="17.25" customHeight="1" spans="1:10">
      <c r="A34" s="314"/>
      <c r="B34" s="315"/>
      <c r="C34" s="315"/>
      <c r="D34" s="315"/>
      <c r="E34" s="315" t="s">
        <v>140</v>
      </c>
      <c r="F34" s="315"/>
      <c r="G34" s="344" t="s">
        <v>78</v>
      </c>
      <c r="H34" s="315" t="s">
        <v>78</v>
      </c>
      <c r="I34" s="315" t="s">
        <v>78</v>
      </c>
      <c r="J34" s="367"/>
    </row>
    <row r="35" ht="17.25" customHeight="1" spans="1:10">
      <c r="A35" s="314">
        <v>7</v>
      </c>
      <c r="B35" s="315" t="s">
        <v>141</v>
      </c>
      <c r="C35" s="315" t="s">
        <v>78</v>
      </c>
      <c r="D35" s="315" t="s">
        <v>78</v>
      </c>
      <c r="E35" s="315" t="s">
        <v>142</v>
      </c>
      <c r="F35" s="315"/>
      <c r="G35" s="344" t="s">
        <v>78</v>
      </c>
      <c r="H35" s="315" t="s">
        <v>78</v>
      </c>
      <c r="I35" s="315" t="s">
        <v>78</v>
      </c>
      <c r="J35" s="365" t="s">
        <v>78</v>
      </c>
    </row>
    <row r="36" ht="17.25" customHeight="1" spans="1:10">
      <c r="A36" s="314"/>
      <c r="B36" s="315"/>
      <c r="C36" s="315"/>
      <c r="D36" s="315"/>
      <c r="E36" s="315" t="s">
        <v>143</v>
      </c>
      <c r="F36" s="315"/>
      <c r="G36" s="344" t="s">
        <v>78</v>
      </c>
      <c r="H36" s="315" t="s">
        <v>78</v>
      </c>
      <c r="I36" s="315" t="s">
        <v>78</v>
      </c>
      <c r="J36" s="366"/>
    </row>
    <row r="37" ht="17.25" customHeight="1" spans="1:10">
      <c r="A37" s="314"/>
      <c r="B37" s="315"/>
      <c r="C37" s="315"/>
      <c r="D37" s="315"/>
      <c r="E37" s="315" t="s">
        <v>144</v>
      </c>
      <c r="F37" s="315"/>
      <c r="G37" s="344" t="s">
        <v>78</v>
      </c>
      <c r="H37" s="315" t="s">
        <v>78</v>
      </c>
      <c r="I37" s="315" t="s">
        <v>78</v>
      </c>
      <c r="J37" s="366"/>
    </row>
    <row r="38" ht="17.25" customHeight="1" spans="1:10">
      <c r="A38" s="314"/>
      <c r="B38" s="315"/>
      <c r="C38" s="315"/>
      <c r="D38" s="315"/>
      <c r="E38" s="315" t="s">
        <v>145</v>
      </c>
      <c r="F38" s="315"/>
      <c r="G38" s="344" t="s">
        <v>78</v>
      </c>
      <c r="H38" s="315" t="s">
        <v>78</v>
      </c>
      <c r="I38" s="315" t="s">
        <v>78</v>
      </c>
      <c r="J38" s="367"/>
    </row>
    <row r="39" ht="35.25" customHeight="1" spans="1:10">
      <c r="A39" s="318" t="s">
        <v>146</v>
      </c>
      <c r="B39" s="319"/>
      <c r="C39" s="347" t="s">
        <v>147</v>
      </c>
      <c r="D39" s="348"/>
      <c r="E39" s="348"/>
      <c r="F39" s="348"/>
      <c r="G39" s="348"/>
      <c r="H39" s="348"/>
      <c r="I39" s="348"/>
      <c r="J39" s="368"/>
    </row>
    <row r="40" s="305" customFormat="1" spans="1:10">
      <c r="A40" s="349" t="s">
        <v>148</v>
      </c>
      <c r="B40" s="349"/>
      <c r="C40" s="349"/>
      <c r="D40" s="349"/>
      <c r="E40" s="349"/>
      <c r="F40" s="349"/>
      <c r="G40" s="349"/>
      <c r="H40" s="349"/>
      <c r="I40" s="349"/>
      <c r="J40" s="349"/>
    </row>
    <row r="41" spans="1:10">
      <c r="A41" s="304"/>
      <c r="B41" s="304"/>
      <c r="C41" s="304"/>
      <c r="D41" s="304"/>
      <c r="E41" s="304"/>
      <c r="F41" s="304"/>
      <c r="G41" s="304"/>
      <c r="H41" s="304"/>
      <c r="I41" s="304"/>
      <c r="J41" s="304"/>
    </row>
    <row r="42" spans="1:10">
      <c r="A42" s="304"/>
      <c r="B42" s="304"/>
      <c r="C42" s="304"/>
      <c r="D42" s="304"/>
      <c r="E42" s="304"/>
      <c r="F42" s="304"/>
      <c r="G42" s="304"/>
      <c r="H42" s="304"/>
      <c r="I42" s="304"/>
      <c r="J42" s="304"/>
    </row>
    <row r="43" spans="1:10">
      <c r="A43" s="304"/>
      <c r="B43" s="304"/>
      <c r="C43" s="304"/>
      <c r="D43" s="304"/>
      <c r="E43" s="304"/>
      <c r="F43" s="304"/>
      <c r="G43" s="304"/>
      <c r="H43" s="304"/>
      <c r="I43" s="304"/>
      <c r="J43" s="304"/>
    </row>
  </sheetData>
  <mergeCells count="88">
    <mergeCell ref="A1:I1"/>
    <mergeCell ref="A2:F2"/>
    <mergeCell ref="H2:J2"/>
    <mergeCell ref="A3:B3"/>
    <mergeCell ref="C3:F3"/>
    <mergeCell ref="H3:J3"/>
    <mergeCell ref="A4:B4"/>
    <mergeCell ref="C4:F4"/>
    <mergeCell ref="H4:J4"/>
    <mergeCell ref="E5:J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O18:P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A39:B39"/>
    <mergeCell ref="C39:J39"/>
    <mergeCell ref="A40:J40"/>
    <mergeCell ref="A5:A6"/>
    <mergeCell ref="A7:A11"/>
    <mergeCell ref="A12:A15"/>
    <mergeCell ref="A16:A21"/>
    <mergeCell ref="A22:A24"/>
    <mergeCell ref="A25:A29"/>
    <mergeCell ref="A30:A34"/>
    <mergeCell ref="A35:A38"/>
    <mergeCell ref="B5:B6"/>
    <mergeCell ref="B7:B11"/>
    <mergeCell ref="B12:B15"/>
    <mergeCell ref="B16:B21"/>
    <mergeCell ref="B22:B24"/>
    <mergeCell ref="B25:B29"/>
    <mergeCell ref="B30:B34"/>
    <mergeCell ref="B35:B38"/>
    <mergeCell ref="C5:C6"/>
    <mergeCell ref="C7:C11"/>
    <mergeCell ref="C12:C15"/>
    <mergeCell ref="C16:C18"/>
    <mergeCell ref="C19:C21"/>
    <mergeCell ref="C22:C24"/>
    <mergeCell ref="C25:C29"/>
    <mergeCell ref="C30:C34"/>
    <mergeCell ref="C35:C38"/>
    <mergeCell ref="D5:D6"/>
    <mergeCell ref="D7:D11"/>
    <mergeCell ref="D12:D15"/>
    <mergeCell ref="D16:D18"/>
    <mergeCell ref="D19:D21"/>
    <mergeCell ref="D22:D24"/>
    <mergeCell ref="D25:D29"/>
    <mergeCell ref="D30:D34"/>
    <mergeCell ref="D35:D38"/>
    <mergeCell ref="J7:J11"/>
    <mergeCell ref="J12:J15"/>
    <mergeCell ref="J16:J21"/>
    <mergeCell ref="J22:J24"/>
    <mergeCell ref="J25:J29"/>
    <mergeCell ref="J30:J34"/>
    <mergeCell ref="J35:J38"/>
  </mergeCells>
  <printOptions horizontalCentered="1" verticalCentered="1"/>
  <pageMargins left="0.984251968503937" right="0.590551181102362" top="0.590551181102362" bottom="0.590551181102362" header="0.47244094488189" footer="0.196850393700787"/>
  <pageSetup paperSize="9" firstPageNumber="4" orientation="portrait" useFirstPageNumber="1"/>
  <headerFooter>
    <oddHeader>&amp;R第 &amp;P 页共 &amp;[5 页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5"/>
  </sheetPr>
  <dimension ref="A1:AB24"/>
  <sheetViews>
    <sheetView view="pageBreakPreview" zoomScaleNormal="100" zoomScaleSheetLayoutView="100" topLeftCell="A7" workbookViewId="0">
      <selection activeCell="M30" sqref="M30"/>
    </sheetView>
  </sheetViews>
  <sheetFormatPr defaultColWidth="9" defaultRowHeight="15"/>
  <cols>
    <col min="1" max="1" width="3.375" style="3" customWidth="1"/>
    <col min="2" max="2" width="7.625" style="3" customWidth="1"/>
    <col min="3" max="6" width="5.625" style="3" customWidth="1"/>
    <col min="7" max="7" width="9.875" style="3" customWidth="1"/>
    <col min="8" max="8" width="3.25" style="3" customWidth="1"/>
    <col min="9" max="10" width="12.875" style="3" customWidth="1"/>
    <col min="11" max="12" width="8.625" style="3" customWidth="1"/>
    <col min="13" max="14" width="6.625" style="3" customWidth="1"/>
    <col min="15" max="15" width="7.625" style="3" customWidth="1"/>
    <col min="16" max="16" width="8.5" style="3" customWidth="1"/>
    <col min="17" max="17" width="10.125" style="3" customWidth="1"/>
    <col min="18" max="18" width="9" style="3"/>
    <col min="19" max="21" width="9" style="234"/>
    <col min="22" max="16384" width="9" style="3"/>
  </cols>
  <sheetData>
    <row r="1" ht="37.5" customHeight="1" spans="1:17">
      <c r="A1" s="4" t="s">
        <v>149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8" t="s">
        <v>150</v>
      </c>
    </row>
    <row r="2" ht="22.5" customHeight="1" spans="1:17">
      <c r="A2" s="5" t="str">
        <f ca="1">原材料技术指标报告!A2</f>
        <v>试验室名称:红河路友建筑工程材料检测有限公司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263" t="s">
        <v>151</v>
      </c>
      <c r="N2" s="263"/>
      <c r="O2" s="264">
        <f ca="1">原材料技术指标报告!H2</f>
        <v>0</v>
      </c>
      <c r="P2" s="264"/>
      <c r="Q2" s="264"/>
    </row>
    <row r="3" ht="22.5" customHeight="1" spans="1:23">
      <c r="A3" s="235" t="s">
        <v>152</v>
      </c>
      <c r="B3" s="236"/>
      <c r="C3" s="237"/>
      <c r="D3" s="238" t="str">
        <f ca="1">原材料技术指标报告!C3</f>
        <v>XX</v>
      </c>
      <c r="E3" s="239"/>
      <c r="F3" s="239"/>
      <c r="G3" s="239"/>
      <c r="H3" s="240"/>
      <c r="I3" s="8" t="s">
        <v>153</v>
      </c>
      <c r="J3" s="265" t="str">
        <f>[1]砼用细集料报告11!$C$4</f>
        <v>XX</v>
      </c>
      <c r="K3" s="266"/>
      <c r="L3" s="267"/>
      <c r="M3" s="268" t="s">
        <v>76</v>
      </c>
      <c r="N3" s="237"/>
      <c r="O3" s="269">
        <f ca="1">水泥砂浆稠度、分层度记录A组!I3</f>
        <v>0</v>
      </c>
      <c r="P3" s="270"/>
      <c r="Q3" s="288"/>
      <c r="T3" s="289" t="s">
        <v>154</v>
      </c>
      <c r="U3" s="289"/>
      <c r="W3" s="74" t="s">
        <v>68</v>
      </c>
    </row>
    <row r="4" ht="21" customHeight="1" spans="1:23">
      <c r="A4" s="241" t="s">
        <v>155</v>
      </c>
      <c r="B4" s="242"/>
      <c r="C4" s="243"/>
      <c r="D4" s="242" t="str">
        <f ca="1">原材料技术指标报告!C4</f>
        <v>/</v>
      </c>
      <c r="E4" s="242"/>
      <c r="F4" s="242"/>
      <c r="G4" s="242"/>
      <c r="H4" s="243"/>
      <c r="I4" s="14" t="s">
        <v>156</v>
      </c>
      <c r="J4" s="271" t="str">
        <f ca="1">砂浆配合比记录1!B4</f>
        <v>JGJ/T 98-2010、JGJ/T 70-2009、JTG E30-2005</v>
      </c>
      <c r="K4" s="271"/>
      <c r="L4" s="272"/>
      <c r="M4" s="273" t="s">
        <v>157</v>
      </c>
      <c r="N4" s="243"/>
      <c r="O4" s="274">
        <f ca="1">J13</f>
        <v>28</v>
      </c>
      <c r="P4" s="275"/>
      <c r="Q4" s="290"/>
      <c r="W4" s="74" t="s">
        <v>69</v>
      </c>
    </row>
    <row r="5" ht="21" customHeight="1" spans="1:23">
      <c r="A5" s="241" t="s">
        <v>158</v>
      </c>
      <c r="B5" s="242"/>
      <c r="C5" s="243"/>
      <c r="D5" s="242" t="str">
        <f ca="1">水泥砂浆稠度、分层度记录A组!B4</f>
        <v>室温XX℃   相对湿度XX%</v>
      </c>
      <c r="E5" s="242"/>
      <c r="F5" s="242"/>
      <c r="G5" s="242"/>
      <c r="H5" s="243"/>
      <c r="I5" s="14" t="s">
        <v>159</v>
      </c>
      <c r="J5" s="271" t="s">
        <v>160</v>
      </c>
      <c r="K5" s="271"/>
      <c r="L5" s="272"/>
      <c r="M5" s="273" t="s">
        <v>161</v>
      </c>
      <c r="N5" s="243"/>
      <c r="O5" s="276">
        <f ca="1">砂浆配合比记录1!L5</f>
        <v>7.5</v>
      </c>
      <c r="P5" s="277"/>
      <c r="Q5" s="291"/>
      <c r="T5" s="289" t="s">
        <v>162</v>
      </c>
      <c r="W5" s="74" t="s">
        <v>70</v>
      </c>
    </row>
    <row r="6" ht="21" customHeight="1" spans="1:23">
      <c r="A6" s="241" t="s">
        <v>163</v>
      </c>
      <c r="B6" s="242"/>
      <c r="C6" s="243"/>
      <c r="D6" s="244" t="str">
        <f ca="1">砂浆配合比记录1!B5</f>
        <v>水泥砂浆稠度测定仪GL01050016、秒表、容量筒、振动台GL01050003、BC-300电脑恒应力试验机GL01040012、电子天平GL01070012</v>
      </c>
      <c r="E6" s="245"/>
      <c r="F6" s="245"/>
      <c r="G6" s="245"/>
      <c r="H6" s="245"/>
      <c r="I6" s="245"/>
      <c r="J6" s="245"/>
      <c r="K6" s="245"/>
      <c r="L6" s="278"/>
      <c r="M6" s="273" t="s">
        <v>164</v>
      </c>
      <c r="N6" s="243"/>
      <c r="O6" s="273" t="str">
        <f ca="1">砂浆配合比记录1!G6</f>
        <v>30～50</v>
      </c>
      <c r="P6" s="242"/>
      <c r="Q6" s="292"/>
      <c r="W6" s="74" t="s">
        <v>71</v>
      </c>
    </row>
    <row r="7" ht="21" customHeight="1" spans="1:21">
      <c r="A7" s="241" t="s">
        <v>165</v>
      </c>
      <c r="B7" s="242"/>
      <c r="C7" s="243"/>
      <c r="D7" s="242" t="str">
        <f ca="1">原材料技术指标报告!C7</f>
        <v>广西华润</v>
      </c>
      <c r="E7" s="242"/>
      <c r="F7" s="242"/>
      <c r="G7" s="242"/>
      <c r="H7" s="243"/>
      <c r="I7" s="279" t="s">
        <v>166</v>
      </c>
      <c r="J7" s="280"/>
      <c r="K7" s="10" t="str">
        <f ca="1">原材料技术指标报告!D7</f>
        <v>P·C32.5</v>
      </c>
      <c r="L7" s="10"/>
      <c r="M7" s="273" t="s">
        <v>167</v>
      </c>
      <c r="N7" s="243"/>
      <c r="O7" s="273" t="str">
        <f ca="1">原材料技术指标报告!C16&amp;原材料技术指标报告!L18&amp;原材料技术指标报告!C19</f>
        <v>XX/机制砂</v>
      </c>
      <c r="P7" s="242"/>
      <c r="Q7" s="292"/>
      <c r="T7" s="165" t="s">
        <v>168</v>
      </c>
      <c r="U7" s="165" t="s">
        <v>169</v>
      </c>
    </row>
    <row r="8" ht="21" customHeight="1" spans="1:21">
      <c r="A8" s="241" t="s">
        <v>170</v>
      </c>
      <c r="B8" s="242"/>
      <c r="C8" s="243"/>
      <c r="D8" s="242" t="s">
        <v>171</v>
      </c>
      <c r="E8" s="242"/>
      <c r="F8" s="242"/>
      <c r="G8" s="242"/>
      <c r="H8" s="243"/>
      <c r="I8" s="14" t="s">
        <v>172</v>
      </c>
      <c r="J8" s="10" t="str">
        <f ca="1">原材料技术指标报告!C25</f>
        <v>/</v>
      </c>
      <c r="K8" s="10"/>
      <c r="L8" s="10"/>
      <c r="M8" s="273" t="s">
        <v>173</v>
      </c>
      <c r="N8" s="243"/>
      <c r="O8" s="273" t="str">
        <f ca="1">原材料技术指标报告!D25</f>
        <v>/</v>
      </c>
      <c r="P8" s="242"/>
      <c r="Q8" s="292"/>
      <c r="T8" s="165"/>
      <c r="U8" s="165"/>
    </row>
    <row r="9" ht="21" customHeight="1" spans="1:21">
      <c r="A9" s="246" t="s">
        <v>174</v>
      </c>
      <c r="B9" s="18"/>
      <c r="C9" s="57"/>
      <c r="D9" s="18" t="str">
        <f ca="1">砂浆配合比记录1!G4</f>
        <v>温度XX℃   相对湿度XX%</v>
      </c>
      <c r="E9" s="18"/>
      <c r="F9" s="18"/>
      <c r="G9" s="18"/>
      <c r="H9" s="57"/>
      <c r="I9" s="281" t="s">
        <v>175</v>
      </c>
      <c r="J9" s="16" t="str">
        <f ca="1">砂浆配合比记录1!N14</f>
        <v>机械拌合及机械拌合</v>
      </c>
      <c r="K9" s="16"/>
      <c r="L9" s="16"/>
      <c r="M9" s="17" t="s">
        <v>176</v>
      </c>
      <c r="N9" s="57"/>
      <c r="O9" s="282" t="str">
        <f ca="1">砂浆配合比记录1!G23</f>
        <v>1：6.86：0.91</v>
      </c>
      <c r="P9" s="18"/>
      <c r="Q9" s="293"/>
      <c r="T9" s="166" t="s">
        <v>177</v>
      </c>
      <c r="U9" s="166" t="s">
        <v>178</v>
      </c>
    </row>
    <row r="10" ht="21" customHeight="1" spans="1:17">
      <c r="A10" s="247" t="s">
        <v>179</v>
      </c>
      <c r="B10" s="248"/>
      <c r="C10" s="248"/>
      <c r="D10" s="248"/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94"/>
    </row>
    <row r="11" ht="21" customHeight="1" spans="1:17">
      <c r="A11" s="22" t="s">
        <v>180</v>
      </c>
      <c r="B11" s="28" t="s">
        <v>181</v>
      </c>
      <c r="C11" s="249" t="s">
        <v>182</v>
      </c>
      <c r="D11" s="250"/>
      <c r="E11" s="250"/>
      <c r="F11" s="251"/>
      <c r="G11" s="249" t="s">
        <v>183</v>
      </c>
      <c r="H11" s="251"/>
      <c r="I11" s="14" t="s">
        <v>184</v>
      </c>
      <c r="J11" s="14"/>
      <c r="K11" s="14" t="s">
        <v>185</v>
      </c>
      <c r="L11" s="14"/>
      <c r="M11" s="249" t="s">
        <v>186</v>
      </c>
      <c r="N11" s="251"/>
      <c r="O11" s="28" t="s">
        <v>187</v>
      </c>
      <c r="P11" s="28" t="s">
        <v>188</v>
      </c>
      <c r="Q11" s="295" t="s">
        <v>189</v>
      </c>
    </row>
    <row r="12" ht="21" customHeight="1" spans="1:17">
      <c r="A12" s="22"/>
      <c r="B12" s="21"/>
      <c r="C12" s="14" t="s">
        <v>89</v>
      </c>
      <c r="D12" s="14" t="s">
        <v>104</v>
      </c>
      <c r="E12" s="14" t="s">
        <v>96</v>
      </c>
      <c r="F12" s="14" t="s">
        <v>130</v>
      </c>
      <c r="G12" s="252"/>
      <c r="H12" s="253"/>
      <c r="I12" s="14" t="s">
        <v>190</v>
      </c>
      <c r="J12" s="14" t="s">
        <v>191</v>
      </c>
      <c r="K12" s="14" t="s">
        <v>192</v>
      </c>
      <c r="L12" s="14" t="s">
        <v>193</v>
      </c>
      <c r="M12" s="252"/>
      <c r="N12" s="253"/>
      <c r="O12" s="21"/>
      <c r="P12" s="21"/>
      <c r="Q12" s="60"/>
    </row>
    <row r="13" ht="21" customHeight="1" spans="1:22">
      <c r="A13" s="22"/>
      <c r="B13" s="10" t="str">
        <f ca="1">水泥砂浆稠度、分层度记录A组!F4</f>
        <v>A</v>
      </c>
      <c r="C13" s="118">
        <f ca="1">砂浆配合比记录1!B14</f>
        <v>208</v>
      </c>
      <c r="D13" s="118">
        <f ca="1">砂浆配合比记录1!C14</f>
        <v>1680</v>
      </c>
      <c r="E13" s="118">
        <f ca="1">砂浆配合比记录1!D14</f>
        <v>220</v>
      </c>
      <c r="F13" s="254" t="str">
        <f ca="1">砂浆配合比记录1!E14</f>
        <v>/</v>
      </c>
      <c r="G13" s="255">
        <f ca="1">砂浆配合比记录2!E8</f>
        <v>0</v>
      </c>
      <c r="H13" s="256"/>
      <c r="I13" s="283">
        <f ca="1">G13+7</f>
        <v>7</v>
      </c>
      <c r="J13" s="283">
        <f ca="1">G13+28</f>
        <v>28</v>
      </c>
      <c r="K13" s="63">
        <f ca="1">砂浆配合比记录2!M8</f>
        <v>5.1</v>
      </c>
      <c r="L13" s="63">
        <f ca="1">砂浆配合比记录2!N8</f>
        <v>8.9</v>
      </c>
      <c r="M13" s="284">
        <f ca="1">砂浆配合比记录2!O8</f>
        <v>0.6</v>
      </c>
      <c r="N13" s="285"/>
      <c r="O13" s="156">
        <f ca="1">砂浆配合比记录1!L14</f>
        <v>49</v>
      </c>
      <c r="P13" s="272" t="s">
        <v>78</v>
      </c>
      <c r="Q13" s="61" t="str">
        <f ca="1">砂浆配合比记录1!M14</f>
        <v>/</v>
      </c>
      <c r="S13" s="296">
        <v>1</v>
      </c>
      <c r="T13" s="297">
        <f ca="1">ROUND(D13/C13,2)</f>
        <v>8.08</v>
      </c>
      <c r="U13" s="296">
        <f ca="1">ROUND(E13/C13,2)</f>
        <v>1.06</v>
      </c>
      <c r="V13" s="75" t="s">
        <v>194</v>
      </c>
    </row>
    <row r="14" ht="21" customHeight="1" spans="1:22">
      <c r="A14" s="22"/>
      <c r="B14" s="10" t="str">
        <f ca="1">水泥砂浆稠度、分层度记录B组!F4</f>
        <v>B</v>
      </c>
      <c r="C14" s="118">
        <f ca="1">砂浆配合比记录1!B15</f>
        <v>245</v>
      </c>
      <c r="D14" s="118">
        <f ca="1">砂浆配合比记录1!C15</f>
        <v>1680</v>
      </c>
      <c r="E14" s="118">
        <f ca="1">砂浆配合比记录1!D15</f>
        <v>223</v>
      </c>
      <c r="F14" s="254" t="str">
        <f ca="1">砂浆配合比记录1!E15</f>
        <v>/</v>
      </c>
      <c r="G14" s="255">
        <f ca="1">G13</f>
        <v>0</v>
      </c>
      <c r="H14" s="256"/>
      <c r="I14" s="283">
        <f ca="1">I13</f>
        <v>7</v>
      </c>
      <c r="J14" s="283">
        <f ca="1">J13</f>
        <v>28</v>
      </c>
      <c r="K14" s="63">
        <f ca="1">砂浆配合比记录2!M14</f>
        <v>8.8</v>
      </c>
      <c r="L14" s="63">
        <f ca="1">砂浆配合比记录2!N14</f>
        <v>13.6</v>
      </c>
      <c r="M14" s="284">
        <f ca="1">砂浆配合比记录2!O14</f>
        <v>0.6</v>
      </c>
      <c r="N14" s="285"/>
      <c r="O14" s="156">
        <f ca="1">砂浆配合比记录1!L15</f>
        <v>39</v>
      </c>
      <c r="P14" s="272" t="s">
        <v>78</v>
      </c>
      <c r="Q14" s="61" t="str">
        <f ca="1">砂浆配合比记录1!M15</f>
        <v>/</v>
      </c>
      <c r="S14" s="296">
        <v>1</v>
      </c>
      <c r="T14" s="297">
        <f ca="1">ROUND(D14/C14,2)</f>
        <v>6.86</v>
      </c>
      <c r="U14" s="297">
        <f ca="1">ROUND(E14/C14,2)</f>
        <v>0.91</v>
      </c>
      <c r="V14" s="75" t="s">
        <v>195</v>
      </c>
    </row>
    <row r="15" ht="21" customHeight="1" spans="1:22">
      <c r="A15" s="22"/>
      <c r="B15" s="10" t="str">
        <f ca="1">'水泥砂浆稠度、分层度记录 C组'!F4</f>
        <v>C</v>
      </c>
      <c r="C15" s="118">
        <f ca="1">砂浆配合比记录1!B16</f>
        <v>282</v>
      </c>
      <c r="D15" s="118">
        <f ca="1">砂浆配合比记录1!C16</f>
        <v>1680</v>
      </c>
      <c r="E15" s="118">
        <f ca="1">砂浆配合比记录1!D16</f>
        <v>215</v>
      </c>
      <c r="F15" s="254" t="str">
        <f ca="1">砂浆配合比记录1!E16</f>
        <v>/</v>
      </c>
      <c r="G15" s="255">
        <f ca="1">G14</f>
        <v>0</v>
      </c>
      <c r="H15" s="256"/>
      <c r="I15" s="283">
        <f ca="1">I13</f>
        <v>7</v>
      </c>
      <c r="J15" s="283">
        <f ca="1">J13</f>
        <v>28</v>
      </c>
      <c r="K15" s="63">
        <f ca="1">砂浆配合比记录2!M20</f>
        <v>11.8</v>
      </c>
      <c r="L15" s="63">
        <f ca="1">砂浆配合比记录2!N20</f>
        <v>16.7</v>
      </c>
      <c r="M15" s="284">
        <f ca="1">砂浆配合比记录2!O20</f>
        <v>0.7</v>
      </c>
      <c r="N15" s="285"/>
      <c r="O15" s="156">
        <f ca="1">砂浆配合比记录1!L16</f>
        <v>35</v>
      </c>
      <c r="P15" s="272" t="s">
        <v>78</v>
      </c>
      <c r="Q15" s="61" t="str">
        <f ca="1">砂浆配合比记录1!M16</f>
        <v>/</v>
      </c>
      <c r="S15" s="296">
        <v>1</v>
      </c>
      <c r="T15" s="297">
        <f ca="1">ROUND(D15/C15,2)</f>
        <v>5.96</v>
      </c>
      <c r="U15" s="297">
        <f ca="1">ROUND(E15/C15,2)</f>
        <v>0.76</v>
      </c>
      <c r="V15" s="75" t="s">
        <v>196</v>
      </c>
    </row>
    <row r="16" ht="27.95" customHeight="1" spans="1:28">
      <c r="A16" s="257" t="s">
        <v>197</v>
      </c>
      <c r="B16" s="258" t="str">
        <f ca="1">S16&amp;S17&amp;S18&amp;S19&amp;S20&amp;S21</f>
        <v>通过A、B、C三组不同水泥用量进行配合比试验，B组砂浆稠度、抗压强度同时满足设计及规范要求，故确定选定B组配合比。其理论配合比为（质量比）水泥：细集料：水：=1：6.86：0.91</v>
      </c>
      <c r="C16" s="259"/>
      <c r="D16" s="259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59"/>
      <c r="P16" s="259"/>
      <c r="Q16" s="298"/>
      <c r="S16" s="299" t="s">
        <v>198</v>
      </c>
      <c r="T16" s="299"/>
      <c r="U16" s="299"/>
      <c r="V16" s="299"/>
      <c r="W16" s="299"/>
      <c r="X16" s="299"/>
      <c r="Y16" s="299"/>
      <c r="Z16" s="75"/>
      <c r="AA16" s="75"/>
      <c r="AB16" s="75"/>
    </row>
    <row r="17" ht="27.95" customHeight="1" spans="1:25">
      <c r="A17" s="260"/>
      <c r="B17" s="261"/>
      <c r="C17" s="262"/>
      <c r="D17" s="262"/>
      <c r="E17" s="262"/>
      <c r="F17" s="262"/>
      <c r="G17" s="262"/>
      <c r="H17" s="262"/>
      <c r="I17" s="262"/>
      <c r="J17" s="262"/>
      <c r="K17" s="262"/>
      <c r="L17" s="262"/>
      <c r="M17" s="262"/>
      <c r="N17" s="262"/>
      <c r="O17" s="262"/>
      <c r="P17" s="262"/>
      <c r="Q17" s="300"/>
      <c r="S17" s="301" t="s">
        <v>199</v>
      </c>
      <c r="T17" s="302"/>
      <c r="U17" s="302"/>
      <c r="V17" s="302"/>
      <c r="W17" s="302"/>
      <c r="X17" s="302"/>
      <c r="Y17" s="302"/>
    </row>
    <row r="18" ht="35.25" customHeight="1" spans="1:28">
      <c r="A18" s="44" t="s">
        <v>146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72"/>
      <c r="S18" s="299" t="s">
        <v>200</v>
      </c>
      <c r="T18" s="299"/>
      <c r="U18" s="299"/>
      <c r="V18" s="299"/>
      <c r="W18" s="299"/>
      <c r="X18" s="299"/>
      <c r="Y18" s="299"/>
      <c r="Z18" s="75"/>
      <c r="AA18" s="75"/>
      <c r="AB18" s="75"/>
    </row>
    <row r="19" s="2" customFormat="1" ht="18.75" customHeight="1" spans="1:25">
      <c r="A19" s="46" t="s">
        <v>201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S19" s="301" t="str">
        <f>S17</f>
        <v>B</v>
      </c>
      <c r="T19" s="303"/>
      <c r="U19" s="303"/>
      <c r="V19" s="303"/>
      <c r="W19" s="303"/>
      <c r="X19" s="303"/>
      <c r="Y19" s="303"/>
    </row>
    <row r="20" spans="19:28">
      <c r="S20" s="299" t="s">
        <v>202</v>
      </c>
      <c r="T20" s="299"/>
      <c r="U20" s="299"/>
      <c r="V20" s="299"/>
      <c r="W20" s="299"/>
      <c r="X20" s="299"/>
      <c r="Y20" s="299"/>
      <c r="Z20" s="75"/>
      <c r="AA20" s="75"/>
      <c r="AB20" s="75"/>
    </row>
    <row r="21" spans="19:25">
      <c r="S21" s="301" t="str">
        <f ca="1">砂浆配合比记录1!G23</f>
        <v>1：6.86：0.91</v>
      </c>
      <c r="T21" s="301"/>
      <c r="U21" s="301"/>
      <c r="V21" s="301"/>
      <c r="W21" s="301"/>
      <c r="X21" s="301"/>
      <c r="Y21" s="301"/>
    </row>
    <row r="23" spans="11:25"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</row>
    <row r="24" spans="11:25">
      <c r="K24" s="287"/>
      <c r="L24" s="287"/>
      <c r="M24" s="287"/>
      <c r="N24" s="287"/>
      <c r="O24" s="287"/>
      <c r="P24" s="287"/>
      <c r="Q24" s="287"/>
      <c r="R24" s="287"/>
      <c r="S24" s="287"/>
      <c r="T24" s="287"/>
      <c r="U24" s="287"/>
      <c r="V24" s="287"/>
      <c r="W24" s="287"/>
      <c r="X24" s="287"/>
      <c r="Y24" s="287"/>
    </row>
  </sheetData>
  <mergeCells count="68">
    <mergeCell ref="A1:P1"/>
    <mergeCell ref="M2:N2"/>
    <mergeCell ref="O2:Q2"/>
    <mergeCell ref="A3:C3"/>
    <mergeCell ref="D3:H3"/>
    <mergeCell ref="J3:L3"/>
    <mergeCell ref="M3:N3"/>
    <mergeCell ref="O3:Q3"/>
    <mergeCell ref="T3:U3"/>
    <mergeCell ref="A4:C4"/>
    <mergeCell ref="D4:H4"/>
    <mergeCell ref="J4:L4"/>
    <mergeCell ref="M4:N4"/>
    <mergeCell ref="O4:Q4"/>
    <mergeCell ref="A5:C5"/>
    <mergeCell ref="D5:H5"/>
    <mergeCell ref="J5:L5"/>
    <mergeCell ref="M5:N5"/>
    <mergeCell ref="O5:Q5"/>
    <mergeCell ref="A6:C6"/>
    <mergeCell ref="D6:L6"/>
    <mergeCell ref="M6:N6"/>
    <mergeCell ref="O6:Q6"/>
    <mergeCell ref="A7:C7"/>
    <mergeCell ref="D7:H7"/>
    <mergeCell ref="I7:J7"/>
    <mergeCell ref="K7:L7"/>
    <mergeCell ref="M7:N7"/>
    <mergeCell ref="O7:Q7"/>
    <mergeCell ref="A8:C8"/>
    <mergeCell ref="D8:H8"/>
    <mergeCell ref="J8:L8"/>
    <mergeCell ref="M8:N8"/>
    <mergeCell ref="O8:Q8"/>
    <mergeCell ref="A9:C9"/>
    <mergeCell ref="D9:H9"/>
    <mergeCell ref="J9:L9"/>
    <mergeCell ref="M9:N9"/>
    <mergeCell ref="O9:Q9"/>
    <mergeCell ref="A10:Q10"/>
    <mergeCell ref="C11:F11"/>
    <mergeCell ref="I11:J11"/>
    <mergeCell ref="K11:L11"/>
    <mergeCell ref="G13:H13"/>
    <mergeCell ref="M13:N13"/>
    <mergeCell ref="G14:H14"/>
    <mergeCell ref="M14:N14"/>
    <mergeCell ref="G15:H15"/>
    <mergeCell ref="M15:N15"/>
    <mergeCell ref="S16:Y16"/>
    <mergeCell ref="B18:Q18"/>
    <mergeCell ref="S18:Y18"/>
    <mergeCell ref="A19:Q19"/>
    <mergeCell ref="S20:Y20"/>
    <mergeCell ref="S21:Y21"/>
    <mergeCell ref="K23:Y23"/>
    <mergeCell ref="K24:Y24"/>
    <mergeCell ref="A11:A15"/>
    <mergeCell ref="A16:A17"/>
    <mergeCell ref="B11:B12"/>
    <mergeCell ref="O11:O12"/>
    <mergeCell ref="P11:P12"/>
    <mergeCell ref="Q11:Q12"/>
    <mergeCell ref="T7:T8"/>
    <mergeCell ref="U7:U8"/>
    <mergeCell ref="G11:H12"/>
    <mergeCell ref="M11:N12"/>
    <mergeCell ref="B16:Q17"/>
  </mergeCells>
  <printOptions horizontalCentered="1" verticalCentered="1"/>
  <pageMargins left="0.393700787401575" right="0.393700787401575" top="0.78740157480315" bottom="0.590551181102362" header="0.590551181102362" footer="0.196850393700787"/>
  <pageSetup paperSize="9" firstPageNumber="5" orientation="landscape" useFirstPageNumber="1"/>
  <headerFooter alignWithMargins="0">
    <oddHeader>&amp;R第 &amp;P 页共 &amp;[5 页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0"/>
  </sheetPr>
  <dimension ref="A1:O24"/>
  <sheetViews>
    <sheetView view="pageBreakPreview" zoomScaleNormal="100" zoomScaleSheetLayoutView="100" workbookViewId="0">
      <selection activeCell="I3" sqref="I3:K3"/>
    </sheetView>
  </sheetViews>
  <sheetFormatPr defaultColWidth="9" defaultRowHeight="15"/>
  <cols>
    <col min="1" max="1" width="11.25" customWidth="1"/>
    <col min="2" max="4" width="12.375" customWidth="1"/>
    <col min="5" max="5" width="13.375" customWidth="1"/>
    <col min="6" max="6" width="12.375" customWidth="1"/>
    <col min="7" max="7" width="13.25" customWidth="1"/>
    <col min="8" max="8" width="12.375" customWidth="1"/>
    <col min="9" max="10" width="8.625" customWidth="1"/>
    <col min="11" max="11" width="5.625" customWidth="1"/>
  </cols>
  <sheetData>
    <row r="1" s="177" customFormat="1" ht="37.5" customHeight="1" spans="1:11">
      <c r="A1" s="180" t="s">
        <v>203</v>
      </c>
      <c r="B1" s="180"/>
      <c r="C1" s="180"/>
      <c r="D1" s="180"/>
      <c r="E1" s="180"/>
      <c r="F1" s="180"/>
      <c r="G1" s="180"/>
      <c r="H1" s="180"/>
      <c r="I1" s="180"/>
      <c r="J1" s="205"/>
      <c r="K1" s="205"/>
    </row>
    <row r="2" s="178" customFormat="1" ht="22.5" customHeight="1" spans="1:15">
      <c r="A2" s="181"/>
      <c r="B2" s="181"/>
      <c r="C2" s="181"/>
      <c r="D2" s="181"/>
      <c r="E2" s="181"/>
      <c r="F2" s="181"/>
      <c r="G2" s="181"/>
      <c r="H2" s="182" t="s">
        <v>204</v>
      </c>
      <c r="I2" s="50"/>
      <c r="J2" s="50"/>
      <c r="K2" s="51"/>
      <c r="O2" s="74" t="s">
        <v>69</v>
      </c>
    </row>
    <row r="3" s="179" customFormat="1" ht="22.5" customHeight="1" spans="1:15">
      <c r="A3" s="183" t="s">
        <v>155</v>
      </c>
      <c r="B3" s="184" t="str">
        <f ca="1">原材料技术指标报告!C4</f>
        <v>/</v>
      </c>
      <c r="C3" s="184"/>
      <c r="D3" s="184"/>
      <c r="E3" s="184" t="s">
        <v>156</v>
      </c>
      <c r="F3" s="185" t="s">
        <v>205</v>
      </c>
      <c r="G3" s="186"/>
      <c r="H3" s="184" t="s">
        <v>76</v>
      </c>
      <c r="I3" s="52"/>
      <c r="J3" s="53"/>
      <c r="K3" s="54"/>
      <c r="O3" t="s">
        <v>206</v>
      </c>
    </row>
    <row r="4" s="179" customFormat="1" ht="22.5" customHeight="1" spans="1:11">
      <c r="A4" s="187" t="s">
        <v>158</v>
      </c>
      <c r="B4" s="188" t="s">
        <v>207</v>
      </c>
      <c r="C4" s="188"/>
      <c r="D4" s="188"/>
      <c r="E4" s="188" t="s">
        <v>208</v>
      </c>
      <c r="F4" s="188" t="s">
        <v>209</v>
      </c>
      <c r="G4" s="188"/>
      <c r="H4" s="188" t="s">
        <v>210</v>
      </c>
      <c r="I4" s="206">
        <f ca="1">砂浆配合比记录1!L4</f>
        <v>0</v>
      </c>
      <c r="J4" s="207"/>
      <c r="K4" s="208"/>
    </row>
    <row r="5" s="179" customFormat="1" ht="22.5" customHeight="1" spans="1:11">
      <c r="A5" s="189" t="s">
        <v>163</v>
      </c>
      <c r="B5" s="190" t="s">
        <v>211</v>
      </c>
      <c r="C5" s="191"/>
      <c r="D5" s="191"/>
      <c r="E5" s="191"/>
      <c r="F5" s="191"/>
      <c r="G5" s="192"/>
      <c r="H5" s="193" t="s">
        <v>212</v>
      </c>
      <c r="I5" s="193" t="str">
        <f ca="1">原材料技术指标报告!D7</f>
        <v>P·C32.5</v>
      </c>
      <c r="J5" s="190"/>
      <c r="K5" s="209"/>
    </row>
    <row r="6" s="179" customFormat="1" ht="22.5" customHeight="1" spans="1:11">
      <c r="A6" s="194" t="s">
        <v>213</v>
      </c>
      <c r="B6" s="195"/>
      <c r="C6" s="195"/>
      <c r="D6" s="195"/>
      <c r="E6" s="195"/>
      <c r="F6" s="195"/>
      <c r="G6" s="195"/>
      <c r="H6" s="195"/>
      <c r="I6" s="195"/>
      <c r="J6" s="210"/>
      <c r="K6" s="211"/>
    </row>
    <row r="7" s="179" customFormat="1" ht="22.5" customHeight="1" spans="1:15">
      <c r="A7" s="194" t="s">
        <v>214</v>
      </c>
      <c r="B7" s="196" t="s">
        <v>215</v>
      </c>
      <c r="C7" s="196"/>
      <c r="D7" s="196" t="s">
        <v>216</v>
      </c>
      <c r="E7" s="196"/>
      <c r="F7" s="196"/>
      <c r="G7" s="196" t="s">
        <v>217</v>
      </c>
      <c r="H7" s="196"/>
      <c r="I7" s="196" t="s">
        <v>218</v>
      </c>
      <c r="J7" s="212"/>
      <c r="K7" s="213"/>
      <c r="M7" s="80" t="s">
        <v>219</v>
      </c>
      <c r="N7" s="80" t="s">
        <v>220</v>
      </c>
      <c r="O7" s="80" t="s">
        <v>221</v>
      </c>
    </row>
    <row r="8" s="179" customFormat="1" ht="22.5" customHeight="1" spans="1:15">
      <c r="A8" s="187">
        <v>1</v>
      </c>
      <c r="B8" s="197">
        <v>25</v>
      </c>
      <c r="C8" s="198"/>
      <c r="D8" s="197">
        <v>10</v>
      </c>
      <c r="E8" s="199"/>
      <c r="F8" s="198"/>
      <c r="G8" s="197">
        <v>48</v>
      </c>
      <c r="H8" s="198"/>
      <c r="I8" s="214">
        <f>ROUND((G8+G9)/2,0)</f>
        <v>49</v>
      </c>
      <c r="J8" s="215"/>
      <c r="K8" s="216"/>
      <c r="M8" s="80">
        <f>ABS(G8-G9)</f>
        <v>2</v>
      </c>
      <c r="N8" s="80">
        <v>10</v>
      </c>
      <c r="O8" s="80" t="str">
        <f>IF(AND(M8&lt;N8),"合格",IF(OR(M8&gt;=N8),"不合格","合格"))</f>
        <v>合格</v>
      </c>
    </row>
    <row r="9" s="179" customFormat="1" ht="22.5" customHeight="1" spans="1:15">
      <c r="A9" s="187">
        <v>2</v>
      </c>
      <c r="B9" s="197">
        <v>25</v>
      </c>
      <c r="C9" s="198"/>
      <c r="D9" s="197">
        <v>10</v>
      </c>
      <c r="E9" s="199"/>
      <c r="F9" s="198"/>
      <c r="G9" s="197">
        <v>50</v>
      </c>
      <c r="H9" s="198"/>
      <c r="I9" s="217"/>
      <c r="J9" s="218"/>
      <c r="K9" s="219"/>
      <c r="M9" s="80"/>
      <c r="N9" s="80"/>
      <c r="O9" s="80"/>
    </row>
    <row r="10" s="179" customFormat="1" ht="22.5" customHeight="1" spans="1:11">
      <c r="A10" s="187" t="s">
        <v>78</v>
      </c>
      <c r="B10" s="188" t="s">
        <v>78</v>
      </c>
      <c r="C10" s="188"/>
      <c r="D10" s="188" t="s">
        <v>78</v>
      </c>
      <c r="E10" s="188"/>
      <c r="F10" s="188"/>
      <c r="G10" s="188" t="s">
        <v>78</v>
      </c>
      <c r="H10" s="188"/>
      <c r="I10" s="188" t="s">
        <v>78</v>
      </c>
      <c r="J10" s="220"/>
      <c r="K10" s="221"/>
    </row>
    <row r="11" s="179" customFormat="1" ht="22.5" customHeight="1" spans="1:11">
      <c r="A11" s="187" t="s">
        <v>78</v>
      </c>
      <c r="B11" s="188" t="s">
        <v>78</v>
      </c>
      <c r="C11" s="188"/>
      <c r="D11" s="188" t="s">
        <v>78</v>
      </c>
      <c r="E11" s="188"/>
      <c r="F11" s="188"/>
      <c r="G11" s="188" t="s">
        <v>78</v>
      </c>
      <c r="H11" s="188"/>
      <c r="I11" s="188"/>
      <c r="J11" s="220"/>
      <c r="K11" s="221"/>
    </row>
    <row r="12" s="179" customFormat="1" ht="22.5" customHeight="1" spans="1:11">
      <c r="A12" s="187" t="s">
        <v>222</v>
      </c>
      <c r="B12" s="188"/>
      <c r="C12" s="188"/>
      <c r="D12" s="188"/>
      <c r="E12" s="188"/>
      <c r="F12" s="188"/>
      <c r="G12" s="188"/>
      <c r="H12" s="188"/>
      <c r="I12" s="188"/>
      <c r="J12" s="220"/>
      <c r="K12" s="221"/>
    </row>
    <row r="13" s="179" customFormat="1" ht="22.5" customHeight="1" spans="1:11">
      <c r="A13" s="187" t="s">
        <v>214</v>
      </c>
      <c r="B13" s="200" t="s">
        <v>223</v>
      </c>
      <c r="C13" s="200"/>
      <c r="D13" s="200" t="s">
        <v>224</v>
      </c>
      <c r="E13" s="200"/>
      <c r="F13" s="200"/>
      <c r="G13" s="200" t="s">
        <v>225</v>
      </c>
      <c r="H13" s="200"/>
      <c r="I13" s="200" t="s">
        <v>226</v>
      </c>
      <c r="J13" s="197"/>
      <c r="K13" s="222"/>
    </row>
    <row r="14" s="179" customFormat="1" ht="22.5" customHeight="1" spans="1:11">
      <c r="A14" s="187" t="s">
        <v>78</v>
      </c>
      <c r="B14" s="197" t="s">
        <v>78</v>
      </c>
      <c r="C14" s="198"/>
      <c r="D14" s="197" t="s">
        <v>78</v>
      </c>
      <c r="E14" s="199"/>
      <c r="F14" s="198"/>
      <c r="G14" s="197" t="s">
        <v>78</v>
      </c>
      <c r="H14" s="198"/>
      <c r="I14" s="223" t="s">
        <v>78</v>
      </c>
      <c r="J14" s="224"/>
      <c r="K14" s="225"/>
    </row>
    <row r="15" s="179" customFormat="1" ht="22.5" customHeight="1" spans="1:11">
      <c r="A15" s="187" t="s">
        <v>78</v>
      </c>
      <c r="B15" s="197" t="s">
        <v>78</v>
      </c>
      <c r="C15" s="198"/>
      <c r="D15" s="197" t="s">
        <v>78</v>
      </c>
      <c r="E15" s="199"/>
      <c r="F15" s="198"/>
      <c r="G15" s="197" t="s">
        <v>78</v>
      </c>
      <c r="H15" s="198"/>
      <c r="I15" s="212"/>
      <c r="J15" s="226"/>
      <c r="K15" s="227"/>
    </row>
    <row r="16" s="179" customFormat="1" ht="22.5" customHeight="1" spans="1:11">
      <c r="A16" s="187" t="s">
        <v>78</v>
      </c>
      <c r="B16" s="188" t="s">
        <v>78</v>
      </c>
      <c r="C16" s="188"/>
      <c r="D16" s="188" t="s">
        <v>78</v>
      </c>
      <c r="E16" s="188"/>
      <c r="F16" s="188"/>
      <c r="G16" s="188" t="s">
        <v>78</v>
      </c>
      <c r="H16" s="188"/>
      <c r="I16" s="188" t="s">
        <v>78</v>
      </c>
      <c r="J16" s="220"/>
      <c r="K16" s="221"/>
    </row>
    <row r="17" s="179" customFormat="1" ht="22.5" customHeight="1" spans="1:11">
      <c r="A17" s="187" t="s">
        <v>78</v>
      </c>
      <c r="B17" s="188" t="s">
        <v>78</v>
      </c>
      <c r="C17" s="188"/>
      <c r="D17" s="188" t="s">
        <v>78</v>
      </c>
      <c r="E17" s="188"/>
      <c r="F17" s="188"/>
      <c r="G17" s="188" t="s">
        <v>78</v>
      </c>
      <c r="H17" s="188"/>
      <c r="I17" s="188"/>
      <c r="J17" s="220"/>
      <c r="K17" s="221"/>
    </row>
    <row r="18" s="179" customFormat="1" ht="50.25" customHeight="1" spans="1:11">
      <c r="A18" s="201" t="s">
        <v>227</v>
      </c>
      <c r="B18" s="202"/>
      <c r="C18" s="202"/>
      <c r="D18" s="202"/>
      <c r="E18" s="202"/>
      <c r="F18" s="202"/>
      <c r="G18" s="202"/>
      <c r="H18" s="202"/>
      <c r="I18" s="202"/>
      <c r="J18" s="202"/>
      <c r="K18" s="228"/>
    </row>
    <row r="19" s="179" customFormat="1" ht="18.75" customHeight="1" spans="1:11">
      <c r="A19" s="203" t="s">
        <v>228</v>
      </c>
      <c r="B19" s="203"/>
      <c r="C19" s="203"/>
      <c r="D19" s="203"/>
      <c r="E19" s="203"/>
      <c r="F19" s="203"/>
      <c r="G19" s="203"/>
      <c r="H19" s="203"/>
      <c r="I19" s="203"/>
      <c r="J19" s="203"/>
      <c r="K19" s="203"/>
    </row>
    <row r="20" spans="1:11">
      <c r="A20" s="204"/>
      <c r="B20" s="204"/>
      <c r="C20" s="204"/>
      <c r="D20" s="204"/>
      <c r="E20" s="204"/>
      <c r="F20" s="204"/>
      <c r="G20" s="204"/>
      <c r="H20" s="204"/>
      <c r="I20" s="204"/>
      <c r="J20" s="204"/>
      <c r="K20" s="204"/>
    </row>
    <row r="21" spans="1:11">
      <c r="A21" s="204"/>
      <c r="B21" s="204"/>
      <c r="C21" s="204"/>
      <c r="D21" s="204"/>
      <c r="E21" s="204"/>
      <c r="F21" s="204"/>
      <c r="G21" s="204"/>
      <c r="H21" s="204"/>
      <c r="I21" s="204"/>
      <c r="J21" s="204"/>
      <c r="K21" s="204"/>
    </row>
    <row r="24" ht="24.95" customHeight="1"/>
  </sheetData>
  <mergeCells count="54">
    <mergeCell ref="A1:I1"/>
    <mergeCell ref="J1:K1"/>
    <mergeCell ref="I2:J2"/>
    <mergeCell ref="B3:D3"/>
    <mergeCell ref="F3:G3"/>
    <mergeCell ref="I3:K3"/>
    <mergeCell ref="B4:D4"/>
    <mergeCell ref="F4:G4"/>
    <mergeCell ref="I4:K4"/>
    <mergeCell ref="B5:G5"/>
    <mergeCell ref="I5:K5"/>
    <mergeCell ref="A6:K6"/>
    <mergeCell ref="B7:C7"/>
    <mergeCell ref="D7:F7"/>
    <mergeCell ref="G7:H7"/>
    <mergeCell ref="I7:K7"/>
    <mergeCell ref="B8:C8"/>
    <mergeCell ref="D8:F8"/>
    <mergeCell ref="G8:H8"/>
    <mergeCell ref="B9:C9"/>
    <mergeCell ref="D9:F9"/>
    <mergeCell ref="G9:H9"/>
    <mergeCell ref="B10:C10"/>
    <mergeCell ref="D10:F10"/>
    <mergeCell ref="G10:H10"/>
    <mergeCell ref="B11:C11"/>
    <mergeCell ref="D11:F11"/>
    <mergeCell ref="G11:H11"/>
    <mergeCell ref="A12:K12"/>
    <mergeCell ref="B13:C13"/>
    <mergeCell ref="D13:F13"/>
    <mergeCell ref="G13:H13"/>
    <mergeCell ref="I13:K13"/>
    <mergeCell ref="B14:C14"/>
    <mergeCell ref="D14:F14"/>
    <mergeCell ref="G14:H14"/>
    <mergeCell ref="B15:C15"/>
    <mergeCell ref="D15:F15"/>
    <mergeCell ref="G15:H15"/>
    <mergeCell ref="B16:C16"/>
    <mergeCell ref="D16:F16"/>
    <mergeCell ref="G16:H16"/>
    <mergeCell ref="B17:C17"/>
    <mergeCell ref="D17:F17"/>
    <mergeCell ref="G17:H17"/>
    <mergeCell ref="A18:K18"/>
    <mergeCell ref="A19:K19"/>
    <mergeCell ref="M8:M9"/>
    <mergeCell ref="N8:N9"/>
    <mergeCell ref="O8:O9"/>
    <mergeCell ref="I8:K9"/>
    <mergeCell ref="I10:K11"/>
    <mergeCell ref="I14:K15"/>
    <mergeCell ref="I16:K17"/>
  </mergeCells>
  <conditionalFormatting sqref="O8:O9">
    <cfRule type="cellIs" dxfId="0" priority="1" stopIfTrue="1" operator="between">
      <formula>"不合格"</formula>
      <formula>"不合格"</formula>
    </cfRule>
  </conditionalFormatting>
  <printOptions horizontalCentered="1" verticalCentered="1"/>
  <pageMargins left="0.590551181102362" right="0.590551181102362" top="0.78740157480315" bottom="0.590551181102362" header="0.196850393700787" footer="0.196850393700787"/>
  <pageSetup paperSize="9" firstPageNumber="4294963191" orientation="landscape" useFirstPageNumber="1" horizontalDpi="36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3"/>
  </sheetPr>
  <dimension ref="A1:O24"/>
  <sheetViews>
    <sheetView view="pageBreakPreview" zoomScaleNormal="100" zoomScaleSheetLayoutView="100" topLeftCell="A13" workbookViewId="0">
      <selection activeCell="E27" sqref="E27"/>
    </sheetView>
  </sheetViews>
  <sheetFormatPr defaultColWidth="9" defaultRowHeight="15"/>
  <cols>
    <col min="1" max="1" width="11.625" customWidth="1"/>
    <col min="2" max="2" width="12.375" customWidth="1"/>
    <col min="3" max="3" width="12.875" customWidth="1"/>
    <col min="4" max="7" width="12.375" customWidth="1"/>
    <col min="8" max="8" width="13.625" customWidth="1"/>
    <col min="9" max="10" width="8.625" customWidth="1"/>
    <col min="11" max="11" width="5.625" customWidth="1"/>
  </cols>
  <sheetData>
    <row r="1" s="177" customFormat="1" ht="37.5" customHeight="1" spans="1:11">
      <c r="A1" s="180" t="s">
        <v>203</v>
      </c>
      <c r="B1" s="180"/>
      <c r="C1" s="180"/>
      <c r="D1" s="180"/>
      <c r="E1" s="180"/>
      <c r="F1" s="180"/>
      <c r="G1" s="180"/>
      <c r="H1" s="180"/>
      <c r="I1" s="180"/>
      <c r="J1" s="205"/>
      <c r="K1" s="205"/>
    </row>
    <row r="2" s="178" customFormat="1" ht="22.5" customHeight="1" spans="1:15">
      <c r="A2" s="181"/>
      <c r="B2" s="181"/>
      <c r="C2" s="181"/>
      <c r="D2" s="181"/>
      <c r="E2" s="181"/>
      <c r="F2" s="181"/>
      <c r="G2" s="181"/>
      <c r="H2" s="182" t="s">
        <v>204</v>
      </c>
      <c r="I2" s="50"/>
      <c r="J2" s="50"/>
      <c r="K2" s="51"/>
      <c r="O2" s="74" t="s">
        <v>69</v>
      </c>
    </row>
    <row r="3" s="179" customFormat="1" ht="22.5" customHeight="1" spans="1:15">
      <c r="A3" s="183" t="s">
        <v>155</v>
      </c>
      <c r="B3" s="184" t="str">
        <f ca="1">原材料技术指标报告!C4</f>
        <v>/</v>
      </c>
      <c r="C3" s="184"/>
      <c r="D3" s="184"/>
      <c r="E3" s="184" t="s">
        <v>156</v>
      </c>
      <c r="F3" s="185" t="s">
        <v>205</v>
      </c>
      <c r="G3" s="186"/>
      <c r="H3" s="184" t="s">
        <v>76</v>
      </c>
      <c r="I3" s="52">
        <f ca="1">水泥砂浆稠度、分层度记录A组!I3</f>
        <v>0</v>
      </c>
      <c r="J3" s="53"/>
      <c r="K3" s="54"/>
      <c r="O3" t="s">
        <v>206</v>
      </c>
    </row>
    <row r="4" s="179" customFormat="1" ht="22.5" customHeight="1" spans="1:11">
      <c r="A4" s="187" t="s">
        <v>158</v>
      </c>
      <c r="B4" s="188" t="str">
        <f ca="1">水泥砂浆稠度、分层度记录A组!B4:D4</f>
        <v>室温XX℃   相对湿度XX%</v>
      </c>
      <c r="C4" s="188"/>
      <c r="D4" s="188"/>
      <c r="E4" s="188" t="s">
        <v>208</v>
      </c>
      <c r="F4" s="188" t="s">
        <v>199</v>
      </c>
      <c r="G4" s="188"/>
      <c r="H4" s="188" t="s">
        <v>210</v>
      </c>
      <c r="I4" s="206">
        <f ca="1">水泥砂浆稠度、分层度记录A组!I4:K4</f>
        <v>0</v>
      </c>
      <c r="J4" s="207"/>
      <c r="K4" s="208"/>
    </row>
    <row r="5" s="179" customFormat="1" ht="22.5" customHeight="1" spans="1:11">
      <c r="A5" s="189" t="s">
        <v>163</v>
      </c>
      <c r="B5" s="190" t="str">
        <f ca="1">水泥砂浆稠度、分层度记录A组!B5:G5</f>
        <v>水泥砂浆稠度仪GL01050016、秒表、容量筒</v>
      </c>
      <c r="C5" s="191"/>
      <c r="D5" s="191"/>
      <c r="E5" s="191"/>
      <c r="F5" s="191"/>
      <c r="G5" s="192"/>
      <c r="H5" s="193" t="s">
        <v>212</v>
      </c>
      <c r="I5" s="193" t="str">
        <f ca="1">水泥砂浆稠度、分层度记录A组!I5:K5</f>
        <v>P·C32.5</v>
      </c>
      <c r="J5" s="190"/>
      <c r="K5" s="209"/>
    </row>
    <row r="6" s="179" customFormat="1" ht="22.5" customHeight="1" spans="1:11">
      <c r="A6" s="194" t="s">
        <v>213</v>
      </c>
      <c r="B6" s="195"/>
      <c r="C6" s="195"/>
      <c r="D6" s="195"/>
      <c r="E6" s="195"/>
      <c r="F6" s="195"/>
      <c r="G6" s="195"/>
      <c r="H6" s="195"/>
      <c r="I6" s="195"/>
      <c r="J6" s="210"/>
      <c r="K6" s="211"/>
    </row>
    <row r="7" s="179" customFormat="1" ht="22.5" customHeight="1" spans="1:15">
      <c r="A7" s="194" t="s">
        <v>214</v>
      </c>
      <c r="B7" s="212" t="s">
        <v>215</v>
      </c>
      <c r="C7" s="229"/>
      <c r="D7" s="212" t="s">
        <v>216</v>
      </c>
      <c r="E7" s="226"/>
      <c r="F7" s="229"/>
      <c r="G7" s="212" t="s">
        <v>217</v>
      </c>
      <c r="H7" s="229"/>
      <c r="I7" s="212" t="s">
        <v>218</v>
      </c>
      <c r="J7" s="226"/>
      <c r="K7" s="227"/>
      <c r="M7" s="80" t="s">
        <v>219</v>
      </c>
      <c r="N7" s="80" t="s">
        <v>220</v>
      </c>
      <c r="O7" s="80" t="s">
        <v>221</v>
      </c>
    </row>
    <row r="8" s="179" customFormat="1" ht="22.5" customHeight="1" spans="1:15">
      <c r="A8" s="187">
        <v>1</v>
      </c>
      <c r="B8" s="197">
        <v>25</v>
      </c>
      <c r="C8" s="198"/>
      <c r="D8" s="197">
        <v>10</v>
      </c>
      <c r="E8" s="199"/>
      <c r="F8" s="198"/>
      <c r="G8" s="197">
        <v>38</v>
      </c>
      <c r="H8" s="198"/>
      <c r="I8" s="214">
        <f>ROUND((G8+G9)/2,0)</f>
        <v>39</v>
      </c>
      <c r="J8" s="215"/>
      <c r="K8" s="216"/>
      <c r="M8" s="80">
        <f>ABS(G8-G9)</f>
        <v>1</v>
      </c>
      <c r="N8" s="80">
        <v>10</v>
      </c>
      <c r="O8" s="80" t="str">
        <f>IF(AND(M8&lt;N8),"合格",IF(OR(M8&gt;=N8),"不合格","合格"))</f>
        <v>合格</v>
      </c>
    </row>
    <row r="9" s="179" customFormat="1" ht="22.5" customHeight="1" spans="1:15">
      <c r="A9" s="187">
        <v>2</v>
      </c>
      <c r="B9" s="197">
        <v>25</v>
      </c>
      <c r="C9" s="198"/>
      <c r="D9" s="197">
        <v>10</v>
      </c>
      <c r="E9" s="199"/>
      <c r="F9" s="198"/>
      <c r="G9" s="197">
        <v>39</v>
      </c>
      <c r="H9" s="198"/>
      <c r="I9" s="217"/>
      <c r="J9" s="218"/>
      <c r="K9" s="219"/>
      <c r="M9" s="80"/>
      <c r="N9" s="80"/>
      <c r="O9" s="80"/>
    </row>
    <row r="10" s="179" customFormat="1" ht="22.5" customHeight="1" spans="1:11">
      <c r="A10" s="187" t="s">
        <v>78</v>
      </c>
      <c r="B10" s="188" t="s">
        <v>78</v>
      </c>
      <c r="C10" s="188"/>
      <c r="D10" s="188" t="s">
        <v>78</v>
      </c>
      <c r="E10" s="188"/>
      <c r="F10" s="188"/>
      <c r="G10" s="188" t="s">
        <v>78</v>
      </c>
      <c r="H10" s="188"/>
      <c r="I10" s="188" t="s">
        <v>78</v>
      </c>
      <c r="J10" s="220"/>
      <c r="K10" s="221"/>
    </row>
    <row r="11" s="179" customFormat="1" ht="22.5" customHeight="1" spans="1:11">
      <c r="A11" s="187" t="s">
        <v>78</v>
      </c>
      <c r="B11" s="188" t="s">
        <v>78</v>
      </c>
      <c r="C11" s="188"/>
      <c r="D11" s="188" t="s">
        <v>78</v>
      </c>
      <c r="E11" s="188"/>
      <c r="F11" s="188"/>
      <c r="G11" s="188" t="s">
        <v>78</v>
      </c>
      <c r="H11" s="188"/>
      <c r="I11" s="188"/>
      <c r="J11" s="220"/>
      <c r="K11" s="221"/>
    </row>
    <row r="12" s="179" customFormat="1" ht="22.5" customHeight="1" spans="1:11">
      <c r="A12" s="230" t="s">
        <v>222</v>
      </c>
      <c r="B12" s="231"/>
      <c r="C12" s="231"/>
      <c r="D12" s="231"/>
      <c r="E12" s="231"/>
      <c r="F12" s="231"/>
      <c r="G12" s="231"/>
      <c r="H12" s="231"/>
      <c r="I12" s="231"/>
      <c r="J12" s="231"/>
      <c r="K12" s="232"/>
    </row>
    <row r="13" s="179" customFormat="1" ht="22.5" customHeight="1" spans="1:11">
      <c r="A13" s="187" t="s">
        <v>214</v>
      </c>
      <c r="B13" s="197" t="s">
        <v>223</v>
      </c>
      <c r="C13" s="198"/>
      <c r="D13" s="197" t="s">
        <v>224</v>
      </c>
      <c r="E13" s="199"/>
      <c r="F13" s="198"/>
      <c r="G13" s="197" t="s">
        <v>225</v>
      </c>
      <c r="H13" s="198"/>
      <c r="I13" s="197" t="s">
        <v>226</v>
      </c>
      <c r="J13" s="199"/>
      <c r="K13" s="233"/>
    </row>
    <row r="14" s="179" customFormat="1" ht="22.5" customHeight="1" spans="1:11">
      <c r="A14" s="187" t="s">
        <v>78</v>
      </c>
      <c r="B14" s="197" t="s">
        <v>78</v>
      </c>
      <c r="C14" s="198"/>
      <c r="D14" s="197" t="s">
        <v>78</v>
      </c>
      <c r="E14" s="199"/>
      <c r="F14" s="198"/>
      <c r="G14" s="197" t="s">
        <v>78</v>
      </c>
      <c r="H14" s="198"/>
      <c r="I14" s="223" t="s">
        <v>78</v>
      </c>
      <c r="J14" s="224"/>
      <c r="K14" s="225"/>
    </row>
    <row r="15" s="179" customFormat="1" ht="22.5" customHeight="1" spans="1:11">
      <c r="A15" s="187" t="s">
        <v>78</v>
      </c>
      <c r="B15" s="197" t="s">
        <v>78</v>
      </c>
      <c r="C15" s="198"/>
      <c r="D15" s="197" t="s">
        <v>78</v>
      </c>
      <c r="E15" s="199"/>
      <c r="F15" s="198"/>
      <c r="G15" s="197" t="s">
        <v>78</v>
      </c>
      <c r="H15" s="198"/>
      <c r="I15" s="212"/>
      <c r="J15" s="226"/>
      <c r="K15" s="227"/>
    </row>
    <row r="16" s="179" customFormat="1" ht="22.5" customHeight="1" spans="1:11">
      <c r="A16" s="187" t="s">
        <v>78</v>
      </c>
      <c r="B16" s="188" t="s">
        <v>78</v>
      </c>
      <c r="C16" s="188"/>
      <c r="D16" s="188" t="s">
        <v>78</v>
      </c>
      <c r="E16" s="188"/>
      <c r="F16" s="188"/>
      <c r="G16" s="188" t="s">
        <v>78</v>
      </c>
      <c r="H16" s="188"/>
      <c r="I16" s="188" t="s">
        <v>78</v>
      </c>
      <c r="J16" s="220"/>
      <c r="K16" s="221"/>
    </row>
    <row r="17" s="179" customFormat="1" ht="22.5" customHeight="1" spans="1:11">
      <c r="A17" s="187" t="s">
        <v>78</v>
      </c>
      <c r="B17" s="188" t="s">
        <v>78</v>
      </c>
      <c r="C17" s="188"/>
      <c r="D17" s="188" t="s">
        <v>78</v>
      </c>
      <c r="E17" s="188"/>
      <c r="F17" s="188"/>
      <c r="G17" s="188" t="s">
        <v>78</v>
      </c>
      <c r="H17" s="188"/>
      <c r="I17" s="188"/>
      <c r="J17" s="220"/>
      <c r="K17" s="221"/>
    </row>
    <row r="18" s="179" customFormat="1" ht="50.25" customHeight="1" spans="1:11">
      <c r="A18" s="201" t="s">
        <v>227</v>
      </c>
      <c r="B18" s="202"/>
      <c r="C18" s="202"/>
      <c r="D18" s="202"/>
      <c r="E18" s="202"/>
      <c r="F18" s="202"/>
      <c r="G18" s="202"/>
      <c r="H18" s="202"/>
      <c r="I18" s="202"/>
      <c r="J18" s="202"/>
      <c r="K18" s="228"/>
    </row>
    <row r="19" s="179" customFormat="1" ht="18.75" customHeight="1" spans="1:11">
      <c r="A19" s="203" t="s">
        <v>228</v>
      </c>
      <c r="B19" s="203"/>
      <c r="C19" s="203"/>
      <c r="D19" s="203"/>
      <c r="E19" s="203"/>
      <c r="F19" s="203"/>
      <c r="G19" s="203"/>
      <c r="H19" s="203"/>
      <c r="I19" s="203"/>
      <c r="J19" s="203"/>
      <c r="K19" s="203"/>
    </row>
    <row r="20" spans="1:11">
      <c r="A20" s="204"/>
      <c r="B20" s="204"/>
      <c r="C20" s="204"/>
      <c r="D20" s="204"/>
      <c r="E20" s="204"/>
      <c r="F20" s="204"/>
      <c r="G20" s="204"/>
      <c r="H20" s="204"/>
      <c r="I20" s="204"/>
      <c r="J20" s="204"/>
      <c r="K20" s="204"/>
    </row>
    <row r="21" spans="1:11">
      <c r="A21" s="204"/>
      <c r="B21" s="204"/>
      <c r="C21" s="204"/>
      <c r="D21" s="204"/>
      <c r="E21" s="204"/>
      <c r="F21" s="204"/>
      <c r="G21" s="204"/>
      <c r="H21" s="204"/>
      <c r="I21" s="204"/>
      <c r="J21" s="204"/>
      <c r="K21" s="204"/>
    </row>
    <row r="24" ht="24.95" customHeight="1"/>
  </sheetData>
  <mergeCells count="54">
    <mergeCell ref="A1:I1"/>
    <mergeCell ref="J1:K1"/>
    <mergeCell ref="I2:J2"/>
    <mergeCell ref="B3:D3"/>
    <mergeCell ref="F3:G3"/>
    <mergeCell ref="I3:K3"/>
    <mergeCell ref="B4:D4"/>
    <mergeCell ref="F4:G4"/>
    <mergeCell ref="I4:K4"/>
    <mergeCell ref="B5:G5"/>
    <mergeCell ref="I5:K5"/>
    <mergeCell ref="A6:K6"/>
    <mergeCell ref="B7:C7"/>
    <mergeCell ref="D7:F7"/>
    <mergeCell ref="G7:H7"/>
    <mergeCell ref="I7:K7"/>
    <mergeCell ref="B8:C8"/>
    <mergeCell ref="D8:F8"/>
    <mergeCell ref="G8:H8"/>
    <mergeCell ref="B9:C9"/>
    <mergeCell ref="D9:F9"/>
    <mergeCell ref="G9:H9"/>
    <mergeCell ref="B10:C10"/>
    <mergeCell ref="D10:F10"/>
    <mergeCell ref="G10:H10"/>
    <mergeCell ref="B11:C11"/>
    <mergeCell ref="D11:F11"/>
    <mergeCell ref="G11:H11"/>
    <mergeCell ref="A12:K12"/>
    <mergeCell ref="B13:C13"/>
    <mergeCell ref="D13:F13"/>
    <mergeCell ref="G13:H13"/>
    <mergeCell ref="I13:K13"/>
    <mergeCell ref="B14:C14"/>
    <mergeCell ref="D14:F14"/>
    <mergeCell ref="G14:H14"/>
    <mergeCell ref="B15:C15"/>
    <mergeCell ref="D15:F15"/>
    <mergeCell ref="G15:H15"/>
    <mergeCell ref="B16:C16"/>
    <mergeCell ref="D16:F16"/>
    <mergeCell ref="G16:H16"/>
    <mergeCell ref="B17:C17"/>
    <mergeCell ref="D17:F17"/>
    <mergeCell ref="G17:H17"/>
    <mergeCell ref="A18:K18"/>
    <mergeCell ref="A19:K19"/>
    <mergeCell ref="M8:M9"/>
    <mergeCell ref="N8:N9"/>
    <mergeCell ref="O8:O9"/>
    <mergeCell ref="I8:K9"/>
    <mergeCell ref="I10:K11"/>
    <mergeCell ref="I14:K15"/>
    <mergeCell ref="I16:K17"/>
  </mergeCells>
  <conditionalFormatting sqref="O8:O9">
    <cfRule type="cellIs" dxfId="0" priority="1" stopIfTrue="1" operator="between">
      <formula>"不合格"</formula>
      <formula>"不合格"</formula>
    </cfRule>
  </conditionalFormatting>
  <printOptions horizontalCentered="1" verticalCentered="1"/>
  <pageMargins left="0.590551181102362" right="0.590551181102362" top="0.78740157480315" bottom="0.590551181102362" header="0.196850393700787" footer="0.196850393700787"/>
  <pageSetup paperSize="9" firstPageNumber="4294963191" orientation="landscape" useFirstPageNumber="1" horizontalDpi="36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5"/>
  </sheetPr>
  <dimension ref="A1:O24"/>
  <sheetViews>
    <sheetView view="pageBreakPreview" zoomScaleNormal="100" zoomScaleSheetLayoutView="100" topLeftCell="A10" workbookViewId="0">
      <selection activeCell="K2" sqref="K2"/>
    </sheetView>
  </sheetViews>
  <sheetFormatPr defaultColWidth="9" defaultRowHeight="15"/>
  <cols>
    <col min="1" max="1" width="12" customWidth="1"/>
    <col min="2" max="4" width="12.375" customWidth="1"/>
    <col min="5" max="5" width="12.875" customWidth="1"/>
    <col min="6" max="6" width="12.375" customWidth="1"/>
    <col min="7" max="8" width="13" customWidth="1"/>
    <col min="9" max="10" width="8.625" customWidth="1"/>
    <col min="11" max="11" width="5.625" customWidth="1"/>
  </cols>
  <sheetData>
    <row r="1" s="177" customFormat="1" ht="37.5" customHeight="1" spans="1:11">
      <c r="A1" s="180" t="s">
        <v>203</v>
      </c>
      <c r="B1" s="180"/>
      <c r="C1" s="180"/>
      <c r="D1" s="180"/>
      <c r="E1" s="180"/>
      <c r="F1" s="180"/>
      <c r="G1" s="180"/>
      <c r="H1" s="180"/>
      <c r="I1" s="180"/>
      <c r="J1" s="205"/>
      <c r="K1" s="205"/>
    </row>
    <row r="2" s="178" customFormat="1" ht="22.5" customHeight="1" spans="1:15">
      <c r="A2" s="181"/>
      <c r="B2" s="181"/>
      <c r="C2" s="181"/>
      <c r="D2" s="181"/>
      <c r="E2" s="181"/>
      <c r="F2" s="181"/>
      <c r="G2" s="181"/>
      <c r="H2" s="182" t="s">
        <v>204</v>
      </c>
      <c r="I2" s="50"/>
      <c r="J2" s="50"/>
      <c r="K2" s="51"/>
      <c r="O2" s="74" t="s">
        <v>69</v>
      </c>
    </row>
    <row r="3" s="179" customFormat="1" ht="22.5" customHeight="1" spans="1:15">
      <c r="A3" s="183" t="s">
        <v>155</v>
      </c>
      <c r="B3" s="184" t="str">
        <f ca="1">原材料技术指标报告!C4</f>
        <v>/</v>
      </c>
      <c r="C3" s="184"/>
      <c r="D3" s="184"/>
      <c r="E3" s="184" t="s">
        <v>156</v>
      </c>
      <c r="F3" s="185" t="s">
        <v>205</v>
      </c>
      <c r="G3" s="186"/>
      <c r="H3" s="184" t="s">
        <v>76</v>
      </c>
      <c r="I3" s="52">
        <f ca="1">水泥砂浆稠度、分层度记录A组!I3</f>
        <v>0</v>
      </c>
      <c r="J3" s="53"/>
      <c r="K3" s="54"/>
      <c r="O3" t="s">
        <v>206</v>
      </c>
    </row>
    <row r="4" s="179" customFormat="1" ht="22.5" customHeight="1" spans="1:11">
      <c r="A4" s="187" t="s">
        <v>158</v>
      </c>
      <c r="B4" s="188" t="str">
        <f ca="1">水泥砂浆稠度、分层度记录A组!B4:D4</f>
        <v>室温XX℃   相对湿度XX%</v>
      </c>
      <c r="C4" s="188"/>
      <c r="D4" s="188"/>
      <c r="E4" s="188" t="s">
        <v>208</v>
      </c>
      <c r="F4" s="188" t="s">
        <v>229</v>
      </c>
      <c r="G4" s="188"/>
      <c r="H4" s="188" t="s">
        <v>210</v>
      </c>
      <c r="I4" s="206">
        <f ca="1">水泥砂浆稠度、分层度记录A组!I4:K4</f>
        <v>0</v>
      </c>
      <c r="J4" s="207"/>
      <c r="K4" s="208"/>
    </row>
    <row r="5" s="179" customFormat="1" ht="22.5" customHeight="1" spans="1:11">
      <c r="A5" s="189" t="s">
        <v>163</v>
      </c>
      <c r="B5" s="190" t="str">
        <f ca="1">水泥砂浆稠度、分层度记录A组!B5:G5</f>
        <v>水泥砂浆稠度仪GL01050016、秒表、容量筒</v>
      </c>
      <c r="C5" s="191"/>
      <c r="D5" s="191"/>
      <c r="E5" s="191"/>
      <c r="F5" s="191"/>
      <c r="G5" s="192"/>
      <c r="H5" s="193" t="s">
        <v>212</v>
      </c>
      <c r="I5" s="193" t="str">
        <f ca="1">水泥砂浆稠度、分层度记录A组!I5:K5</f>
        <v>P·C32.5</v>
      </c>
      <c r="J5" s="190"/>
      <c r="K5" s="209"/>
    </row>
    <row r="6" s="179" customFormat="1" ht="22.5" customHeight="1" spans="1:11">
      <c r="A6" s="194" t="s">
        <v>213</v>
      </c>
      <c r="B6" s="195"/>
      <c r="C6" s="195"/>
      <c r="D6" s="195"/>
      <c r="E6" s="195"/>
      <c r="F6" s="195"/>
      <c r="G6" s="195"/>
      <c r="H6" s="195"/>
      <c r="I6" s="195"/>
      <c r="J6" s="210"/>
      <c r="K6" s="211"/>
    </row>
    <row r="7" s="179" customFormat="1" ht="22.5" customHeight="1" spans="1:15">
      <c r="A7" s="194" t="s">
        <v>214</v>
      </c>
      <c r="B7" s="196" t="s">
        <v>215</v>
      </c>
      <c r="C7" s="196"/>
      <c r="D7" s="196" t="s">
        <v>216</v>
      </c>
      <c r="E7" s="196"/>
      <c r="F7" s="196"/>
      <c r="G7" s="196" t="s">
        <v>217</v>
      </c>
      <c r="H7" s="196"/>
      <c r="I7" s="196" t="s">
        <v>218</v>
      </c>
      <c r="J7" s="212"/>
      <c r="K7" s="213"/>
      <c r="M7" s="80" t="s">
        <v>219</v>
      </c>
      <c r="N7" s="80" t="s">
        <v>220</v>
      </c>
      <c r="O7" s="80" t="s">
        <v>221</v>
      </c>
    </row>
    <row r="8" s="179" customFormat="1" ht="22.5" customHeight="1" spans="1:15">
      <c r="A8" s="187">
        <v>1</v>
      </c>
      <c r="B8" s="197">
        <v>25</v>
      </c>
      <c r="C8" s="198"/>
      <c r="D8" s="197">
        <v>10</v>
      </c>
      <c r="E8" s="199"/>
      <c r="F8" s="198"/>
      <c r="G8" s="197">
        <v>33</v>
      </c>
      <c r="H8" s="198"/>
      <c r="I8" s="214">
        <f>ROUND((G8+G9)/2,0)</f>
        <v>35</v>
      </c>
      <c r="J8" s="215"/>
      <c r="K8" s="216"/>
      <c r="M8" s="80">
        <f>ABS(G8-G9)</f>
        <v>3</v>
      </c>
      <c r="N8" s="80">
        <v>10</v>
      </c>
      <c r="O8" s="80" t="str">
        <f>IF(AND(M8&lt;N8),"合格",IF(OR(M8&gt;=N8),"不合格","合格"))</f>
        <v>合格</v>
      </c>
    </row>
    <row r="9" s="179" customFormat="1" ht="22.5" customHeight="1" spans="1:15">
      <c r="A9" s="187">
        <v>2</v>
      </c>
      <c r="B9" s="197">
        <v>25</v>
      </c>
      <c r="C9" s="198"/>
      <c r="D9" s="197">
        <v>10</v>
      </c>
      <c r="E9" s="199"/>
      <c r="F9" s="198"/>
      <c r="G9" s="197">
        <v>36</v>
      </c>
      <c r="H9" s="198"/>
      <c r="I9" s="217"/>
      <c r="J9" s="218"/>
      <c r="K9" s="219"/>
      <c r="M9" s="80"/>
      <c r="N9" s="80"/>
      <c r="O9" s="80"/>
    </row>
    <row r="10" s="179" customFormat="1" ht="22.5" customHeight="1" spans="1:11">
      <c r="A10" s="187" t="s">
        <v>78</v>
      </c>
      <c r="B10" s="188" t="s">
        <v>78</v>
      </c>
      <c r="C10" s="188"/>
      <c r="D10" s="188" t="s">
        <v>78</v>
      </c>
      <c r="E10" s="188"/>
      <c r="F10" s="188"/>
      <c r="G10" s="188" t="s">
        <v>78</v>
      </c>
      <c r="H10" s="188"/>
      <c r="I10" s="188" t="s">
        <v>78</v>
      </c>
      <c r="J10" s="220"/>
      <c r="K10" s="221"/>
    </row>
    <row r="11" s="179" customFormat="1" ht="22.5" customHeight="1" spans="1:11">
      <c r="A11" s="187" t="s">
        <v>78</v>
      </c>
      <c r="B11" s="188" t="s">
        <v>78</v>
      </c>
      <c r="C11" s="188"/>
      <c r="D11" s="188" t="s">
        <v>78</v>
      </c>
      <c r="E11" s="188"/>
      <c r="F11" s="188"/>
      <c r="G11" s="188" t="s">
        <v>78</v>
      </c>
      <c r="H11" s="188"/>
      <c r="I11" s="188"/>
      <c r="J11" s="220"/>
      <c r="K11" s="221"/>
    </row>
    <row r="12" s="179" customFormat="1" ht="22.5" customHeight="1" spans="1:11">
      <c r="A12" s="187" t="s">
        <v>222</v>
      </c>
      <c r="B12" s="188"/>
      <c r="C12" s="188"/>
      <c r="D12" s="188"/>
      <c r="E12" s="188"/>
      <c r="F12" s="188"/>
      <c r="G12" s="188"/>
      <c r="H12" s="188"/>
      <c r="I12" s="188"/>
      <c r="J12" s="220"/>
      <c r="K12" s="221"/>
    </row>
    <row r="13" s="179" customFormat="1" ht="22.5" customHeight="1" spans="1:11">
      <c r="A13" s="187" t="s">
        <v>214</v>
      </c>
      <c r="B13" s="200" t="s">
        <v>223</v>
      </c>
      <c r="C13" s="200"/>
      <c r="D13" s="200" t="s">
        <v>224</v>
      </c>
      <c r="E13" s="200"/>
      <c r="F13" s="200"/>
      <c r="G13" s="200" t="s">
        <v>225</v>
      </c>
      <c r="H13" s="200"/>
      <c r="I13" s="200" t="s">
        <v>226</v>
      </c>
      <c r="J13" s="197"/>
      <c r="K13" s="222"/>
    </row>
    <row r="14" s="179" customFormat="1" ht="22.5" customHeight="1" spans="1:11">
      <c r="A14" s="187" t="s">
        <v>78</v>
      </c>
      <c r="B14" s="197" t="s">
        <v>78</v>
      </c>
      <c r="C14" s="198"/>
      <c r="D14" s="197" t="s">
        <v>78</v>
      </c>
      <c r="E14" s="199"/>
      <c r="F14" s="198"/>
      <c r="G14" s="197" t="s">
        <v>78</v>
      </c>
      <c r="H14" s="198"/>
      <c r="I14" s="223" t="s">
        <v>78</v>
      </c>
      <c r="J14" s="224"/>
      <c r="K14" s="225"/>
    </row>
    <row r="15" s="179" customFormat="1" ht="22.5" customHeight="1" spans="1:11">
      <c r="A15" s="187" t="s">
        <v>78</v>
      </c>
      <c r="B15" s="197" t="s">
        <v>78</v>
      </c>
      <c r="C15" s="198"/>
      <c r="D15" s="197" t="s">
        <v>78</v>
      </c>
      <c r="E15" s="199"/>
      <c r="F15" s="198"/>
      <c r="G15" s="197" t="s">
        <v>78</v>
      </c>
      <c r="H15" s="198"/>
      <c r="I15" s="212"/>
      <c r="J15" s="226"/>
      <c r="K15" s="227"/>
    </row>
    <row r="16" s="179" customFormat="1" ht="22.5" customHeight="1" spans="1:11">
      <c r="A16" s="187" t="s">
        <v>78</v>
      </c>
      <c r="B16" s="188" t="s">
        <v>78</v>
      </c>
      <c r="C16" s="188"/>
      <c r="D16" s="188" t="s">
        <v>78</v>
      </c>
      <c r="E16" s="188"/>
      <c r="F16" s="188"/>
      <c r="G16" s="188" t="s">
        <v>78</v>
      </c>
      <c r="H16" s="188"/>
      <c r="I16" s="188" t="s">
        <v>78</v>
      </c>
      <c r="J16" s="220"/>
      <c r="K16" s="221"/>
    </row>
    <row r="17" s="179" customFormat="1" ht="22.5" customHeight="1" spans="1:11">
      <c r="A17" s="187" t="s">
        <v>78</v>
      </c>
      <c r="B17" s="188" t="s">
        <v>78</v>
      </c>
      <c r="C17" s="188"/>
      <c r="D17" s="188" t="s">
        <v>78</v>
      </c>
      <c r="E17" s="188"/>
      <c r="F17" s="188"/>
      <c r="G17" s="188" t="s">
        <v>78</v>
      </c>
      <c r="H17" s="188"/>
      <c r="I17" s="188"/>
      <c r="J17" s="220"/>
      <c r="K17" s="221"/>
    </row>
    <row r="18" s="179" customFormat="1" ht="50.25" customHeight="1" spans="1:11">
      <c r="A18" s="201" t="s">
        <v>227</v>
      </c>
      <c r="B18" s="202"/>
      <c r="C18" s="202"/>
      <c r="D18" s="202"/>
      <c r="E18" s="202"/>
      <c r="F18" s="202"/>
      <c r="G18" s="202"/>
      <c r="H18" s="202"/>
      <c r="I18" s="202"/>
      <c r="J18" s="202"/>
      <c r="K18" s="228"/>
    </row>
    <row r="19" s="179" customFormat="1" ht="18.75" customHeight="1" spans="1:11">
      <c r="A19" s="203" t="s">
        <v>228</v>
      </c>
      <c r="B19" s="203"/>
      <c r="C19" s="203"/>
      <c r="D19" s="203"/>
      <c r="E19" s="203"/>
      <c r="F19" s="203"/>
      <c r="G19" s="203"/>
      <c r="H19" s="203"/>
      <c r="I19" s="203"/>
      <c r="J19" s="203"/>
      <c r="K19" s="203"/>
    </row>
    <row r="20" spans="1:11">
      <c r="A20" s="204"/>
      <c r="B20" s="204"/>
      <c r="C20" s="204"/>
      <c r="D20" s="204"/>
      <c r="E20" s="204"/>
      <c r="F20" s="204"/>
      <c r="G20" s="204"/>
      <c r="H20" s="204"/>
      <c r="I20" s="204"/>
      <c r="J20" s="204"/>
      <c r="K20" s="204"/>
    </row>
    <row r="21" spans="1:11">
      <c r="A21" s="204"/>
      <c r="B21" s="204"/>
      <c r="C21" s="204"/>
      <c r="D21" s="204"/>
      <c r="E21" s="204"/>
      <c r="F21" s="204"/>
      <c r="G21" s="204"/>
      <c r="H21" s="204"/>
      <c r="I21" s="204"/>
      <c r="J21" s="204"/>
      <c r="K21" s="204"/>
    </row>
    <row r="24" ht="24.95" customHeight="1"/>
  </sheetData>
  <mergeCells count="54">
    <mergeCell ref="A1:I1"/>
    <mergeCell ref="J1:K1"/>
    <mergeCell ref="I2:J2"/>
    <mergeCell ref="B3:D3"/>
    <mergeCell ref="F3:G3"/>
    <mergeCell ref="I3:K3"/>
    <mergeCell ref="B4:D4"/>
    <mergeCell ref="F4:G4"/>
    <mergeCell ref="I4:K4"/>
    <mergeCell ref="B5:G5"/>
    <mergeCell ref="I5:K5"/>
    <mergeCell ref="A6:K6"/>
    <mergeCell ref="B7:C7"/>
    <mergeCell ref="D7:F7"/>
    <mergeCell ref="G7:H7"/>
    <mergeCell ref="I7:K7"/>
    <mergeCell ref="B8:C8"/>
    <mergeCell ref="D8:F8"/>
    <mergeCell ref="G8:H8"/>
    <mergeCell ref="B9:C9"/>
    <mergeCell ref="D9:F9"/>
    <mergeCell ref="G9:H9"/>
    <mergeCell ref="B10:C10"/>
    <mergeCell ref="D10:F10"/>
    <mergeCell ref="G10:H10"/>
    <mergeCell ref="B11:C11"/>
    <mergeCell ref="D11:F11"/>
    <mergeCell ref="G11:H11"/>
    <mergeCell ref="A12:K12"/>
    <mergeCell ref="B13:C13"/>
    <mergeCell ref="D13:F13"/>
    <mergeCell ref="G13:H13"/>
    <mergeCell ref="I13:K13"/>
    <mergeCell ref="B14:C14"/>
    <mergeCell ref="D14:F14"/>
    <mergeCell ref="G14:H14"/>
    <mergeCell ref="B15:C15"/>
    <mergeCell ref="D15:F15"/>
    <mergeCell ref="G15:H15"/>
    <mergeCell ref="B16:C16"/>
    <mergeCell ref="D16:F16"/>
    <mergeCell ref="G16:H16"/>
    <mergeCell ref="B17:C17"/>
    <mergeCell ref="D17:F17"/>
    <mergeCell ref="G17:H17"/>
    <mergeCell ref="A18:K18"/>
    <mergeCell ref="A19:K19"/>
    <mergeCell ref="M8:M9"/>
    <mergeCell ref="N8:N9"/>
    <mergeCell ref="O8:O9"/>
    <mergeCell ref="I8:K9"/>
    <mergeCell ref="I10:K11"/>
    <mergeCell ref="I14:K15"/>
    <mergeCell ref="I16:K17"/>
  </mergeCells>
  <conditionalFormatting sqref="O8:O9">
    <cfRule type="cellIs" dxfId="0" priority="1" stopIfTrue="1" operator="between">
      <formula>"不合格"</formula>
      <formula>"不合格"</formula>
    </cfRule>
  </conditionalFormatting>
  <printOptions horizontalCentered="1" verticalCentered="1"/>
  <pageMargins left="0.590551181102362" right="0.590551181102362" top="0.984251968503937" bottom="0.590551181102362" header="0.511811023622047" footer="0.511811023622047"/>
  <pageSetup paperSize="9" firstPageNumber="4294963191" orientation="landscape" useFirstPageNumber="1" horizontalDpi="360" verticalDpi="30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1"/>
  </sheetPr>
  <dimension ref="A1:V28"/>
  <sheetViews>
    <sheetView view="pageBreakPreview" zoomScaleNormal="100" zoomScaleSheetLayoutView="100" workbookViewId="0">
      <selection activeCell="N2" sqref="N2"/>
    </sheetView>
  </sheetViews>
  <sheetFormatPr defaultColWidth="9" defaultRowHeight="14"/>
  <cols>
    <col min="1" max="1" width="10.75" style="87" customWidth="1"/>
    <col min="2" max="5" width="6.625" style="87" customWidth="1"/>
    <col min="6" max="6" width="12" style="87" customWidth="1"/>
    <col min="7" max="7" width="2.25" style="87" customWidth="1"/>
    <col min="8" max="10" width="10.5" style="87" customWidth="1"/>
    <col min="11" max="11" width="10.125" style="87" customWidth="1"/>
    <col min="12" max="14" width="10.25" style="87" customWidth="1"/>
    <col min="15" max="16384" width="9" style="87"/>
  </cols>
  <sheetData>
    <row r="1" s="84" customFormat="1" ht="37.5" customHeight="1" spans="1:19">
      <c r="A1" s="88" t="s">
        <v>230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138"/>
      <c r="S1" s="74" t="s">
        <v>68</v>
      </c>
    </row>
    <row r="2" s="85" customFormat="1" ht="22.5" customHeight="1" spans="1:19">
      <c r="A2" s="89"/>
      <c r="B2" s="89"/>
      <c r="C2" s="89"/>
      <c r="D2" s="89"/>
      <c r="E2" s="89"/>
      <c r="F2" s="89"/>
      <c r="G2" s="89"/>
      <c r="H2" s="89"/>
      <c r="I2" s="89"/>
      <c r="J2" s="89"/>
      <c r="K2" s="139" t="s">
        <v>204</v>
      </c>
      <c r="L2" s="50"/>
      <c r="M2" s="50"/>
      <c r="N2" s="51"/>
      <c r="S2" s="74" t="s">
        <v>69</v>
      </c>
    </row>
    <row r="3" s="86" customFormat="1" ht="18.75" customHeight="1" spans="1:19">
      <c r="A3" s="90" t="s">
        <v>155</v>
      </c>
      <c r="B3" s="91" t="str">
        <f ca="1">原材料技术指标报告!C4</f>
        <v>/</v>
      </c>
      <c r="C3" s="92"/>
      <c r="D3" s="92"/>
      <c r="E3" s="93"/>
      <c r="F3" s="94" t="s">
        <v>158</v>
      </c>
      <c r="G3" s="94" t="str">
        <f ca="1">水泥砂浆稠度、分层度记录A组!B4</f>
        <v>室温XX℃   相对湿度XX%</v>
      </c>
      <c r="H3" s="94"/>
      <c r="I3" s="94"/>
      <c r="J3" s="94"/>
      <c r="K3" s="94" t="s">
        <v>76</v>
      </c>
      <c r="L3" s="52">
        <f ca="1">'水泥砂浆稠度、分层度记录 C组'!I3</f>
        <v>0</v>
      </c>
      <c r="M3" s="53"/>
      <c r="N3" s="54"/>
      <c r="S3" s="74" t="s">
        <v>71</v>
      </c>
    </row>
    <row r="4" s="86" customFormat="1" ht="18.75" customHeight="1" spans="1:14">
      <c r="A4" s="95" t="s">
        <v>156</v>
      </c>
      <c r="B4" s="96" t="s">
        <v>231</v>
      </c>
      <c r="C4" s="97"/>
      <c r="D4" s="97"/>
      <c r="E4" s="98"/>
      <c r="F4" s="99" t="s">
        <v>232</v>
      </c>
      <c r="G4" s="99" t="s">
        <v>233</v>
      </c>
      <c r="H4" s="99"/>
      <c r="I4" s="99"/>
      <c r="J4" s="99"/>
      <c r="K4" s="99" t="s">
        <v>210</v>
      </c>
      <c r="L4" s="140">
        <v>0</v>
      </c>
      <c r="M4" s="140"/>
      <c r="N4" s="141"/>
    </row>
    <row r="5" s="86" customFormat="1" ht="18.75" customHeight="1" spans="1:17">
      <c r="A5" s="95" t="s">
        <v>163</v>
      </c>
      <c r="B5" s="96" t="s">
        <v>234</v>
      </c>
      <c r="C5" s="97"/>
      <c r="D5" s="97"/>
      <c r="E5" s="97"/>
      <c r="F5" s="97"/>
      <c r="G5" s="97"/>
      <c r="H5" s="97"/>
      <c r="I5" s="97"/>
      <c r="J5" s="98"/>
      <c r="K5" s="99" t="s">
        <v>79</v>
      </c>
      <c r="L5" s="142">
        <f ca="1">原材料技术指标报告!H4</f>
        <v>7.5</v>
      </c>
      <c r="M5" s="142"/>
      <c r="N5" s="143"/>
      <c r="P5" s="144" t="s">
        <v>235</v>
      </c>
      <c r="Q5" s="144"/>
    </row>
    <row r="6" s="86" customFormat="1" ht="24.75" customHeight="1" spans="1:17">
      <c r="A6" s="100" t="s">
        <v>236</v>
      </c>
      <c r="B6" s="101" t="s">
        <v>237</v>
      </c>
      <c r="C6" s="102"/>
      <c r="D6" s="102"/>
      <c r="E6" s="103"/>
      <c r="F6" s="104" t="s">
        <v>164</v>
      </c>
      <c r="G6" s="105" t="s">
        <v>238</v>
      </c>
      <c r="H6" s="105"/>
      <c r="I6" s="105"/>
      <c r="J6" s="105"/>
      <c r="K6" s="104" t="s">
        <v>239</v>
      </c>
      <c r="L6" s="145" t="s">
        <v>240</v>
      </c>
      <c r="M6" s="145"/>
      <c r="N6" s="146"/>
      <c r="P6" s="147">
        <f ca="1">L5*1.2</f>
        <v>9</v>
      </c>
      <c r="Q6" s="147"/>
    </row>
    <row r="7" s="86" customFormat="1" ht="33" customHeight="1" spans="1:14">
      <c r="A7" s="106" t="s">
        <v>241</v>
      </c>
      <c r="B7" s="107" t="s">
        <v>82</v>
      </c>
      <c r="C7" s="108"/>
      <c r="D7" s="108"/>
      <c r="E7" s="109"/>
      <c r="F7" s="107" t="s">
        <v>242</v>
      </c>
      <c r="G7" s="109"/>
      <c r="H7" s="110" t="s">
        <v>243</v>
      </c>
      <c r="I7" s="110" t="s">
        <v>244</v>
      </c>
      <c r="J7" s="110" t="s">
        <v>245</v>
      </c>
      <c r="K7" s="110" t="s">
        <v>246</v>
      </c>
      <c r="L7" s="148"/>
      <c r="M7" s="148" t="s">
        <v>107</v>
      </c>
      <c r="N7" s="149"/>
    </row>
    <row r="8" s="86" customFormat="1" ht="18.75" customHeight="1" spans="1:18">
      <c r="A8" s="95" t="s">
        <v>89</v>
      </c>
      <c r="B8" s="111" t="str">
        <f ca="1">原材料技术指标报告!C7</f>
        <v>广西华润</v>
      </c>
      <c r="C8" s="112"/>
      <c r="D8" s="112"/>
      <c r="E8" s="113"/>
      <c r="F8" s="111" t="str">
        <f ca="1">原材料技术指标报告!D7</f>
        <v>P·C32.5</v>
      </c>
      <c r="G8" s="113"/>
      <c r="H8" s="99" t="s">
        <v>78</v>
      </c>
      <c r="I8" s="99" t="s">
        <v>78</v>
      </c>
      <c r="J8" s="99" t="s">
        <v>78</v>
      </c>
      <c r="K8" s="99" t="s">
        <v>78</v>
      </c>
      <c r="L8" s="99"/>
      <c r="M8" s="99" t="s">
        <v>78</v>
      </c>
      <c r="N8" s="150"/>
      <c r="Q8" s="165" t="s">
        <v>168</v>
      </c>
      <c r="R8" s="165" t="s">
        <v>169</v>
      </c>
    </row>
    <row r="9" s="86" customFormat="1" ht="18.75" customHeight="1" spans="1:18">
      <c r="A9" s="95" t="s">
        <v>247</v>
      </c>
      <c r="B9" s="111" t="str">
        <f ca="1">原材料技术指标报告!C16</f>
        <v>XX</v>
      </c>
      <c r="C9" s="112"/>
      <c r="D9" s="112"/>
      <c r="E9" s="113"/>
      <c r="F9" s="114" t="str">
        <f ca="1">[4]砼用细集料报告11!$K$28</f>
        <v>中砂</v>
      </c>
      <c r="G9" s="113"/>
      <c r="H9" s="99">
        <f>[1]砼用细集料报告11!$I$25</f>
        <v>1680</v>
      </c>
      <c r="I9" s="99">
        <f>[1]砼用细集料报告11!$I$24</f>
        <v>2680</v>
      </c>
      <c r="J9" s="151">
        <f>[1]砼用细集料报告11!$I$26</f>
        <v>37.3</v>
      </c>
      <c r="K9" s="99">
        <v>4.75</v>
      </c>
      <c r="L9" s="99"/>
      <c r="M9" s="99">
        <f>[1]砼用细集料报告11!$I$28</f>
        <v>2.59</v>
      </c>
      <c r="N9" s="150"/>
      <c r="Q9" s="165"/>
      <c r="R9" s="165"/>
    </row>
    <row r="10" s="86" customFormat="1" ht="18.75" customHeight="1" spans="1:18">
      <c r="A10" s="95" t="s">
        <v>130</v>
      </c>
      <c r="B10" s="111" t="str">
        <f ca="1">原材料技术指标报告!C25</f>
        <v>/</v>
      </c>
      <c r="C10" s="112"/>
      <c r="D10" s="112"/>
      <c r="E10" s="113"/>
      <c r="F10" s="111" t="str">
        <f ca="1">原材料技术指标报告!D25</f>
        <v>/</v>
      </c>
      <c r="G10" s="113"/>
      <c r="H10" s="99" t="s">
        <v>78</v>
      </c>
      <c r="I10" s="99" t="s">
        <v>78</v>
      </c>
      <c r="J10" s="99" t="s">
        <v>78</v>
      </c>
      <c r="K10" s="99" t="s">
        <v>78</v>
      </c>
      <c r="L10" s="99"/>
      <c r="M10" s="99" t="s">
        <v>78</v>
      </c>
      <c r="N10" s="150"/>
      <c r="Q10" s="166" t="s">
        <v>177</v>
      </c>
      <c r="R10" s="166" t="s">
        <v>178</v>
      </c>
    </row>
    <row r="11" s="86" customFormat="1" ht="18.75" customHeight="1" spans="1:14">
      <c r="A11" s="115" t="s">
        <v>248</v>
      </c>
      <c r="B11" s="112"/>
      <c r="C11" s="112"/>
      <c r="D11" s="112"/>
      <c r="E11" s="113"/>
      <c r="F11" s="99" t="s">
        <v>249</v>
      </c>
      <c r="G11" s="99"/>
      <c r="H11" s="99"/>
      <c r="I11" s="99"/>
      <c r="J11" s="99"/>
      <c r="K11" s="99"/>
      <c r="L11" s="99"/>
      <c r="M11" s="99"/>
      <c r="N11" s="152"/>
    </row>
    <row r="12" s="86" customFormat="1" ht="18.75" customHeight="1" spans="1:16">
      <c r="A12" s="95" t="s">
        <v>181</v>
      </c>
      <c r="B12" s="99" t="s">
        <v>89</v>
      </c>
      <c r="C12" s="99" t="s">
        <v>247</v>
      </c>
      <c r="D12" s="116" t="s">
        <v>96</v>
      </c>
      <c r="E12" s="117" t="s">
        <v>130</v>
      </c>
      <c r="F12" s="116" t="s">
        <v>181</v>
      </c>
      <c r="G12" s="116"/>
      <c r="H12" s="99" t="s">
        <v>89</v>
      </c>
      <c r="I12" s="99" t="s">
        <v>247</v>
      </c>
      <c r="J12" s="99" t="s">
        <v>96</v>
      </c>
      <c r="K12" s="153" t="s">
        <v>130</v>
      </c>
      <c r="L12" s="120" t="s">
        <v>250</v>
      </c>
      <c r="M12" s="116" t="s">
        <v>251</v>
      </c>
      <c r="N12" s="154" t="s">
        <v>175</v>
      </c>
      <c r="P12" s="86">
        <v>345</v>
      </c>
    </row>
    <row r="13" s="86" customFormat="1" ht="13.5" customHeight="1" spans="1:14">
      <c r="A13" s="95"/>
      <c r="B13" s="99"/>
      <c r="C13" s="99"/>
      <c r="D13" s="116"/>
      <c r="E13" s="110"/>
      <c r="F13" s="116"/>
      <c r="G13" s="116"/>
      <c r="H13" s="99"/>
      <c r="I13" s="99"/>
      <c r="J13" s="99"/>
      <c r="K13" s="155"/>
      <c r="L13" s="120"/>
      <c r="M13" s="116"/>
      <c r="N13" s="154"/>
    </row>
    <row r="14" s="86" customFormat="1" ht="16.5" customHeight="1" spans="1:17">
      <c r="A14" s="95" t="s">
        <v>209</v>
      </c>
      <c r="B14" s="118">
        <f>ROUND(B15*0.85,0)</f>
        <v>208</v>
      </c>
      <c r="C14" s="99">
        <f>C15</f>
        <v>1680</v>
      </c>
      <c r="D14" s="99">
        <v>220</v>
      </c>
      <c r="E14" s="116" t="s">
        <v>78</v>
      </c>
      <c r="F14" s="119" t="s">
        <v>209</v>
      </c>
      <c r="G14" s="120"/>
      <c r="H14" s="121">
        <f t="shared" ref="H14:J16" si="0">ROUND(B14*$P$14,3)</f>
        <v>1.248</v>
      </c>
      <c r="I14" s="121">
        <f t="shared" si="0"/>
        <v>10.08</v>
      </c>
      <c r="J14" s="121">
        <f t="shared" si="0"/>
        <v>1.32</v>
      </c>
      <c r="K14" s="121" t="s">
        <v>78</v>
      </c>
      <c r="L14" s="156">
        <f ca="1">水泥砂浆稠度、分层度记录A组!I8</f>
        <v>49</v>
      </c>
      <c r="M14" s="99" t="s">
        <v>78</v>
      </c>
      <c r="N14" s="157" t="s">
        <v>252</v>
      </c>
      <c r="O14" s="158"/>
      <c r="P14" s="86">
        <v>0.006</v>
      </c>
      <c r="Q14" s="167"/>
    </row>
    <row r="15" s="86" customFormat="1" ht="16.5" customHeight="1" spans="1:17">
      <c r="A15" s="95" t="s">
        <v>199</v>
      </c>
      <c r="B15" s="118">
        <v>245</v>
      </c>
      <c r="C15" s="99">
        <f>H9</f>
        <v>1680</v>
      </c>
      <c r="D15" s="116">
        <v>223</v>
      </c>
      <c r="E15" s="116" t="s">
        <v>78</v>
      </c>
      <c r="F15" s="119" t="s">
        <v>199</v>
      </c>
      <c r="G15" s="120"/>
      <c r="H15" s="121">
        <f t="shared" si="0"/>
        <v>1.47</v>
      </c>
      <c r="I15" s="121">
        <f t="shared" si="0"/>
        <v>10.08</v>
      </c>
      <c r="J15" s="121">
        <f t="shared" si="0"/>
        <v>1.338</v>
      </c>
      <c r="K15" s="121" t="s">
        <v>78</v>
      </c>
      <c r="L15" s="156">
        <f ca="1">水泥砂浆稠度、分层度记录B组!I8</f>
        <v>39</v>
      </c>
      <c r="M15" s="99" t="s">
        <v>78</v>
      </c>
      <c r="N15" s="157" t="str">
        <f>N14</f>
        <v>机械拌合及机械拌合</v>
      </c>
      <c r="O15" s="158"/>
      <c r="Q15" s="3"/>
    </row>
    <row r="16" s="86" customFormat="1" ht="16.5" customHeight="1" spans="1:18">
      <c r="A16" s="95" t="s">
        <v>229</v>
      </c>
      <c r="B16" s="118">
        <f>ROUND(B15*1.15,0)</f>
        <v>282</v>
      </c>
      <c r="C16" s="99">
        <f>C15</f>
        <v>1680</v>
      </c>
      <c r="D16" s="99">
        <v>215</v>
      </c>
      <c r="E16" s="116" t="s">
        <v>78</v>
      </c>
      <c r="F16" s="119" t="s">
        <v>229</v>
      </c>
      <c r="G16" s="120"/>
      <c r="H16" s="121">
        <f t="shared" si="0"/>
        <v>1.692</v>
      </c>
      <c r="I16" s="121">
        <f t="shared" si="0"/>
        <v>10.08</v>
      </c>
      <c r="J16" s="121">
        <f t="shared" si="0"/>
        <v>1.29</v>
      </c>
      <c r="K16" s="121" t="s">
        <v>78</v>
      </c>
      <c r="L16" s="156">
        <f ca="1">'水泥砂浆稠度、分层度记录 C组'!I8</f>
        <v>35</v>
      </c>
      <c r="M16" s="99" t="s">
        <v>78</v>
      </c>
      <c r="N16" s="157" t="str">
        <f>N15</f>
        <v>机械拌合及机械拌合</v>
      </c>
      <c r="O16" s="158" t="s">
        <v>253</v>
      </c>
      <c r="P16" s="86" t="s">
        <v>219</v>
      </c>
      <c r="Q16" s="168" t="s">
        <v>254</v>
      </c>
      <c r="R16" s="168"/>
    </row>
    <row r="17" s="86" customFormat="1" ht="16.5" customHeight="1" spans="1:21">
      <c r="A17" s="95" t="s">
        <v>241</v>
      </c>
      <c r="B17" s="122" t="s">
        <v>255</v>
      </c>
      <c r="C17" s="123"/>
      <c r="D17" s="123"/>
      <c r="E17" s="124"/>
      <c r="F17" s="99" t="s">
        <v>256</v>
      </c>
      <c r="G17" s="99"/>
      <c r="H17" s="99"/>
      <c r="I17" s="99"/>
      <c r="J17" s="111"/>
      <c r="K17" s="159" t="s">
        <v>257</v>
      </c>
      <c r="L17" s="159"/>
      <c r="M17" s="159"/>
      <c r="N17" s="160"/>
      <c r="O17" s="158">
        <f>B14+C14+D14</f>
        <v>2108</v>
      </c>
      <c r="P17" s="158" t="e">
        <f>M14-O17</f>
        <v>#VALUE!</v>
      </c>
      <c r="Q17" s="169">
        <v>1</v>
      </c>
      <c r="R17" s="169"/>
      <c r="S17" s="86" t="s">
        <v>258</v>
      </c>
      <c r="T17" s="95" t="s">
        <v>89</v>
      </c>
      <c r="U17" s="86" t="s">
        <v>258</v>
      </c>
    </row>
    <row r="18" s="86" customFormat="1" ht="16.5" customHeight="1" spans="1:21">
      <c r="A18" s="95"/>
      <c r="B18" s="125"/>
      <c r="C18" s="126"/>
      <c r="D18" s="126"/>
      <c r="E18" s="127"/>
      <c r="F18" s="99" t="s">
        <v>259</v>
      </c>
      <c r="G18" s="99"/>
      <c r="H18" s="99"/>
      <c r="I18" s="99"/>
      <c r="J18" s="111"/>
      <c r="K18" s="159"/>
      <c r="L18" s="159"/>
      <c r="M18" s="159"/>
      <c r="N18" s="160"/>
      <c r="O18" s="158">
        <f>B15+C15+D15</f>
        <v>2148</v>
      </c>
      <c r="P18" s="158" t="e">
        <f>M15-O18</f>
        <v>#VALUE!</v>
      </c>
      <c r="Q18" s="170">
        <f>ROUND(F20/$F$19,2)</f>
        <v>6.86</v>
      </c>
      <c r="R18" s="170"/>
      <c r="S18" s="86" t="s">
        <v>258</v>
      </c>
      <c r="T18" s="95" t="s">
        <v>247</v>
      </c>
      <c r="U18" s="86" t="s">
        <v>258</v>
      </c>
    </row>
    <row r="19" s="86" customFormat="1" ht="16.5" customHeight="1" spans="1:22">
      <c r="A19" s="95" t="s">
        <v>89</v>
      </c>
      <c r="B19" s="128">
        <f>B15</f>
        <v>245</v>
      </c>
      <c r="C19" s="112"/>
      <c r="D19" s="112"/>
      <c r="E19" s="113"/>
      <c r="F19" s="129">
        <f>B19</f>
        <v>245</v>
      </c>
      <c r="G19" s="99"/>
      <c r="H19" s="99"/>
      <c r="I19" s="99"/>
      <c r="J19" s="111"/>
      <c r="K19" s="159"/>
      <c r="L19" s="159"/>
      <c r="M19" s="159"/>
      <c r="N19" s="160"/>
      <c r="O19" s="158">
        <f>B16+C16+D16</f>
        <v>2177</v>
      </c>
      <c r="P19" s="158" t="e">
        <f>M16-O19</f>
        <v>#VALUE!</v>
      </c>
      <c r="Q19" s="171">
        <f>ROUND(F21/$F$19,2)</f>
        <v>0.91</v>
      </c>
      <c r="R19" s="172"/>
      <c r="T19" s="95" t="s">
        <v>96</v>
      </c>
      <c r="U19" s="86" t="s">
        <v>258</v>
      </c>
      <c r="V19" s="158">
        <f>F19</f>
        <v>245</v>
      </c>
    </row>
    <row r="20" s="86" customFormat="1" ht="16.5" customHeight="1" spans="1:22">
      <c r="A20" s="95" t="s">
        <v>247</v>
      </c>
      <c r="B20" s="111">
        <f>C16</f>
        <v>1680</v>
      </c>
      <c r="C20" s="112"/>
      <c r="D20" s="112"/>
      <c r="E20" s="113"/>
      <c r="F20" s="116">
        <f>B20</f>
        <v>1680</v>
      </c>
      <c r="G20" s="116"/>
      <c r="H20" s="116"/>
      <c r="I20" s="116"/>
      <c r="J20" s="119"/>
      <c r="K20" s="159"/>
      <c r="L20" s="159"/>
      <c r="M20" s="159"/>
      <c r="N20" s="160"/>
      <c r="O20" s="158"/>
      <c r="Q20" s="173"/>
      <c r="R20" s="174"/>
      <c r="T20" s="95" t="s">
        <v>130</v>
      </c>
      <c r="U20" s="86" t="s">
        <v>258</v>
      </c>
      <c r="V20" s="158">
        <f>F20</f>
        <v>1680</v>
      </c>
    </row>
    <row r="21" s="86" customFormat="1" ht="16.5" customHeight="1" spans="1:22">
      <c r="A21" s="95" t="s">
        <v>96</v>
      </c>
      <c r="B21" s="99">
        <f>D15</f>
        <v>223</v>
      </c>
      <c r="C21" s="99"/>
      <c r="D21" s="99"/>
      <c r="E21" s="99"/>
      <c r="F21" s="116">
        <f>B21</f>
        <v>223</v>
      </c>
      <c r="G21" s="116"/>
      <c r="H21" s="116"/>
      <c r="I21" s="116"/>
      <c r="J21" s="116"/>
      <c r="K21" s="159"/>
      <c r="L21" s="159"/>
      <c r="M21" s="159"/>
      <c r="N21" s="160"/>
      <c r="V21" s="158">
        <f>F21</f>
        <v>223</v>
      </c>
    </row>
    <row r="22" s="86" customFormat="1" ht="16.5" customHeight="1" spans="1:22">
      <c r="A22" s="95" t="s">
        <v>130</v>
      </c>
      <c r="B22" s="99" t="str">
        <f>E16</f>
        <v>/</v>
      </c>
      <c r="C22" s="99"/>
      <c r="D22" s="99"/>
      <c r="E22" s="99"/>
      <c r="F22" s="116" t="str">
        <f>B22</f>
        <v>/</v>
      </c>
      <c r="G22" s="116"/>
      <c r="H22" s="116"/>
      <c r="I22" s="116"/>
      <c r="J22" s="116"/>
      <c r="K22" s="159"/>
      <c r="L22" s="159"/>
      <c r="M22" s="159"/>
      <c r="N22" s="160"/>
      <c r="V22" s="175"/>
    </row>
    <row r="23" s="86" customFormat="1" ht="16.5" customHeight="1" spans="1:14">
      <c r="A23" s="95" t="s">
        <v>260</v>
      </c>
      <c r="B23" s="111"/>
      <c r="C23" s="130" t="s">
        <v>261</v>
      </c>
      <c r="D23" s="131"/>
      <c r="E23" s="131"/>
      <c r="F23" s="131"/>
      <c r="G23" s="132" t="str">
        <f>Q17&amp;S17&amp;Q18&amp;S18&amp;Q19&amp;S19&amp;Q20</f>
        <v>1：6.86：0.91</v>
      </c>
      <c r="H23" s="132"/>
      <c r="I23" s="132"/>
      <c r="J23" s="132"/>
      <c r="K23" s="131"/>
      <c r="L23" s="161"/>
      <c r="M23" s="161"/>
      <c r="N23" s="162"/>
    </row>
    <row r="24" s="84" customFormat="1" ht="19.5" customHeight="1" spans="1:17">
      <c r="A24" s="133" t="s">
        <v>227</v>
      </c>
      <c r="B24" s="134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63"/>
      <c r="Q24" s="176" t="str">
        <f>V19&amp;U17&amp;V20&amp;U18&amp;V21&amp;U19&amp;V22</f>
        <v>245：1680：223：</v>
      </c>
    </row>
    <row r="25" ht="17.25" customHeight="1" spans="1:14">
      <c r="A25" s="136" t="s">
        <v>262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</row>
    <row r="27" spans="8:10">
      <c r="H27" s="137">
        <f>ROUND(B20/B19,2)</f>
        <v>6.86</v>
      </c>
      <c r="J27" s="164">
        <f>C16/B16</f>
        <v>5.95744680851064</v>
      </c>
    </row>
    <row r="28" spans="8:10">
      <c r="H28" s="137">
        <f>ROUND(B21/B19,2)</f>
        <v>0.91</v>
      </c>
      <c r="J28" s="164">
        <f>D16/B16</f>
        <v>0.762411347517731</v>
      </c>
    </row>
  </sheetData>
  <mergeCells count="74">
    <mergeCell ref="A1:M1"/>
    <mergeCell ref="L2:M2"/>
    <mergeCell ref="B3:E3"/>
    <mergeCell ref="G3:J3"/>
    <mergeCell ref="L3:N3"/>
    <mergeCell ref="B4:E4"/>
    <mergeCell ref="G4:J4"/>
    <mergeCell ref="L4:N4"/>
    <mergeCell ref="B5:J5"/>
    <mergeCell ref="L5:N5"/>
    <mergeCell ref="P5:Q5"/>
    <mergeCell ref="B6:E6"/>
    <mergeCell ref="G6:J6"/>
    <mergeCell ref="L6:N6"/>
    <mergeCell ref="P6:Q6"/>
    <mergeCell ref="B7:E7"/>
    <mergeCell ref="F7:G7"/>
    <mergeCell ref="K7:L7"/>
    <mergeCell ref="M7:N7"/>
    <mergeCell ref="B8:E8"/>
    <mergeCell ref="F8:G8"/>
    <mergeCell ref="K8:L8"/>
    <mergeCell ref="M8:N8"/>
    <mergeCell ref="B9:E9"/>
    <mergeCell ref="F9:G9"/>
    <mergeCell ref="K9:L9"/>
    <mergeCell ref="M9:N9"/>
    <mergeCell ref="B10:E10"/>
    <mergeCell ref="F10:G10"/>
    <mergeCell ref="K10:L10"/>
    <mergeCell ref="M10:N10"/>
    <mergeCell ref="A11:E11"/>
    <mergeCell ref="F11:N11"/>
    <mergeCell ref="F14:G14"/>
    <mergeCell ref="F15:G15"/>
    <mergeCell ref="F16:G16"/>
    <mergeCell ref="Q16:R16"/>
    <mergeCell ref="F17:J17"/>
    <mergeCell ref="Q17:R17"/>
    <mergeCell ref="F18:J18"/>
    <mergeCell ref="Q18:R18"/>
    <mergeCell ref="B19:E19"/>
    <mergeCell ref="F19:J19"/>
    <mergeCell ref="Q19:R19"/>
    <mergeCell ref="B20:E20"/>
    <mergeCell ref="F20:J20"/>
    <mergeCell ref="Q20:R20"/>
    <mergeCell ref="B21:E21"/>
    <mergeCell ref="F21:J21"/>
    <mergeCell ref="B22:E22"/>
    <mergeCell ref="F22:J22"/>
    <mergeCell ref="A23:B23"/>
    <mergeCell ref="C23:F23"/>
    <mergeCell ref="G23:J23"/>
    <mergeCell ref="A24:N24"/>
    <mergeCell ref="A25:N25"/>
    <mergeCell ref="A12:A13"/>
    <mergeCell ref="A17:A18"/>
    <mergeCell ref="B12:B13"/>
    <mergeCell ref="C12:C13"/>
    <mergeCell ref="D12:D13"/>
    <mergeCell ref="E12:E13"/>
    <mergeCell ref="H12:H13"/>
    <mergeCell ref="I12:I13"/>
    <mergeCell ref="J12:J13"/>
    <mergeCell ref="K12:K13"/>
    <mergeCell ref="L12:L13"/>
    <mergeCell ref="M12:M13"/>
    <mergeCell ref="N12:N13"/>
    <mergeCell ref="Q8:Q9"/>
    <mergeCell ref="R8:R9"/>
    <mergeCell ref="F12:G13"/>
    <mergeCell ref="K17:N22"/>
    <mergeCell ref="B17:E18"/>
  </mergeCells>
  <printOptions horizontalCentered="1" verticalCentered="1"/>
  <pageMargins left="0.590551181102362" right="0.590551181102362" top="0.78740157480315" bottom="0.590551181102362" header="0.196850393700787" footer="0.196850393700787"/>
  <pageSetup paperSize="9" firstPageNumber="4294963191" orientation="landscape" useFirstPageNumber="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47"/>
  </sheetPr>
  <dimension ref="A1:Z28"/>
  <sheetViews>
    <sheetView tabSelected="1" view="pageBreakPreview" zoomScaleNormal="100" zoomScaleSheetLayoutView="100" topLeftCell="A10" workbookViewId="0">
      <selection activeCell="K28" sqref="K28"/>
    </sheetView>
  </sheetViews>
  <sheetFormatPr defaultColWidth="9" defaultRowHeight="15"/>
  <cols>
    <col min="1" max="2" width="4.5" style="3" customWidth="1"/>
    <col min="3" max="3" width="8.75" style="3" customWidth="1"/>
    <col min="4" max="4" width="5" style="3" customWidth="1"/>
    <col min="5" max="5" width="12.625" style="3" customWidth="1"/>
    <col min="6" max="6" width="12.875" style="3" customWidth="1"/>
    <col min="7" max="7" width="12.75" style="3" customWidth="1"/>
    <col min="8" max="8" width="7.375" style="3" customWidth="1"/>
    <col min="9" max="12" width="8.625" style="3" customWidth="1"/>
    <col min="13" max="14" width="7.625" style="3" customWidth="1"/>
    <col min="15" max="15" width="6.625" style="3" customWidth="1"/>
    <col min="16" max="21" width="9" style="3"/>
    <col min="22" max="22" width="11.25" style="3" customWidth="1"/>
    <col min="23" max="16384" width="9" style="3"/>
  </cols>
  <sheetData>
    <row r="1" ht="37.5" customHeight="1" spans="1:15">
      <c r="A1" s="4" t="s">
        <v>263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8"/>
      <c r="O1" s="48"/>
    </row>
    <row r="2" s="1" customFormat="1" ht="22.5" customHeight="1" spans="1:2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49" t="s">
        <v>204</v>
      </c>
      <c r="M2" s="50">
        <f ca="1">水泥砂浆稠度、分层度记录A组!I2</f>
        <v>0</v>
      </c>
      <c r="N2" s="50"/>
      <c r="O2" s="51">
        <f ca="1">砂浆配合比记录1!N2+1</f>
        <v>1</v>
      </c>
      <c r="Q2" s="73" t="s">
        <v>264</v>
      </c>
      <c r="R2" s="73"/>
      <c r="U2" s="74" t="s">
        <v>68</v>
      </c>
    </row>
    <row r="3" ht="16.5" customHeight="1" spans="1:21">
      <c r="A3" s="6" t="s">
        <v>155</v>
      </c>
      <c r="B3" s="7"/>
      <c r="C3" s="7"/>
      <c r="D3" s="7" t="str">
        <f ca="1">原材料技术指标报告!C4</f>
        <v>/</v>
      </c>
      <c r="E3" s="7"/>
      <c r="F3" s="7"/>
      <c r="G3" s="8" t="s">
        <v>158</v>
      </c>
      <c r="H3" s="8"/>
      <c r="I3" s="8" t="str">
        <f ca="1">水泥砂浆稠度、分层度记录A组!B4</f>
        <v>室温XX℃   相对湿度XX%</v>
      </c>
      <c r="J3" s="8"/>
      <c r="K3" s="8"/>
      <c r="L3" s="7" t="s">
        <v>76</v>
      </c>
      <c r="M3" s="52">
        <f ca="1">砂浆配合比记录1!L3</f>
        <v>0</v>
      </c>
      <c r="N3" s="53"/>
      <c r="O3" s="54"/>
      <c r="Q3" s="73"/>
      <c r="R3" s="73"/>
      <c r="U3" s="74" t="s">
        <v>69</v>
      </c>
    </row>
    <row r="4" ht="16.5" customHeight="1" spans="1:21">
      <c r="A4" s="9" t="s">
        <v>156</v>
      </c>
      <c r="B4" s="10"/>
      <c r="C4" s="10"/>
      <c r="D4" s="11" t="s">
        <v>265</v>
      </c>
      <c r="E4" s="12"/>
      <c r="F4" s="13"/>
      <c r="G4" s="14" t="s">
        <v>232</v>
      </c>
      <c r="H4" s="14"/>
      <c r="I4" s="14" t="str">
        <f ca="1">砂浆配合比记录1!G4</f>
        <v>温度XX℃   相对湿度XX%</v>
      </c>
      <c r="J4" s="14"/>
      <c r="K4" s="14"/>
      <c r="L4" s="10" t="s">
        <v>210</v>
      </c>
      <c r="M4" s="55">
        <f ca="1">F8</f>
        <v>7</v>
      </c>
      <c r="N4" s="55"/>
      <c r="O4" s="56"/>
      <c r="Q4" s="73"/>
      <c r="R4" s="73"/>
      <c r="U4" s="74" t="s">
        <v>71</v>
      </c>
    </row>
    <row r="5" ht="16.5" customHeight="1" spans="1:18">
      <c r="A5" s="15" t="s">
        <v>163</v>
      </c>
      <c r="B5" s="16"/>
      <c r="C5" s="16"/>
      <c r="D5" s="17" t="s">
        <v>266</v>
      </c>
      <c r="E5" s="18"/>
      <c r="F5" s="18"/>
      <c r="G5" s="18"/>
      <c r="H5" s="18"/>
      <c r="I5" s="18"/>
      <c r="J5" s="18"/>
      <c r="K5" s="57"/>
      <c r="L5" s="16" t="s">
        <v>267</v>
      </c>
      <c r="M5" s="16"/>
      <c r="N5" s="58">
        <f ca="1">砂浆配合比记录1!L5</f>
        <v>7.5</v>
      </c>
      <c r="O5" s="59"/>
      <c r="Q5" s="73"/>
      <c r="R5" s="73"/>
    </row>
    <row r="6" ht="15.95" customHeight="1" spans="1:15">
      <c r="A6" s="19" t="s">
        <v>180</v>
      </c>
      <c r="B6" s="20" t="s">
        <v>181</v>
      </c>
      <c r="C6" s="21" t="s">
        <v>268</v>
      </c>
      <c r="D6" s="21" t="s">
        <v>269</v>
      </c>
      <c r="E6" s="21" t="s">
        <v>183</v>
      </c>
      <c r="F6" s="21" t="s">
        <v>270</v>
      </c>
      <c r="G6" s="21"/>
      <c r="H6" s="21" t="s">
        <v>271</v>
      </c>
      <c r="I6" s="21" t="s">
        <v>272</v>
      </c>
      <c r="J6" s="21"/>
      <c r="K6" s="21" t="s">
        <v>273</v>
      </c>
      <c r="L6" s="21"/>
      <c r="M6" s="21" t="s">
        <v>274</v>
      </c>
      <c r="N6" s="21"/>
      <c r="O6" s="60" t="s">
        <v>275</v>
      </c>
    </row>
    <row r="7" ht="21" customHeight="1" spans="1:18">
      <c r="A7" s="22"/>
      <c r="B7" s="23"/>
      <c r="C7" s="14"/>
      <c r="D7" s="14"/>
      <c r="E7" s="14"/>
      <c r="F7" s="14" t="s">
        <v>190</v>
      </c>
      <c r="G7" s="14" t="s">
        <v>191</v>
      </c>
      <c r="H7" s="14"/>
      <c r="I7" s="14" t="s">
        <v>190</v>
      </c>
      <c r="J7" s="14" t="s">
        <v>191</v>
      </c>
      <c r="K7" s="14" t="s">
        <v>190</v>
      </c>
      <c r="L7" s="14" t="s">
        <v>191</v>
      </c>
      <c r="M7" s="14" t="s">
        <v>190</v>
      </c>
      <c r="N7" s="14" t="s">
        <v>191</v>
      </c>
      <c r="O7" s="61"/>
      <c r="Q7" s="75"/>
      <c r="R7" s="75"/>
    </row>
    <row r="8" ht="15.6" customHeight="1" spans="1:26">
      <c r="A8" s="22"/>
      <c r="B8" s="24" t="s">
        <v>209</v>
      </c>
      <c r="C8" s="25">
        <f ca="1">砂浆配合比记录1!B14</f>
        <v>208</v>
      </c>
      <c r="D8" s="26">
        <v>1</v>
      </c>
      <c r="E8" s="27">
        <v>0</v>
      </c>
      <c r="F8" s="27">
        <f>E8+7</f>
        <v>7</v>
      </c>
      <c r="G8" s="27">
        <f>E8+28</f>
        <v>28</v>
      </c>
      <c r="H8" s="28">
        <f>ROUND(70.7*70.7,0)</f>
        <v>4998</v>
      </c>
      <c r="I8" s="62">
        <v>26.05</v>
      </c>
      <c r="J8" s="62">
        <v>44.25</v>
      </c>
      <c r="K8" s="63">
        <f t="shared" ref="K8:K13" si="0">ROUND(I8/$H$8*1000,1)</f>
        <v>5.2</v>
      </c>
      <c r="L8" s="63">
        <f t="shared" ref="L8:L25" si="1">ROUND(J8/$H$8*1000,1)</f>
        <v>8.9</v>
      </c>
      <c r="M8" s="64">
        <f>ROUND(AVERAGE(K8:K13),1)</f>
        <v>5.1</v>
      </c>
      <c r="N8" s="64">
        <f>ROUND(AVERAGE(L8:L13),1)</f>
        <v>8.9</v>
      </c>
      <c r="O8" s="65">
        <f>ROUND(M8/N8,1)</f>
        <v>0.6</v>
      </c>
      <c r="Q8" s="76"/>
      <c r="R8" s="76"/>
      <c r="S8" s="77" t="s">
        <v>276</v>
      </c>
      <c r="T8" s="77"/>
      <c r="U8" s="77"/>
      <c r="V8" s="77"/>
      <c r="W8" s="77"/>
      <c r="X8" s="78"/>
      <c r="Y8" s="78"/>
      <c r="Z8" s="78"/>
    </row>
    <row r="9" ht="15.6" customHeight="1" spans="1:26">
      <c r="A9" s="22"/>
      <c r="B9" s="29"/>
      <c r="C9" s="30"/>
      <c r="D9" s="31"/>
      <c r="E9" s="32"/>
      <c r="F9" s="32"/>
      <c r="G9" s="32"/>
      <c r="H9" s="33"/>
      <c r="I9" s="62">
        <v>25.1</v>
      </c>
      <c r="J9" s="62">
        <v>40.3</v>
      </c>
      <c r="K9" s="63">
        <f t="shared" si="0"/>
        <v>5</v>
      </c>
      <c r="L9" s="63">
        <f t="shared" si="1"/>
        <v>8.1</v>
      </c>
      <c r="M9" s="66"/>
      <c r="N9" s="66"/>
      <c r="O9" s="67"/>
      <c r="Q9" s="76"/>
      <c r="R9" s="76"/>
      <c r="S9" s="79"/>
      <c r="T9" s="79"/>
      <c r="U9" s="80" t="s">
        <v>219</v>
      </c>
      <c r="V9" s="80" t="s">
        <v>277</v>
      </c>
      <c r="W9" s="80" t="s">
        <v>221</v>
      </c>
      <c r="Z9" s="78"/>
    </row>
    <row r="10" ht="15.6" customHeight="1" spans="1:26">
      <c r="A10" s="22"/>
      <c r="B10" s="29"/>
      <c r="C10" s="30"/>
      <c r="D10" s="31"/>
      <c r="E10" s="32"/>
      <c r="F10" s="32"/>
      <c r="G10" s="32"/>
      <c r="H10" s="33"/>
      <c r="I10" s="62">
        <v>24.75</v>
      </c>
      <c r="J10" s="62">
        <v>47.8</v>
      </c>
      <c r="K10" s="63">
        <f t="shared" si="0"/>
        <v>5</v>
      </c>
      <c r="L10" s="63">
        <f t="shared" si="1"/>
        <v>9.6</v>
      </c>
      <c r="M10" s="66"/>
      <c r="N10" s="66"/>
      <c r="O10" s="67"/>
      <c r="Q10" s="76"/>
      <c r="R10" s="76"/>
      <c r="S10" s="77" t="s">
        <v>278</v>
      </c>
      <c r="T10" s="81">
        <f>MAX(L8:L13)</f>
        <v>9.6</v>
      </c>
      <c r="U10" s="81">
        <f>T10-N8</f>
        <v>0.699999999999999</v>
      </c>
      <c r="V10" s="82">
        <f>ROUND(N8*0.15,1)</f>
        <v>1.3</v>
      </c>
      <c r="W10" s="80" t="str">
        <f>IF(AND(U10&lt;V10),"合格",IF(OR(U10&gt;=V10),"不合格","合格"))</f>
        <v>合格</v>
      </c>
      <c r="Z10" s="78"/>
    </row>
    <row r="11" ht="15.6" customHeight="1" spans="1:26">
      <c r="A11" s="22"/>
      <c r="B11" s="29"/>
      <c r="C11" s="30"/>
      <c r="D11" s="31"/>
      <c r="E11" s="32"/>
      <c r="F11" s="32"/>
      <c r="G11" s="32"/>
      <c r="H11" s="33"/>
      <c r="I11" s="62">
        <v>24.9</v>
      </c>
      <c r="J11" s="62">
        <v>45.65</v>
      </c>
      <c r="K11" s="63">
        <f t="shared" si="0"/>
        <v>5</v>
      </c>
      <c r="L11" s="63">
        <f t="shared" si="1"/>
        <v>9.1</v>
      </c>
      <c r="M11" s="66"/>
      <c r="N11" s="66"/>
      <c r="O11" s="67"/>
      <c r="Q11" s="76"/>
      <c r="R11" s="76"/>
      <c r="S11" s="77"/>
      <c r="T11" s="81"/>
      <c r="U11" s="81"/>
      <c r="V11" s="80"/>
      <c r="W11" s="80"/>
      <c r="Z11" s="78"/>
    </row>
    <row r="12" ht="15.6" customHeight="1" spans="1:26">
      <c r="A12" s="22"/>
      <c r="B12" s="29"/>
      <c r="C12" s="30"/>
      <c r="D12" s="31"/>
      <c r="E12" s="32"/>
      <c r="F12" s="32"/>
      <c r="G12" s="32"/>
      <c r="H12" s="33"/>
      <c r="I12" s="62">
        <v>26.4</v>
      </c>
      <c r="J12" s="62">
        <v>43.1</v>
      </c>
      <c r="K12" s="63">
        <f t="shared" si="0"/>
        <v>5.3</v>
      </c>
      <c r="L12" s="63">
        <f t="shared" si="1"/>
        <v>8.6</v>
      </c>
      <c r="M12" s="66"/>
      <c r="N12" s="66"/>
      <c r="O12" s="67"/>
      <c r="Q12" s="76"/>
      <c r="R12" s="76"/>
      <c r="S12" s="77" t="s">
        <v>279</v>
      </c>
      <c r="T12" s="81">
        <f>MIN(L8:L13)</f>
        <v>8.1</v>
      </c>
      <c r="U12" s="81">
        <f>T12-N8</f>
        <v>-0.800000000000001</v>
      </c>
      <c r="V12" s="82">
        <f>V10</f>
        <v>1.3</v>
      </c>
      <c r="W12" s="80" t="str">
        <f>IF(AND(U12&lt;V12),"合格",IF(OR(U12&gt;=V12),"不合格","合格"))</f>
        <v>合格</v>
      </c>
      <c r="Z12" s="78"/>
    </row>
    <row r="13" ht="15.6" customHeight="1" spans="1:26">
      <c r="A13" s="22"/>
      <c r="B13" s="34"/>
      <c r="C13" s="35"/>
      <c r="D13" s="36"/>
      <c r="E13" s="37"/>
      <c r="F13" s="37"/>
      <c r="G13" s="37"/>
      <c r="H13" s="21"/>
      <c r="I13" s="62">
        <v>24.55</v>
      </c>
      <c r="J13" s="62">
        <v>45.25</v>
      </c>
      <c r="K13" s="63">
        <f t="shared" si="0"/>
        <v>4.9</v>
      </c>
      <c r="L13" s="63">
        <f t="shared" si="1"/>
        <v>9.1</v>
      </c>
      <c r="M13" s="68"/>
      <c r="N13" s="68"/>
      <c r="O13" s="69"/>
      <c r="Q13" s="76"/>
      <c r="R13" s="76"/>
      <c r="S13" s="77"/>
      <c r="T13" s="81"/>
      <c r="U13" s="81"/>
      <c r="V13" s="80"/>
      <c r="W13" s="80"/>
      <c r="Z13" s="78"/>
    </row>
    <row r="14" ht="15.6" customHeight="1" spans="1:26">
      <c r="A14" s="22"/>
      <c r="B14" s="38" t="s">
        <v>199</v>
      </c>
      <c r="C14" s="25">
        <f ca="1">砂浆配合比记录1!B15</f>
        <v>245</v>
      </c>
      <c r="D14" s="26">
        <v>2</v>
      </c>
      <c r="E14" s="27">
        <f>E8</f>
        <v>0</v>
      </c>
      <c r="F14" s="27">
        <f>E14+7</f>
        <v>7</v>
      </c>
      <c r="G14" s="27">
        <f>E14+28</f>
        <v>28</v>
      </c>
      <c r="H14" s="28">
        <f>H8</f>
        <v>4998</v>
      </c>
      <c r="I14" s="62">
        <v>42.5</v>
      </c>
      <c r="J14" s="62">
        <v>73.85</v>
      </c>
      <c r="K14" s="63">
        <f t="shared" ref="K14:K19" si="2">ROUND(I14/$H$14*1000,1)</f>
        <v>8.5</v>
      </c>
      <c r="L14" s="63">
        <f t="shared" si="1"/>
        <v>14.8</v>
      </c>
      <c r="M14" s="64">
        <f>ROUND(AVERAGE(K14:K19),1)</f>
        <v>8.8</v>
      </c>
      <c r="N14" s="64">
        <f>ROUND(AVERAGE(L14:L19),1)</f>
        <v>13.6</v>
      </c>
      <c r="O14" s="65">
        <f>ROUND(M14/N14,1)</f>
        <v>0.6</v>
      </c>
      <c r="Q14" s="83"/>
      <c r="R14" s="76"/>
      <c r="S14" s="77" t="s">
        <v>276</v>
      </c>
      <c r="T14" s="77"/>
      <c r="U14" s="77"/>
      <c r="V14" s="77"/>
      <c r="W14" s="77"/>
      <c r="X14" s="78"/>
      <c r="Y14" s="78"/>
      <c r="Z14" s="78"/>
    </row>
    <row r="15" ht="15.6" customHeight="1" spans="1:26">
      <c r="A15" s="22"/>
      <c r="B15" s="39"/>
      <c r="C15" s="30"/>
      <c r="D15" s="31"/>
      <c r="E15" s="32"/>
      <c r="F15" s="32"/>
      <c r="G15" s="32"/>
      <c r="H15" s="33"/>
      <c r="I15" s="62">
        <v>41.95</v>
      </c>
      <c r="J15" s="62">
        <v>70.75</v>
      </c>
      <c r="K15" s="63">
        <f t="shared" si="2"/>
        <v>8.4</v>
      </c>
      <c r="L15" s="63">
        <f t="shared" si="1"/>
        <v>14.2</v>
      </c>
      <c r="M15" s="66"/>
      <c r="N15" s="66"/>
      <c r="O15" s="67"/>
      <c r="Q15" s="83"/>
      <c r="R15" s="76"/>
      <c r="S15" s="79"/>
      <c r="T15" s="79"/>
      <c r="U15" s="80" t="s">
        <v>219</v>
      </c>
      <c r="V15" s="80" t="s">
        <v>277</v>
      </c>
      <c r="W15" s="80" t="s">
        <v>221</v>
      </c>
      <c r="Z15" s="78"/>
    </row>
    <row r="16" ht="15.6" customHeight="1" spans="1:26">
      <c r="A16" s="22"/>
      <c r="B16" s="39"/>
      <c r="C16" s="30"/>
      <c r="D16" s="31"/>
      <c r="E16" s="32"/>
      <c r="F16" s="32"/>
      <c r="G16" s="32"/>
      <c r="H16" s="33"/>
      <c r="I16" s="62">
        <v>42.5</v>
      </c>
      <c r="J16" s="62">
        <v>67.95</v>
      </c>
      <c r="K16" s="63">
        <f t="shared" si="2"/>
        <v>8.5</v>
      </c>
      <c r="L16" s="63">
        <f t="shared" si="1"/>
        <v>13.6</v>
      </c>
      <c r="M16" s="66"/>
      <c r="N16" s="66"/>
      <c r="O16" s="67"/>
      <c r="Q16" s="83"/>
      <c r="R16" s="76"/>
      <c r="S16" s="77" t="s">
        <v>278</v>
      </c>
      <c r="T16" s="81">
        <f>MAX(L14:L19)</f>
        <v>14.8</v>
      </c>
      <c r="U16" s="81">
        <f>T16-N14</f>
        <v>1.2</v>
      </c>
      <c r="V16" s="82">
        <f>ROUND(N14*0.15,1)</f>
        <v>2</v>
      </c>
      <c r="W16" s="80" t="str">
        <f>IF(AND(U16&lt;V16),"合格",IF(OR(U16&gt;=V16),"不合格","合格"))</f>
        <v>合格</v>
      </c>
      <c r="Z16" s="78"/>
    </row>
    <row r="17" ht="15.6" customHeight="1" spans="1:26">
      <c r="A17" s="22"/>
      <c r="B17" s="39"/>
      <c r="C17" s="30"/>
      <c r="D17" s="31"/>
      <c r="E17" s="32"/>
      <c r="F17" s="32"/>
      <c r="G17" s="32"/>
      <c r="H17" s="33"/>
      <c r="I17" s="62">
        <v>42.25</v>
      </c>
      <c r="J17" s="62">
        <v>68.85</v>
      </c>
      <c r="K17" s="63">
        <f t="shared" si="2"/>
        <v>8.5</v>
      </c>
      <c r="L17" s="63">
        <f t="shared" si="1"/>
        <v>13.8</v>
      </c>
      <c r="M17" s="66"/>
      <c r="N17" s="66"/>
      <c r="O17" s="67"/>
      <c r="Q17" s="83"/>
      <c r="R17" s="76"/>
      <c r="S17" s="77"/>
      <c r="T17" s="81"/>
      <c r="U17" s="81"/>
      <c r="V17" s="80"/>
      <c r="W17" s="80"/>
      <c r="Z17" s="78"/>
    </row>
    <row r="18" ht="15.6" customHeight="1" spans="1:26">
      <c r="A18" s="22"/>
      <c r="B18" s="39"/>
      <c r="C18" s="30"/>
      <c r="D18" s="31"/>
      <c r="E18" s="32"/>
      <c r="F18" s="32"/>
      <c r="G18" s="32"/>
      <c r="H18" s="33"/>
      <c r="I18" s="62">
        <v>44.55</v>
      </c>
      <c r="J18" s="62">
        <v>62.65</v>
      </c>
      <c r="K18" s="63">
        <f t="shared" si="2"/>
        <v>8.9</v>
      </c>
      <c r="L18" s="63">
        <f t="shared" si="1"/>
        <v>12.5</v>
      </c>
      <c r="M18" s="66"/>
      <c r="N18" s="66"/>
      <c r="O18" s="67"/>
      <c r="Q18" s="83"/>
      <c r="R18" s="76"/>
      <c r="S18" s="77" t="s">
        <v>279</v>
      </c>
      <c r="T18" s="81">
        <f>MIN(L14:L19)</f>
        <v>12.5</v>
      </c>
      <c r="U18" s="81">
        <f>T18-N14</f>
        <v>-1.1</v>
      </c>
      <c r="V18" s="82">
        <f>V16</f>
        <v>2</v>
      </c>
      <c r="W18" s="80" t="str">
        <f>IF(AND(U18&lt;V18),"合格",IF(OR(U18&gt;=V18),"不合格","合格"))</f>
        <v>合格</v>
      </c>
      <c r="Z18" s="78"/>
    </row>
    <row r="19" ht="15.6" customHeight="1" spans="1:26">
      <c r="A19" s="22"/>
      <c r="B19" s="40"/>
      <c r="C19" s="35"/>
      <c r="D19" s="36"/>
      <c r="E19" s="37"/>
      <c r="F19" s="37"/>
      <c r="G19" s="37"/>
      <c r="H19" s="21"/>
      <c r="I19" s="62">
        <v>50.5</v>
      </c>
      <c r="J19" s="62">
        <v>63.7</v>
      </c>
      <c r="K19" s="63">
        <f t="shared" si="2"/>
        <v>10.1</v>
      </c>
      <c r="L19" s="63">
        <f t="shared" si="1"/>
        <v>12.7</v>
      </c>
      <c r="M19" s="68"/>
      <c r="N19" s="68"/>
      <c r="O19" s="69"/>
      <c r="Q19" s="83"/>
      <c r="R19" s="76"/>
      <c r="S19" s="77"/>
      <c r="T19" s="81"/>
      <c r="U19" s="81"/>
      <c r="V19" s="80"/>
      <c r="W19" s="80"/>
      <c r="Z19" s="78"/>
    </row>
    <row r="20" ht="15.6" customHeight="1" spans="1:26">
      <c r="A20" s="22"/>
      <c r="B20" s="41" t="s">
        <v>229</v>
      </c>
      <c r="C20" s="25">
        <f ca="1">砂浆配合比记录1!B16</f>
        <v>282</v>
      </c>
      <c r="D20" s="26">
        <v>3</v>
      </c>
      <c r="E20" s="27">
        <f>E14</f>
        <v>0</v>
      </c>
      <c r="F20" s="27">
        <f>E20+7</f>
        <v>7</v>
      </c>
      <c r="G20" s="27">
        <f>E20+28</f>
        <v>28</v>
      </c>
      <c r="H20" s="28">
        <f>H8</f>
        <v>4998</v>
      </c>
      <c r="I20" s="70">
        <v>61.75</v>
      </c>
      <c r="J20" s="62">
        <v>85.45</v>
      </c>
      <c r="K20" s="63">
        <f t="shared" ref="K20:K25" si="3">ROUND(I20/$H$20*1000,1)</f>
        <v>12.4</v>
      </c>
      <c r="L20" s="63">
        <f t="shared" si="1"/>
        <v>17.1</v>
      </c>
      <c r="M20" s="64">
        <f>ROUND(AVERAGE(K20:K25),1)</f>
        <v>11.8</v>
      </c>
      <c r="N20" s="64">
        <f>ROUND(AVERAGE(L20:L25),1)</f>
        <v>16.7</v>
      </c>
      <c r="O20" s="65">
        <f>ROUND(M20/N20,1)</f>
        <v>0.7</v>
      </c>
      <c r="Q20" s="83"/>
      <c r="R20" s="76"/>
      <c r="S20" s="77" t="s">
        <v>276</v>
      </c>
      <c r="T20" s="77"/>
      <c r="U20" s="77"/>
      <c r="V20" s="77"/>
      <c r="W20" s="77"/>
      <c r="X20" s="78"/>
      <c r="Y20" s="78"/>
      <c r="Z20" s="78"/>
    </row>
    <row r="21" ht="15.6" customHeight="1" spans="1:26">
      <c r="A21" s="22"/>
      <c r="B21" s="42"/>
      <c r="C21" s="30"/>
      <c r="D21" s="31"/>
      <c r="E21" s="32"/>
      <c r="F21" s="32"/>
      <c r="G21" s="32"/>
      <c r="H21" s="33"/>
      <c r="I21" s="70">
        <v>55.4</v>
      </c>
      <c r="J21" s="62">
        <v>85.2</v>
      </c>
      <c r="K21" s="63">
        <f t="shared" si="3"/>
        <v>11.1</v>
      </c>
      <c r="L21" s="63">
        <f t="shared" si="1"/>
        <v>17</v>
      </c>
      <c r="M21" s="66"/>
      <c r="N21" s="66"/>
      <c r="O21" s="67"/>
      <c r="Q21" s="83"/>
      <c r="R21" s="76"/>
      <c r="S21" s="79"/>
      <c r="T21" s="79"/>
      <c r="U21" s="80" t="s">
        <v>219</v>
      </c>
      <c r="V21" s="80" t="s">
        <v>277</v>
      </c>
      <c r="W21" s="80" t="s">
        <v>221</v>
      </c>
      <c r="Z21" s="78"/>
    </row>
    <row r="22" ht="15.6" customHeight="1" spans="1:26">
      <c r="A22" s="22"/>
      <c r="B22" s="42"/>
      <c r="C22" s="30"/>
      <c r="D22" s="31"/>
      <c r="E22" s="32"/>
      <c r="F22" s="32"/>
      <c r="G22" s="32"/>
      <c r="H22" s="33"/>
      <c r="I22" s="70">
        <v>61.6</v>
      </c>
      <c r="J22" s="62">
        <v>74.4</v>
      </c>
      <c r="K22" s="63">
        <f t="shared" si="3"/>
        <v>12.3</v>
      </c>
      <c r="L22" s="63">
        <f t="shared" si="1"/>
        <v>14.9</v>
      </c>
      <c r="M22" s="66"/>
      <c r="N22" s="66"/>
      <c r="O22" s="67"/>
      <c r="Q22" s="83"/>
      <c r="R22" s="76"/>
      <c r="S22" s="77" t="s">
        <v>278</v>
      </c>
      <c r="T22" s="81">
        <f>MAX(L20:L25)</f>
        <v>18.3</v>
      </c>
      <c r="U22" s="81">
        <f>T22-N20</f>
        <v>1.6</v>
      </c>
      <c r="V22" s="82">
        <f>ROUND(N20*0.15,1)</f>
        <v>2.5</v>
      </c>
      <c r="W22" s="80" t="str">
        <f>IF(AND(U22&lt;V22),"合格",IF(OR(U22&gt;=V22),"不合格","合格"))</f>
        <v>合格</v>
      </c>
      <c r="Z22" s="78"/>
    </row>
    <row r="23" ht="15.6" customHeight="1" spans="1:26">
      <c r="A23" s="22"/>
      <c r="B23" s="42"/>
      <c r="C23" s="30"/>
      <c r="D23" s="31"/>
      <c r="E23" s="32"/>
      <c r="F23" s="32"/>
      <c r="G23" s="32"/>
      <c r="H23" s="33"/>
      <c r="I23" s="71">
        <v>52</v>
      </c>
      <c r="J23" s="62">
        <v>82.9</v>
      </c>
      <c r="K23" s="63">
        <f t="shared" si="3"/>
        <v>10.4</v>
      </c>
      <c r="L23" s="63">
        <f t="shared" si="1"/>
        <v>16.6</v>
      </c>
      <c r="M23" s="66"/>
      <c r="N23" s="66"/>
      <c r="O23" s="67"/>
      <c r="Q23" s="83"/>
      <c r="R23" s="76"/>
      <c r="S23" s="77"/>
      <c r="T23" s="81"/>
      <c r="U23" s="81"/>
      <c r="V23" s="80"/>
      <c r="W23" s="80"/>
      <c r="Z23" s="78"/>
    </row>
    <row r="24" ht="15.6" customHeight="1" spans="1:26">
      <c r="A24" s="22"/>
      <c r="B24" s="42"/>
      <c r="C24" s="30"/>
      <c r="D24" s="31"/>
      <c r="E24" s="32"/>
      <c r="F24" s="32"/>
      <c r="G24" s="32"/>
      <c r="H24" s="33"/>
      <c r="I24" s="71">
        <v>64.05</v>
      </c>
      <c r="J24" s="62">
        <v>91.35</v>
      </c>
      <c r="K24" s="63">
        <f t="shared" si="3"/>
        <v>12.8</v>
      </c>
      <c r="L24" s="63">
        <f t="shared" si="1"/>
        <v>18.3</v>
      </c>
      <c r="M24" s="66"/>
      <c r="N24" s="66"/>
      <c r="O24" s="67"/>
      <c r="Q24" s="83"/>
      <c r="R24" s="76"/>
      <c r="S24" s="77" t="s">
        <v>279</v>
      </c>
      <c r="T24" s="81">
        <f>MIN(L20:L25)</f>
        <v>14.9</v>
      </c>
      <c r="U24" s="81">
        <f>T24-N20</f>
        <v>-1.8</v>
      </c>
      <c r="V24" s="82">
        <f>V22</f>
        <v>2.5</v>
      </c>
      <c r="W24" s="80" t="str">
        <f>IF(AND(U24&lt;V24),"合格",IF(OR(U24&gt;=V24),"不合格","合格"))</f>
        <v>合格</v>
      </c>
      <c r="Z24" s="78"/>
    </row>
    <row r="25" ht="15.6" customHeight="1" spans="1:26">
      <c r="A25" s="22"/>
      <c r="B25" s="43"/>
      <c r="C25" s="35"/>
      <c r="D25" s="36"/>
      <c r="E25" s="37"/>
      <c r="F25" s="37"/>
      <c r="G25" s="37"/>
      <c r="H25" s="21"/>
      <c r="I25" s="71">
        <v>57.95</v>
      </c>
      <c r="J25" s="62">
        <v>80.85</v>
      </c>
      <c r="K25" s="63">
        <f t="shared" si="3"/>
        <v>11.6</v>
      </c>
      <c r="L25" s="63">
        <f t="shared" si="1"/>
        <v>16.2</v>
      </c>
      <c r="M25" s="68"/>
      <c r="N25" s="68"/>
      <c r="O25" s="69"/>
      <c r="Q25" s="83"/>
      <c r="R25" s="76"/>
      <c r="S25" s="77"/>
      <c r="T25" s="81"/>
      <c r="U25" s="81"/>
      <c r="V25" s="80"/>
      <c r="W25" s="80"/>
      <c r="Z25" s="78"/>
    </row>
    <row r="26" ht="21.75" customHeight="1" spans="1:15">
      <c r="A26" s="44" t="s">
        <v>146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72"/>
    </row>
    <row r="27" s="2" customFormat="1" ht="18.75" customHeight="1" spans="1:15">
      <c r="A27" s="46" t="s">
        <v>280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</row>
    <row r="28" spans="18:18">
      <c r="R28" s="75" t="s">
        <v>281</v>
      </c>
    </row>
  </sheetData>
  <mergeCells count="95">
    <mergeCell ref="A1:M1"/>
    <mergeCell ref="N1:O1"/>
    <mergeCell ref="M2:N2"/>
    <mergeCell ref="A3:C3"/>
    <mergeCell ref="D3:F3"/>
    <mergeCell ref="G3:H3"/>
    <mergeCell ref="I3:K3"/>
    <mergeCell ref="M3:O3"/>
    <mergeCell ref="A4:C4"/>
    <mergeCell ref="D4:F4"/>
    <mergeCell ref="G4:H4"/>
    <mergeCell ref="I4:K4"/>
    <mergeCell ref="M4:O4"/>
    <mergeCell ref="A5:C5"/>
    <mergeCell ref="D5:K5"/>
    <mergeCell ref="L5:M5"/>
    <mergeCell ref="N5:O5"/>
    <mergeCell ref="F6:G6"/>
    <mergeCell ref="I6:J6"/>
    <mergeCell ref="K6:L6"/>
    <mergeCell ref="M6:N6"/>
    <mergeCell ref="S8:W8"/>
    <mergeCell ref="S14:W14"/>
    <mergeCell ref="S20:W20"/>
    <mergeCell ref="A26:B26"/>
    <mergeCell ref="C26:O26"/>
    <mergeCell ref="A27:O27"/>
    <mergeCell ref="A6:A25"/>
    <mergeCell ref="B6:B7"/>
    <mergeCell ref="B8:B13"/>
    <mergeCell ref="B14:B19"/>
    <mergeCell ref="B20:B25"/>
    <mergeCell ref="C6:C7"/>
    <mergeCell ref="C8:C13"/>
    <mergeCell ref="C14:C19"/>
    <mergeCell ref="C20:C25"/>
    <mergeCell ref="D6:D7"/>
    <mergeCell ref="D8:D13"/>
    <mergeCell ref="D14:D19"/>
    <mergeCell ref="D20:D25"/>
    <mergeCell ref="E6:E7"/>
    <mergeCell ref="E8:E13"/>
    <mergeCell ref="E14:E19"/>
    <mergeCell ref="E20:E25"/>
    <mergeCell ref="F8:F13"/>
    <mergeCell ref="F14:F19"/>
    <mergeCell ref="F20:F25"/>
    <mergeCell ref="G8:G13"/>
    <mergeCell ref="G14:G19"/>
    <mergeCell ref="G20:G25"/>
    <mergeCell ref="H6:H7"/>
    <mergeCell ref="H8:H13"/>
    <mergeCell ref="H14:H19"/>
    <mergeCell ref="H20:H25"/>
    <mergeCell ref="M8:M13"/>
    <mergeCell ref="M14:M19"/>
    <mergeCell ref="M20:M25"/>
    <mergeCell ref="N8:N13"/>
    <mergeCell ref="N14:N19"/>
    <mergeCell ref="N20:N25"/>
    <mergeCell ref="O6:O7"/>
    <mergeCell ref="O8:O13"/>
    <mergeCell ref="O14:O19"/>
    <mergeCell ref="O20:O25"/>
    <mergeCell ref="S10:S11"/>
    <mergeCell ref="S12:S13"/>
    <mergeCell ref="S16:S17"/>
    <mergeCell ref="S18:S19"/>
    <mergeCell ref="S22:S23"/>
    <mergeCell ref="S24:S25"/>
    <mergeCell ref="T10:T11"/>
    <mergeCell ref="T12:T13"/>
    <mergeCell ref="T16:T17"/>
    <mergeCell ref="T18:T19"/>
    <mergeCell ref="T22:T23"/>
    <mergeCell ref="T24:T25"/>
    <mergeCell ref="U10:U11"/>
    <mergeCell ref="U12:U13"/>
    <mergeCell ref="U16:U17"/>
    <mergeCell ref="U18:U19"/>
    <mergeCell ref="U22:U23"/>
    <mergeCell ref="U24:U25"/>
    <mergeCell ref="V10:V11"/>
    <mergeCell ref="V12:V13"/>
    <mergeCell ref="V16:V17"/>
    <mergeCell ref="V18:V19"/>
    <mergeCell ref="V22:V23"/>
    <mergeCell ref="V24:V25"/>
    <mergeCell ref="W10:W11"/>
    <mergeCell ref="W12:W13"/>
    <mergeCell ref="W16:W17"/>
    <mergeCell ref="W18:W19"/>
    <mergeCell ref="W22:W23"/>
    <mergeCell ref="W24:W25"/>
    <mergeCell ref="Q2:R5"/>
  </mergeCells>
  <printOptions horizontalCentered="1" verticalCentered="1"/>
  <pageMargins left="0.590551181102362" right="0.590551181102362" top="0.984251968503937" bottom="0.590551181102362" header="0.511811023622047" footer="0.511811023622047"/>
  <pageSetup paperSize="9" firstPageNumber="4294963191" orientation="landscape" useFirstPageNumber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云南省路桥一公司元磨项目部</Company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封面</vt:lpstr>
      <vt:lpstr>原材料技术指标报告</vt:lpstr>
      <vt:lpstr>水泥砂浆配合比设计报告3</vt:lpstr>
      <vt:lpstr>水泥砂浆稠度、分层度记录A组</vt:lpstr>
      <vt:lpstr>水泥砂浆稠度、分层度记录B组</vt:lpstr>
      <vt:lpstr>水泥砂浆稠度、分层度记录 C组</vt:lpstr>
      <vt:lpstr>砂浆配合比记录1</vt:lpstr>
      <vt:lpstr>砂浆配合比记录2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dujiegui2012</dc:creator>
  <cp:lastModifiedBy>潘天保</cp:lastModifiedBy>
  <cp:revision>200401</cp:revision>
  <dcterms:created xsi:type="dcterms:W3CDTF">2000-07-12T06:43:00Z</dcterms:created>
  <cp:lastPrinted>2016-11-23T03:39:00Z</cp:lastPrinted>
  <dcterms:modified xsi:type="dcterms:W3CDTF">2019-05-29T03:08:40Z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2052-11.1.0.8696</vt:lpwstr>
  </property>
</Properties>
</file>