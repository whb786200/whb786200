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firstSheet="3" activeTab="10"/>
  </bookViews>
  <sheets>
    <sheet name="水泥" sheetId="5" r:id="rId1"/>
    <sheet name="煤灰要求" sheetId="2" r:id="rId2"/>
    <sheet name="沙子" sheetId="1" r:id="rId3"/>
    <sheet name="5-31.5mm碎石" sheetId="3" r:id="rId4"/>
    <sheet name="5-10mm碎石" sheetId="4" r:id="rId5"/>
    <sheet name="钢筋焊接" sheetId="6" r:id="rId6"/>
    <sheet name="钢筋原材" sheetId="7" r:id="rId7"/>
    <sheet name="速凝剂" sheetId="8" r:id="rId8"/>
    <sheet name="减水剂" sheetId="9" r:id="rId9"/>
    <sheet name="数值修约" sheetId="10" r:id="rId10"/>
    <sheet name="筛后砂子计算" sheetId="11" r:id="rId11"/>
  </sheets>
  <externalReferences>
    <externalReference r:id="rId12"/>
  </externalReferenc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31" authorId="0">
      <text>
        <r>
          <rPr>
            <sz val="9"/>
            <rFont val="宋体"/>
            <charset val="134"/>
          </rPr>
          <t>Administrator:
4-6</t>
        </r>
      </text>
    </comment>
    <comment ref="Q53" authorId="0">
      <text>
        <r>
          <rPr>
            <sz val="9"/>
            <rFont val="宋体"/>
            <charset val="134"/>
          </rPr>
          <t>Administrator:
不小于75%</t>
        </r>
      </text>
    </comment>
  </commentList>
</comments>
</file>

<file path=xl/sharedStrings.xml><?xml version="1.0" encoding="utf-8"?>
<sst xmlns="http://schemas.openxmlformats.org/spreadsheetml/2006/main" count="577" uniqueCount="352">
  <si>
    <t>水灰比：</t>
  </si>
  <si>
    <t>精度0.1</t>
  </si>
  <si>
    <t>灰砂比：</t>
  </si>
  <si>
    <t>1:3</t>
  </si>
  <si>
    <t>代号</t>
  </si>
  <si>
    <t>熟料+石膏</t>
  </si>
  <si>
    <t>粒化高炉
矿渣</t>
  </si>
  <si>
    <t>火山灰质
混合材料</t>
  </si>
  <si>
    <t>粉煤灰</t>
  </si>
  <si>
    <t>石灰石</t>
  </si>
  <si>
    <t>速率</t>
  </si>
  <si>
    <t>抗折强度：</t>
  </si>
  <si>
    <r>
      <rPr>
        <sz val="10"/>
        <color indexed="8"/>
        <rFont val="宋体"/>
        <charset val="134"/>
      </rPr>
      <t>50±10</t>
    </r>
    <r>
      <rPr>
        <sz val="11"/>
        <color theme="1"/>
        <rFont val="宋体"/>
        <charset val="134"/>
        <scheme val="minor"/>
      </rPr>
      <t>N/s</t>
    </r>
  </si>
  <si>
    <t>硅酸盐水泥</t>
  </si>
  <si>
    <r>
      <rPr>
        <sz val="11"/>
        <color theme="1"/>
        <rFont val="宋体"/>
        <charset val="134"/>
        <scheme val="minor"/>
      </rPr>
      <t>P</t>
    </r>
    <r>
      <rPr>
        <sz val="11"/>
        <color indexed="8"/>
        <rFont val="宋体"/>
        <charset val="134"/>
      </rPr>
      <t>·Ⅰ</t>
    </r>
  </si>
  <si>
    <t>─</t>
  </si>
  <si>
    <t>抗压强度：</t>
  </si>
  <si>
    <r>
      <rPr>
        <sz val="10"/>
        <color indexed="8"/>
        <rFont val="宋体"/>
        <charset val="134"/>
      </rPr>
      <t>2400±200N/s</t>
    </r>
  </si>
  <si>
    <r>
      <rPr>
        <sz val="11"/>
        <color theme="1"/>
        <rFont val="宋体"/>
        <charset val="134"/>
        <scheme val="minor"/>
      </rPr>
      <t>P·</t>
    </r>
    <r>
      <rPr>
        <sz val="11"/>
        <color indexed="8"/>
        <rFont val="宋体"/>
        <charset val="134"/>
      </rPr>
      <t>Ⅱ</t>
    </r>
  </si>
  <si>
    <r>
      <rPr>
        <sz val="11"/>
        <color indexed="8"/>
        <rFont val="SJQY"/>
        <charset val="134"/>
      </rPr>
      <t>&gt;</t>
    </r>
    <r>
      <rPr>
        <sz val="11"/>
        <color indexed="8"/>
        <rFont val="宋体"/>
        <charset val="134"/>
      </rPr>
      <t>95</t>
    </r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</si>
  <si>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5</t>
    </r>
  </si>
  <si>
    <t>勃氏法侧表面积</t>
  </si>
  <si>
    <t>普通硅酸盐水泥</t>
  </si>
  <si>
    <r>
      <rPr>
        <sz val="11"/>
        <color theme="1"/>
        <rFont val="宋体"/>
        <charset val="134"/>
        <scheme val="minor"/>
      </rPr>
      <t>P</t>
    </r>
    <r>
      <rPr>
        <sz val="11"/>
        <color indexed="8"/>
        <rFont val="宋体"/>
        <charset val="134"/>
      </rPr>
      <t>·</t>
    </r>
    <r>
      <rPr>
        <sz val="11"/>
        <color theme="1"/>
        <rFont val="宋体"/>
        <charset val="134"/>
        <scheme val="minor"/>
      </rPr>
      <t>O</t>
    </r>
  </si>
  <si>
    <r>
      <rPr>
        <sz val="10"/>
        <color indexed="8"/>
        <rFont val="SJQY"/>
        <charset val="134"/>
      </rPr>
      <t>&gt;</t>
    </r>
    <r>
      <rPr>
        <sz val="10"/>
        <color indexed="8"/>
        <rFont val="宋体"/>
        <charset val="134"/>
      </rPr>
      <t>80</t>
    </r>
    <r>
      <rPr>
        <sz val="10"/>
        <color indexed="8"/>
        <rFont val="SJQY"/>
        <charset val="134"/>
      </rPr>
      <t>且</t>
    </r>
    <r>
      <rPr>
        <sz val="10"/>
        <color indexed="8"/>
        <rFont val="宋体"/>
        <charset val="134"/>
      </rPr>
      <t>&lt;95</t>
    </r>
  </si>
  <si>
    <r>
      <rPr>
        <sz val="10"/>
        <color indexed="8"/>
        <rFont val="宋体"/>
        <charset val="134"/>
      </rPr>
      <t>&gt;5且</t>
    </r>
    <r>
      <rPr>
        <sz val="10"/>
        <color indexed="8"/>
        <rFont val="SJQY"/>
        <charset val="134"/>
      </rPr>
      <t>&lt;</t>
    </r>
    <r>
      <rPr>
        <sz val="10"/>
        <color indexed="8"/>
        <rFont val="宋体"/>
        <charset val="134"/>
      </rPr>
      <t>20</t>
    </r>
    <r>
      <rPr>
        <vertAlign val="superscript"/>
        <sz val="10"/>
        <color indexed="8"/>
        <rFont val="宋体"/>
        <charset val="134"/>
      </rPr>
      <t>a</t>
    </r>
  </si>
  <si>
    <r>
      <rPr>
        <sz val="11"/>
        <color theme="1"/>
        <rFont val="宋体"/>
        <charset val="134"/>
        <scheme val="minor"/>
      </rPr>
      <t>2000cm</t>
    </r>
    <r>
      <rPr>
        <vertAlign val="superscript"/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/g～6000cm</t>
    </r>
    <r>
      <rPr>
        <vertAlign val="superscript"/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/g</t>
    </r>
  </si>
  <si>
    <t>矿渣硅酸盐水泥</t>
  </si>
  <si>
    <r>
      <rPr>
        <sz val="11"/>
        <color theme="1"/>
        <rFont val="宋体"/>
        <charset val="134"/>
        <scheme val="minor"/>
      </rPr>
      <t>P</t>
    </r>
    <r>
      <rPr>
        <sz val="11"/>
        <color indexed="8"/>
        <rFont val="宋体"/>
        <charset val="134"/>
      </rPr>
      <t>·</t>
    </r>
    <r>
      <rPr>
        <sz val="11"/>
        <color theme="1"/>
        <rFont val="宋体"/>
        <charset val="134"/>
        <scheme val="minor"/>
      </rPr>
      <t>S</t>
    </r>
    <r>
      <rPr>
        <sz val="11"/>
        <color indexed="8"/>
        <rFont val="宋体"/>
        <charset val="134"/>
      </rPr>
      <t>·</t>
    </r>
    <r>
      <rPr>
        <sz val="11"/>
        <color theme="1"/>
        <rFont val="宋体"/>
        <charset val="134"/>
        <scheme val="minor"/>
      </rPr>
      <t>A</t>
    </r>
  </si>
  <si>
    <r>
      <rPr>
        <sz val="10"/>
        <color indexed="8"/>
        <rFont val="SJQY"/>
        <charset val="134"/>
      </rPr>
      <t>&gt;</t>
    </r>
    <r>
      <rPr>
        <sz val="10"/>
        <color indexed="8"/>
        <rFont val="宋体"/>
        <charset val="134"/>
      </rPr>
      <t>50</t>
    </r>
    <r>
      <rPr>
        <sz val="10"/>
        <color indexed="8"/>
        <rFont val="SJQY"/>
        <charset val="134"/>
      </rPr>
      <t>且</t>
    </r>
    <r>
      <rPr>
        <sz val="10"/>
        <color indexed="8"/>
        <rFont val="宋体"/>
        <charset val="134"/>
      </rPr>
      <t>&lt;80</t>
    </r>
  </si>
  <si>
    <r>
      <rPr>
        <sz val="10"/>
        <color indexed="8"/>
        <rFont val="宋体"/>
        <charset val="134"/>
      </rPr>
      <t>&gt;20且</t>
    </r>
    <r>
      <rPr>
        <sz val="10"/>
        <color indexed="8"/>
        <rFont val="SJQY"/>
        <charset val="134"/>
      </rPr>
      <t>&lt;</t>
    </r>
    <r>
      <rPr>
        <sz val="10"/>
        <color indexed="8"/>
        <rFont val="宋体"/>
        <charset val="134"/>
      </rPr>
      <t>50</t>
    </r>
    <r>
      <rPr>
        <vertAlign val="superscript"/>
        <sz val="10"/>
        <color indexed="8"/>
        <rFont val="宋体"/>
        <charset val="134"/>
      </rPr>
      <t>b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</si>
  <si>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indexed="8"/>
        <rFont val="宋体"/>
        <charset val="134"/>
      </rPr>
      <t>·</t>
    </r>
    <r>
      <rPr>
        <sz val="11"/>
        <color theme="1"/>
        <rFont val="宋体"/>
        <charset val="134"/>
        <scheme val="minor"/>
      </rPr>
      <t>S</t>
    </r>
    <r>
      <rPr>
        <sz val="11"/>
        <color indexed="8"/>
        <rFont val="宋体"/>
        <charset val="134"/>
      </rPr>
      <t>·</t>
    </r>
    <r>
      <rPr>
        <sz val="11"/>
        <color theme="1"/>
        <rFont val="宋体"/>
        <charset val="134"/>
        <scheme val="minor"/>
      </rPr>
      <t>B</t>
    </r>
  </si>
  <si>
    <r>
      <rPr>
        <sz val="10"/>
        <color indexed="8"/>
        <rFont val="SJQY"/>
        <charset val="134"/>
      </rPr>
      <t>&gt;</t>
    </r>
    <r>
      <rPr>
        <sz val="10"/>
        <color indexed="8"/>
        <rFont val="宋体"/>
        <charset val="134"/>
      </rPr>
      <t>30</t>
    </r>
    <r>
      <rPr>
        <sz val="10"/>
        <color indexed="8"/>
        <rFont val="SJQY"/>
        <charset val="134"/>
      </rPr>
      <t>且</t>
    </r>
    <r>
      <rPr>
        <sz val="10"/>
        <color indexed="8"/>
        <rFont val="宋体"/>
        <charset val="134"/>
      </rPr>
      <t>&lt;50</t>
    </r>
  </si>
  <si>
    <r>
      <rPr>
        <sz val="10"/>
        <color indexed="8"/>
        <rFont val="宋体"/>
        <charset val="134"/>
      </rPr>
      <t>&gt;50且</t>
    </r>
    <r>
      <rPr>
        <sz val="10"/>
        <color indexed="8"/>
        <rFont val="SJQY"/>
        <charset val="134"/>
      </rPr>
      <t>&lt;</t>
    </r>
    <r>
      <rPr>
        <sz val="10"/>
        <color indexed="8"/>
        <rFont val="宋体"/>
        <charset val="134"/>
      </rPr>
      <t>70</t>
    </r>
    <r>
      <rPr>
        <vertAlign val="superscript"/>
        <sz val="10"/>
        <color indexed="8"/>
        <rFont val="宋体"/>
        <charset val="134"/>
      </rPr>
      <t>b</t>
    </r>
  </si>
  <si>
    <t>水泥抗硫酸盐试验</t>
  </si>
  <si>
    <t>火山灰水泥</t>
  </si>
  <si>
    <r>
      <rPr>
        <sz val="11"/>
        <color theme="1"/>
        <rFont val="宋体"/>
        <charset val="134"/>
        <scheme val="minor"/>
      </rPr>
      <t>P</t>
    </r>
    <r>
      <rPr>
        <sz val="11"/>
        <color indexed="8"/>
        <rFont val="宋体"/>
        <charset val="134"/>
      </rPr>
      <t>·</t>
    </r>
    <r>
      <rPr>
        <sz val="11"/>
        <color theme="1"/>
        <rFont val="宋体"/>
        <charset val="134"/>
        <scheme val="minor"/>
      </rPr>
      <t>P</t>
    </r>
  </si>
  <si>
    <r>
      <rPr>
        <sz val="10"/>
        <color indexed="8"/>
        <rFont val="SJQY"/>
        <charset val="134"/>
      </rPr>
      <t>&gt;</t>
    </r>
    <r>
      <rPr>
        <sz val="10"/>
        <color indexed="8"/>
        <rFont val="宋体"/>
        <charset val="134"/>
      </rPr>
      <t>60</t>
    </r>
    <r>
      <rPr>
        <sz val="10"/>
        <color indexed="8"/>
        <rFont val="SJQY"/>
        <charset val="134"/>
      </rPr>
      <t>且</t>
    </r>
    <r>
      <rPr>
        <sz val="10"/>
        <color indexed="8"/>
        <rFont val="宋体"/>
        <charset val="134"/>
      </rPr>
      <t>&lt;80</t>
    </r>
  </si>
  <si>
    <r>
      <rPr>
        <sz val="10"/>
        <color indexed="8"/>
        <rFont val="宋体"/>
        <charset val="134"/>
      </rPr>
      <t>&gt;20且</t>
    </r>
    <r>
      <rPr>
        <sz val="10"/>
        <color indexed="8"/>
        <rFont val="SJQY"/>
        <charset val="134"/>
      </rPr>
      <t>&lt;</t>
    </r>
    <r>
      <rPr>
        <sz val="10"/>
        <color indexed="8"/>
        <rFont val="宋体"/>
        <charset val="134"/>
      </rPr>
      <t>40</t>
    </r>
    <r>
      <rPr>
        <vertAlign val="superscript"/>
        <sz val="10"/>
        <color indexed="8"/>
        <rFont val="宋体"/>
        <charset val="134"/>
      </rPr>
      <t>c</t>
    </r>
  </si>
  <si>
    <t>煤灰硅酸盐水泥</t>
  </si>
  <si>
    <r>
      <rPr>
        <sz val="11"/>
        <color theme="1"/>
        <rFont val="宋体"/>
        <charset val="134"/>
        <scheme val="minor"/>
      </rPr>
      <t>P</t>
    </r>
    <r>
      <rPr>
        <sz val="11"/>
        <color indexed="8"/>
        <rFont val="宋体"/>
        <charset val="134"/>
      </rPr>
      <t>·</t>
    </r>
    <r>
      <rPr>
        <sz val="11"/>
        <color theme="1"/>
        <rFont val="宋体"/>
        <charset val="134"/>
        <scheme val="minor"/>
      </rPr>
      <t>F</t>
    </r>
  </si>
  <si>
    <r>
      <rPr>
        <sz val="10"/>
        <color indexed="8"/>
        <rFont val="宋体"/>
        <charset val="134"/>
      </rPr>
      <t>&gt;20且</t>
    </r>
    <r>
      <rPr>
        <sz val="10"/>
        <color indexed="8"/>
        <rFont val="SJQY"/>
        <charset val="134"/>
      </rPr>
      <t>&lt;</t>
    </r>
    <r>
      <rPr>
        <sz val="10"/>
        <color indexed="8"/>
        <rFont val="宋体"/>
        <charset val="134"/>
      </rPr>
      <t>40</t>
    </r>
    <r>
      <rPr>
        <vertAlign val="superscript"/>
        <sz val="10"/>
        <color indexed="8"/>
        <rFont val="宋体"/>
        <charset val="134"/>
      </rPr>
      <t>d</t>
    </r>
  </si>
  <si>
    <t>①</t>
  </si>
  <si>
    <r>
      <rPr>
        <sz val="11"/>
        <color theme="1"/>
        <rFont val="宋体"/>
        <charset val="134"/>
        <scheme val="minor"/>
      </rPr>
      <t xml:space="preserve">水泥+外掺二水石膏
</t>
    </r>
    <r>
      <rPr>
        <sz val="9"/>
        <color indexed="8"/>
        <rFont val="宋体"/>
        <charset val="134"/>
      </rPr>
      <t>（简称混合料）</t>
    </r>
  </si>
  <si>
    <t>400g</t>
  </si>
  <si>
    <r>
      <rPr>
        <sz val="11"/>
        <color theme="1"/>
        <rFont val="宋体"/>
        <charset val="134"/>
        <scheme val="minor"/>
      </rPr>
      <t xml:space="preserve">试件规格：
</t>
    </r>
    <r>
      <rPr>
        <sz val="9"/>
        <color indexed="8"/>
        <rFont val="宋体"/>
        <charset val="134"/>
      </rPr>
      <t>25mmｘ25mmｘ280mm</t>
    </r>
  </si>
  <si>
    <t>复合硅酸盐水泥</t>
  </si>
  <si>
    <r>
      <rPr>
        <sz val="11"/>
        <color theme="1"/>
        <rFont val="宋体"/>
        <charset val="134"/>
        <scheme val="minor"/>
      </rPr>
      <t>P</t>
    </r>
    <r>
      <rPr>
        <sz val="11"/>
        <color indexed="8"/>
        <rFont val="宋体"/>
        <charset val="134"/>
      </rPr>
      <t>·</t>
    </r>
    <r>
      <rPr>
        <sz val="11"/>
        <color theme="1"/>
        <rFont val="宋体"/>
        <charset val="134"/>
        <scheme val="minor"/>
      </rPr>
      <t>C</t>
    </r>
  </si>
  <si>
    <r>
      <rPr>
        <sz val="10"/>
        <color indexed="8"/>
        <rFont val="宋体"/>
        <charset val="134"/>
      </rPr>
      <t>&gt;20且</t>
    </r>
    <r>
      <rPr>
        <sz val="10"/>
        <color indexed="8"/>
        <rFont val="SJQY"/>
        <charset val="134"/>
      </rPr>
      <t>&lt;</t>
    </r>
    <r>
      <rPr>
        <sz val="10"/>
        <color indexed="8"/>
        <rFont val="宋体"/>
        <charset val="134"/>
      </rPr>
      <t>50</t>
    </r>
    <r>
      <rPr>
        <vertAlign val="superscript"/>
        <sz val="10"/>
        <color indexed="8"/>
        <rFont val="宋体"/>
        <charset val="134"/>
      </rPr>
      <t>e</t>
    </r>
  </si>
  <si>
    <r>
      <rPr>
        <sz val="11"/>
        <color theme="1"/>
        <rFont val="宋体"/>
        <charset val="134"/>
        <scheme val="minor"/>
      </rPr>
      <t xml:space="preserve">混合料：砂
</t>
    </r>
    <r>
      <rPr>
        <sz val="9"/>
        <color indexed="8"/>
        <rFont val="宋体"/>
        <charset val="134"/>
      </rPr>
      <t>（质量比）</t>
    </r>
  </si>
  <si>
    <t>1:2.75</t>
  </si>
  <si>
    <t>水灰比</t>
  </si>
  <si>
    <t>碱含量：</t>
  </si>
  <si>
    <r>
      <rPr>
        <sz val="11"/>
        <color theme="1"/>
        <rFont val="宋体"/>
        <charset val="134"/>
        <scheme val="minor"/>
      </rPr>
      <t>Na</t>
    </r>
    <r>
      <rPr>
        <vertAlign val="subscript"/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O+0.685K</t>
    </r>
    <r>
      <rPr>
        <vertAlign val="subscript"/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O</t>
    </r>
  </si>
  <si>
    <r>
      <rPr>
        <b/>
        <sz val="11"/>
        <color indexed="8"/>
        <rFont val="宋体"/>
        <charset val="134"/>
      </rPr>
      <t>说明：</t>
    </r>
    <r>
      <rPr>
        <sz val="11"/>
        <color theme="1"/>
        <rFont val="宋体"/>
        <charset val="134"/>
        <scheme val="minor"/>
      </rPr>
      <t xml:space="preserve">
   </t>
    </r>
    <r>
      <rPr>
        <sz val="10"/>
        <color indexed="8"/>
        <rFont val="宋体"/>
        <charset val="134"/>
      </rPr>
      <t>测定14天龄期的试件伸长率。
         P</t>
    </r>
    <r>
      <rPr>
        <vertAlign val="subscript"/>
        <sz val="10"/>
        <color indexed="8"/>
        <rFont val="宋体"/>
        <charset val="134"/>
      </rPr>
      <t>14</t>
    </r>
    <r>
      <rPr>
        <sz val="10"/>
        <color indexed="8"/>
        <rFont val="宋体"/>
        <charset val="134"/>
      </rPr>
      <t>=（L</t>
    </r>
    <r>
      <rPr>
        <vertAlign val="subscript"/>
        <sz val="10"/>
        <color indexed="8"/>
        <rFont val="宋体"/>
        <charset val="134"/>
      </rPr>
      <t>14</t>
    </r>
    <r>
      <rPr>
        <sz val="10"/>
        <color indexed="8"/>
        <rFont val="宋体"/>
        <charset val="134"/>
      </rPr>
      <t>-L</t>
    </r>
    <r>
      <rPr>
        <vertAlign val="subscript"/>
        <sz val="10"/>
        <color indexed="8"/>
        <rFont val="宋体"/>
        <charset val="134"/>
      </rPr>
      <t>0</t>
    </r>
    <r>
      <rPr>
        <sz val="10"/>
        <color indexed="8"/>
        <rFont val="宋体"/>
        <charset val="134"/>
      </rPr>
      <t>）ｘ100/250</t>
    </r>
  </si>
  <si>
    <t>初凝时间</t>
  </si>
  <si>
    <t>终凝时间</t>
  </si>
  <si>
    <t>②</t>
  </si>
  <si>
    <r>
      <rPr>
        <sz val="11"/>
        <color theme="1"/>
        <rFont val="宋体"/>
        <charset val="134"/>
        <scheme val="minor"/>
      </rPr>
      <t>浸泡抗蚀性</t>
    </r>
    <r>
      <rPr>
        <sz val="9"/>
        <color indexed="8"/>
        <rFont val="宋体"/>
        <charset val="134"/>
      </rPr>
      <t>（K法）</t>
    </r>
  </si>
  <si>
    <r>
      <rPr>
        <sz val="11"/>
        <color indexed="8"/>
        <rFont val="SJQY"/>
        <charset val="134"/>
      </rPr>
      <t>&gt;</t>
    </r>
    <r>
      <rPr>
        <sz val="11"/>
        <color indexed="8"/>
        <rFont val="宋体"/>
        <charset val="134"/>
      </rPr>
      <t>45</t>
    </r>
    <r>
      <rPr>
        <sz val="11"/>
        <color indexed="8"/>
        <rFont val="SJQY"/>
        <charset val="134"/>
      </rPr>
      <t>min</t>
    </r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</si>
  <si>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390</t>
    </r>
    <r>
      <rPr>
        <sz val="11"/>
        <color indexed="8"/>
        <rFont val="SJQY"/>
        <charset val="134"/>
      </rPr>
      <t>min</t>
    </r>
  </si>
  <si>
    <t>水泥：标准砂</t>
  </si>
  <si>
    <t>1:2.5</t>
  </si>
  <si>
    <t>0.5</t>
  </si>
  <si>
    <r>
      <rPr>
        <sz val="11"/>
        <color indexed="8"/>
        <rFont val="宋体"/>
        <charset val="134"/>
      </rPr>
      <t xml:space="preserve">说明：
  </t>
    </r>
    <r>
      <rPr>
        <sz val="9"/>
        <color indexed="8"/>
        <rFont val="宋体"/>
        <charset val="134"/>
      </rPr>
      <t xml:space="preserve"> 制备好试件后，将试件放入配置的3%硫酸钠溶液中，进行养护，每天都想起加入一点硫酸（1+5）（一份浓硫酸，五份水）调节PH，是的溶液PH保持在7.0左右，可以用酚酞来作为指示剂。
     公式：
          抗折强度：</t>
    </r>
    <r>
      <rPr>
        <sz val="11"/>
        <color indexed="8"/>
        <rFont val="宋体"/>
        <charset val="134"/>
      </rPr>
      <t xml:space="preserve"> R=0.075ｘF</t>
    </r>
    <r>
      <rPr>
        <sz val="9"/>
        <color indexed="8"/>
        <rFont val="宋体"/>
        <charset val="134"/>
      </rPr>
      <t xml:space="preserve">
          抗蚀系数： </t>
    </r>
    <r>
      <rPr>
        <sz val="11"/>
        <color indexed="8"/>
        <rFont val="宋体"/>
        <charset val="134"/>
      </rPr>
      <t>K=R</t>
    </r>
    <r>
      <rPr>
        <vertAlign val="subscript"/>
        <sz val="11"/>
        <color indexed="8"/>
        <rFont val="宋体"/>
        <charset val="134"/>
      </rPr>
      <t>液</t>
    </r>
    <r>
      <rPr>
        <sz val="11"/>
        <color indexed="8"/>
        <rFont val="宋体"/>
        <charset val="134"/>
      </rPr>
      <t>/R</t>
    </r>
    <r>
      <rPr>
        <vertAlign val="subscript"/>
        <sz val="11"/>
        <color indexed="8"/>
        <rFont val="宋体"/>
        <charset val="134"/>
      </rPr>
      <t>水</t>
    </r>
  </si>
  <si>
    <t>孔隙率相同的条件，温度差小于3℃</t>
  </si>
  <si>
    <t>水泥孔隙率</t>
  </si>
  <si>
    <t>标准粉的密度</t>
  </si>
  <si>
    <t>密度计算</t>
  </si>
  <si>
    <t>质量</t>
  </si>
  <si>
    <t>第一次读数</t>
  </si>
  <si>
    <t>第二次读数</t>
  </si>
  <si>
    <t>计算值</t>
  </si>
  <si>
    <t>平均值</t>
  </si>
  <si>
    <t>密度设定值</t>
  </si>
  <si>
    <t>比表面积</t>
  </si>
  <si>
    <t>体积</t>
  </si>
  <si>
    <t>试样质量</t>
  </si>
  <si>
    <t>标准样面积</t>
  </si>
  <si>
    <t>标准样
试验时间</t>
  </si>
  <si>
    <t>被测样
试验时间</t>
  </si>
  <si>
    <t>标准样
试验温度</t>
  </si>
  <si>
    <t>被测样
试验温度</t>
  </si>
  <si>
    <t>平均</t>
  </si>
  <si>
    <t>湿度</t>
  </si>
  <si>
    <t>比表面积
设定值</t>
  </si>
  <si>
    <t>标准稠度用水量</t>
  </si>
  <si>
    <t>用水量</t>
  </si>
  <si>
    <t>深度</t>
  </si>
  <si>
    <t>标准用水量</t>
  </si>
  <si>
    <t>抗折</t>
  </si>
  <si>
    <t>Rf=1.5*L*f/b^3</t>
  </si>
  <si>
    <t>抗压</t>
  </si>
  <si>
    <t>承载面积1600</t>
  </si>
  <si>
    <t>P=f/s</t>
  </si>
  <si>
    <t>3d</t>
  </si>
  <si>
    <t>28d</t>
  </si>
  <si>
    <t>水泥：砂</t>
  </si>
  <si>
    <t>200t为一批</t>
  </si>
  <si>
    <r>
      <rPr>
        <sz val="11"/>
        <color indexed="8"/>
        <rFont val="SJQY"/>
        <charset val="134"/>
      </rPr>
      <t>1</t>
    </r>
    <r>
      <rPr>
        <sz val="11"/>
        <color indexed="8"/>
        <rFont val="宋体"/>
        <charset val="134"/>
      </rPr>
      <t>级</t>
    </r>
  </si>
  <si>
    <r>
      <rPr>
        <sz val="11"/>
        <color indexed="8"/>
        <rFont val="SJQY"/>
        <charset val="134"/>
      </rPr>
      <t>2级</t>
    </r>
  </si>
  <si>
    <r>
      <rPr>
        <sz val="11"/>
        <color indexed="8"/>
        <rFont val="SJQY"/>
        <charset val="134"/>
      </rPr>
      <t>3级</t>
    </r>
  </si>
  <si>
    <r>
      <rPr>
        <sz val="11"/>
        <color theme="1"/>
        <rFont val="宋体"/>
        <charset val="134"/>
        <scheme val="minor"/>
      </rPr>
      <t>细度（45</t>
    </r>
    <r>
      <rPr>
        <sz val="11"/>
        <color indexed="8"/>
        <rFont val="宋体"/>
        <charset val="134"/>
      </rPr>
      <t>µ</t>
    </r>
    <r>
      <rPr>
        <sz val="11"/>
        <color theme="1"/>
        <rFont val="宋体"/>
        <charset val="134"/>
        <scheme val="minor"/>
      </rPr>
      <t xml:space="preserve">m)
</t>
    </r>
    <r>
      <rPr>
        <sz val="9"/>
        <color indexed="8"/>
        <rFont val="宋体"/>
        <charset val="134"/>
      </rPr>
      <t>（不大于）</t>
    </r>
  </si>
  <si>
    <t>F类</t>
  </si>
  <si>
    <t>C类</t>
  </si>
  <si>
    <r>
      <rPr>
        <sz val="11"/>
        <color theme="1"/>
        <rFont val="宋体"/>
        <charset val="134"/>
        <scheme val="minor"/>
      </rPr>
      <t xml:space="preserve">需水比
</t>
    </r>
    <r>
      <rPr>
        <sz val="9"/>
        <color indexed="8"/>
        <rFont val="宋体"/>
        <charset val="134"/>
      </rPr>
      <t>（不大于）</t>
    </r>
  </si>
  <si>
    <r>
      <rPr>
        <sz val="11"/>
        <color theme="1"/>
        <rFont val="宋体"/>
        <charset val="134"/>
        <scheme val="minor"/>
      </rPr>
      <t xml:space="preserve">烧失量
</t>
    </r>
    <r>
      <rPr>
        <sz val="9"/>
        <color indexed="8"/>
        <rFont val="宋体"/>
        <charset val="134"/>
      </rPr>
      <t>（不大于）</t>
    </r>
  </si>
  <si>
    <r>
      <rPr>
        <sz val="11"/>
        <color theme="1"/>
        <rFont val="宋体"/>
        <charset val="134"/>
        <scheme val="minor"/>
      </rPr>
      <t xml:space="preserve">含水率
</t>
    </r>
    <r>
      <rPr>
        <sz val="9"/>
        <color indexed="8"/>
        <rFont val="宋体"/>
        <charset val="134"/>
      </rPr>
      <t>（不大于）</t>
    </r>
  </si>
  <si>
    <r>
      <rPr>
        <sz val="11"/>
        <color theme="1"/>
        <rFont val="宋体"/>
        <charset val="134"/>
        <scheme val="minor"/>
      </rPr>
      <t xml:space="preserve">三氧化硫
</t>
    </r>
    <r>
      <rPr>
        <sz val="9"/>
        <color indexed="8"/>
        <rFont val="宋体"/>
        <charset val="134"/>
      </rPr>
      <t>(不大于）</t>
    </r>
  </si>
  <si>
    <r>
      <rPr>
        <sz val="11"/>
        <color theme="1"/>
        <rFont val="宋体"/>
        <charset val="134"/>
        <scheme val="minor"/>
      </rPr>
      <t xml:space="preserve">游离氧化钙
</t>
    </r>
    <r>
      <rPr>
        <sz val="9"/>
        <color indexed="8"/>
        <rFont val="宋体"/>
        <charset val="134"/>
      </rPr>
      <t>（不大于）</t>
    </r>
  </si>
  <si>
    <r>
      <rPr>
        <sz val="11"/>
        <color theme="1"/>
        <rFont val="宋体"/>
        <charset val="134"/>
        <scheme val="minor"/>
      </rPr>
      <t xml:space="preserve">安定性
</t>
    </r>
    <r>
      <rPr>
        <sz val="9"/>
        <color indexed="8"/>
        <rFont val="宋体"/>
        <charset val="134"/>
      </rPr>
      <t>（沸煮法）</t>
    </r>
  </si>
  <si>
    <r>
      <rPr>
        <sz val="11"/>
        <color theme="1"/>
        <rFont val="宋体"/>
        <charset val="134"/>
        <scheme val="minor"/>
      </rPr>
      <t xml:space="preserve">强度活性指数
</t>
    </r>
    <r>
      <rPr>
        <sz val="9"/>
        <color indexed="8"/>
        <rFont val="宋体"/>
        <charset val="134"/>
      </rPr>
      <t>（不小于）</t>
    </r>
  </si>
  <si>
    <r>
      <rPr>
        <b/>
        <sz val="16"/>
        <color indexed="8"/>
        <rFont val="宋体"/>
        <charset val="134"/>
      </rPr>
      <t>试验测定值</t>
    </r>
    <r>
      <rPr>
        <sz val="16"/>
        <color indexed="8"/>
        <rFont val="宋体"/>
        <charset val="134"/>
      </rPr>
      <t>：</t>
    </r>
    <r>
      <rPr>
        <sz val="14"/>
        <color indexed="8"/>
        <rFont val="华文楷体"/>
        <charset val="134"/>
      </rPr>
      <t>细度，需水比，烧失量</t>
    </r>
  </si>
  <si>
    <t>1区</t>
  </si>
  <si>
    <t>2区</t>
  </si>
  <si>
    <t>称量量</t>
  </si>
  <si>
    <t>剩余量</t>
  </si>
  <si>
    <t>含量</t>
  </si>
  <si>
    <t>MB值</t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</si>
  <si>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0.5</t>
    </r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</si>
  <si>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1.0</t>
    </r>
  </si>
  <si>
    <t>含泥量</t>
  </si>
  <si>
    <t>石粉含量</t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</si>
  <si>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10</t>
    </r>
  </si>
  <si>
    <t>泥块</t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</si>
  <si>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0.0</t>
    </r>
  </si>
  <si>
    <t>泥块含量</t>
  </si>
  <si>
    <t>云母</t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</si>
  <si>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2.0</t>
    </r>
  </si>
  <si>
    <t>轻物质</t>
  </si>
  <si>
    <t>云母含量</t>
  </si>
  <si>
    <t>表观密度</t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</si>
  <si>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2500kg/m</t>
    </r>
    <r>
      <rPr>
        <vertAlign val="superscript"/>
        <sz val="11"/>
        <color indexed="8"/>
        <rFont val="宋体"/>
        <charset val="134"/>
      </rPr>
      <t>3</t>
    </r>
  </si>
  <si>
    <t>松散密度</t>
  </si>
  <si>
    <r>
      <rPr>
        <sz val="11"/>
        <color indexed="8"/>
        <rFont val="SJQY"/>
        <charset val="134"/>
      </rPr>
      <t>&gt;</t>
    </r>
    <r>
      <rPr>
        <sz val="11"/>
        <color indexed="8"/>
        <rFont val="宋体"/>
        <charset val="134"/>
      </rPr>
      <t>1400kg/m</t>
    </r>
    <r>
      <rPr>
        <vertAlign val="superscript"/>
        <sz val="11"/>
        <color indexed="8"/>
        <rFont val="宋体"/>
        <charset val="134"/>
      </rPr>
      <t>3</t>
    </r>
  </si>
  <si>
    <t>孔隙率</t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</si>
  <si>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44</t>
    </r>
  </si>
  <si>
    <t>筛孔</t>
  </si>
  <si>
    <t>底子</t>
  </si>
  <si>
    <t>模数</t>
  </si>
  <si>
    <t>分计</t>
  </si>
  <si>
    <t>总量</t>
  </si>
  <si>
    <t>散失</t>
  </si>
  <si>
    <t>均值</t>
  </si>
  <si>
    <t>上累计</t>
  </si>
  <si>
    <t>下累计</t>
  </si>
  <si>
    <t>碎石</t>
  </si>
  <si>
    <t>d&gt;4.75mm</t>
  </si>
  <si>
    <t>计算参考值</t>
  </si>
  <si>
    <t>泥或者石粉</t>
  </si>
  <si>
    <r>
      <rPr>
        <sz val="11"/>
        <color theme="1"/>
        <rFont val="宋体"/>
        <charset val="134"/>
        <scheme val="minor"/>
      </rPr>
      <t>d&lt;75</t>
    </r>
    <r>
      <rPr>
        <sz val="11"/>
        <color indexed="8"/>
        <rFont val="宋体"/>
        <charset val="134"/>
      </rPr>
      <t>µ</t>
    </r>
    <r>
      <rPr>
        <sz val="11"/>
        <color theme="1"/>
        <rFont val="宋体"/>
        <charset val="134"/>
        <scheme val="minor"/>
      </rPr>
      <t>m</t>
    </r>
  </si>
  <si>
    <r>
      <rPr>
        <sz val="11"/>
        <color theme="1"/>
        <rFont val="宋体"/>
        <charset val="134"/>
        <scheme val="minor"/>
      </rPr>
      <t>d</t>
    </r>
    <r>
      <rPr>
        <vertAlign val="subscript"/>
        <sz val="11"/>
        <color indexed="8"/>
        <rFont val="宋体"/>
        <charset val="134"/>
      </rPr>
      <t>初</t>
    </r>
    <r>
      <rPr>
        <sz val="11"/>
        <color indexed="8"/>
        <rFont val="宋体"/>
        <charset val="134"/>
      </rPr>
      <t>&gt;4.75mm 且d</t>
    </r>
    <r>
      <rPr>
        <vertAlign val="subscript"/>
        <sz val="11"/>
        <color indexed="8"/>
        <rFont val="宋体"/>
        <charset val="134"/>
      </rPr>
      <t>后</t>
    </r>
    <r>
      <rPr>
        <sz val="11"/>
        <color indexed="8"/>
        <rFont val="宋体"/>
        <charset val="134"/>
      </rPr>
      <t>&lt;2.36mm</t>
    </r>
  </si>
  <si>
    <t>3区</t>
  </si>
  <si>
    <t>泥含量</t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</si>
  <si>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1.5</t>
    </r>
  </si>
  <si>
    <t>紧密密度</t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</si>
  <si>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0</t>
    </r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</si>
  <si>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0.2</t>
    </r>
  </si>
  <si>
    <t>针片状</t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</si>
  <si>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15</t>
    </r>
  </si>
  <si>
    <t>硫化物</t>
  </si>
  <si>
    <t>5-20mm</t>
  </si>
  <si>
    <t>坚固性
质量损失</t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</si>
  <si>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8</t>
    </r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</si>
  <si>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12</t>
    </r>
  </si>
  <si>
    <t>压碎值</t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</si>
  <si>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20</t>
    </r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</si>
  <si>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30</t>
    </r>
  </si>
  <si>
    <t>松散孔隙率</t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</si>
  <si>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43</t>
    </r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</si>
  <si>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45</t>
    </r>
  </si>
  <si>
    <r>
      <rPr>
        <sz val="11"/>
        <color indexed="8"/>
        <rFont val="SJQY"/>
        <charset val="134"/>
      </rPr>
      <t>&lt;</t>
    </r>
    <r>
      <rPr>
        <sz val="11"/>
        <color indexed="8"/>
        <rFont val="宋体"/>
        <charset val="134"/>
      </rPr>
      <t>47</t>
    </r>
  </si>
  <si>
    <t>吸水率</t>
  </si>
  <si>
    <t>碱集料膨胀率</t>
  </si>
  <si>
    <t>&lt;0.10%</t>
  </si>
  <si>
    <t>温度修正系数</t>
  </si>
  <si>
    <t>温度</t>
  </si>
  <si>
    <t>系数</t>
  </si>
  <si>
    <t>16-31.5mm</t>
  </si>
  <si>
    <t>5-25mm</t>
  </si>
  <si>
    <t>筛分质量</t>
  </si>
  <si>
    <t>筛分分计设定值</t>
  </si>
  <si>
    <t>累计</t>
  </si>
  <si>
    <t>/</t>
  </si>
  <si>
    <t>5-31.5mm</t>
  </si>
  <si>
    <t>掺配比例</t>
  </si>
  <si>
    <t xml:space="preserve"> </t>
  </si>
  <si>
    <t>5-10mm</t>
  </si>
  <si>
    <t>5-10mm筛分</t>
  </si>
  <si>
    <t>5-10mm单粒粒级</t>
  </si>
  <si>
    <t>0-15</t>
  </si>
  <si>
    <t>80-100</t>
  </si>
  <si>
    <t>95-100</t>
  </si>
  <si>
    <t>选择输入</t>
  </si>
  <si>
    <t>Pi</t>
  </si>
  <si>
    <t>钢筋的型号</t>
  </si>
  <si>
    <t>焊接类型</t>
  </si>
  <si>
    <t>单面搭接焊</t>
  </si>
  <si>
    <t>母材强度
输入值</t>
  </si>
  <si>
    <t>焊缝长度</t>
  </si>
  <si>
    <t>公称截面面积</t>
  </si>
  <si>
    <t>力值</t>
  </si>
  <si>
    <t>强度参考值</t>
  </si>
  <si>
    <t>强度值</t>
  </si>
  <si>
    <t>离焊缝长度</t>
  </si>
  <si>
    <t>参数设置</t>
  </si>
  <si>
    <t>钢材种类</t>
  </si>
  <si>
    <t>钢筋原材</t>
  </si>
  <si>
    <t>HRB400</t>
  </si>
  <si>
    <t>钢筋连接</t>
  </si>
  <si>
    <t>序号</t>
  </si>
  <si>
    <t>公称直径</t>
  </si>
  <si>
    <t>采用标准</t>
  </si>
  <si>
    <t>原始标距</t>
  </si>
  <si>
    <t>断后标距</t>
  </si>
  <si>
    <t>屈服力</t>
  </si>
  <si>
    <t>屈服点</t>
  </si>
  <si>
    <t>拉断最大力</t>
  </si>
  <si>
    <t>拉断强度</t>
  </si>
  <si>
    <t>伸长率</t>
  </si>
  <si>
    <t>弯心直径</t>
  </si>
  <si>
    <t>公称内径</t>
  </si>
  <si>
    <t>公称重量</t>
  </si>
  <si>
    <t>内径偏差</t>
  </si>
  <si>
    <t>重量偏差</t>
  </si>
  <si>
    <t>mm</t>
  </si>
  <si>
    <t>%</t>
  </si>
  <si>
    <t>速凝剂性能试验记录</t>
  </si>
  <si>
    <r>
      <rPr>
        <sz val="9"/>
        <rFont val="宋体"/>
        <charset val="134"/>
      </rPr>
      <t>表号：铁建试录</t>
    </r>
    <r>
      <rPr>
        <sz val="9"/>
        <rFont val="Times New Roman"/>
        <charset val="134"/>
      </rPr>
      <t>030</t>
    </r>
  </si>
  <si>
    <r>
      <rPr>
        <sz val="9"/>
        <rFont val="宋体"/>
        <charset val="134"/>
      </rPr>
      <t>施工（监理）</t>
    </r>
    <r>
      <rPr>
        <u/>
        <sz val="9"/>
        <rFont val="宋体"/>
        <charset val="134"/>
      </rPr>
      <t xml:space="preserve"> II </t>
    </r>
    <r>
      <rPr>
        <sz val="9"/>
        <rFont val="宋体"/>
        <charset val="134"/>
      </rPr>
      <t>标段</t>
    </r>
  </si>
  <si>
    <r>
      <rPr>
        <sz val="9"/>
        <rFont val="宋体"/>
        <charset val="134"/>
      </rPr>
      <t>批准文号：铁建设函</t>
    </r>
    <r>
      <rPr>
        <sz val="9"/>
        <rFont val="Times New Roman"/>
        <charset val="134"/>
      </rPr>
      <t xml:space="preserve"> [2009]27</t>
    </r>
    <r>
      <rPr>
        <sz val="9"/>
        <rFont val="宋体"/>
        <charset val="134"/>
      </rPr>
      <t>号</t>
    </r>
  </si>
  <si>
    <t>试样编号</t>
  </si>
  <si>
    <t>记录编号</t>
  </si>
  <si>
    <t>样品产地</t>
  </si>
  <si>
    <t>委托编号</t>
  </si>
  <si>
    <t>规格种类</t>
  </si>
  <si>
    <t>委托日期</t>
  </si>
  <si>
    <t>代表数量</t>
  </si>
  <si>
    <t>试验日期</t>
  </si>
  <si>
    <t>仪器设备          及                环境条件</t>
  </si>
  <si>
    <t>仪器设备名称</t>
  </si>
  <si>
    <t>型号</t>
  </si>
  <si>
    <t>管理编号</t>
  </si>
  <si>
    <t>示值范围</t>
  </si>
  <si>
    <t>分辨力</t>
  </si>
  <si>
    <t>温度（℃）</t>
  </si>
  <si>
    <t>相对     湿度（%）</t>
  </si>
  <si>
    <t>水泥稠度凝结时间测定仪</t>
  </si>
  <si>
    <t>水泥胶砂振实台</t>
  </si>
  <si>
    <t>微机控制压力试验机</t>
  </si>
  <si>
    <t>样品状态描述</t>
  </si>
  <si>
    <t>（1）固体含量</t>
  </si>
  <si>
    <r>
      <rPr>
        <sz val="9"/>
        <rFont val="宋体"/>
        <charset val="134"/>
      </rPr>
      <t>称样瓶质量m</t>
    </r>
    <r>
      <rPr>
        <vertAlign val="subscript"/>
        <sz val="9"/>
        <rFont val="宋体"/>
        <charset val="134"/>
      </rPr>
      <t>o</t>
    </r>
    <r>
      <rPr>
        <sz val="9"/>
        <rFont val="宋体"/>
        <charset val="134"/>
      </rPr>
      <t>(g)</t>
    </r>
  </si>
  <si>
    <r>
      <rPr>
        <sz val="9"/>
        <rFont val="宋体"/>
        <charset val="134"/>
      </rPr>
      <t>称样瓶+试样质量m</t>
    </r>
    <r>
      <rPr>
        <vertAlign val="subscript"/>
        <sz val="9"/>
        <rFont val="宋体"/>
        <charset val="134"/>
      </rPr>
      <t>1</t>
    </r>
    <r>
      <rPr>
        <sz val="9"/>
        <rFont val="宋体"/>
        <charset val="134"/>
      </rPr>
      <t>(g)</t>
    </r>
  </si>
  <si>
    <r>
      <rPr>
        <sz val="9"/>
        <rFont val="宋体"/>
        <charset val="134"/>
      </rPr>
      <t>称样瓶+烘干试样质量m</t>
    </r>
    <r>
      <rPr>
        <vertAlign val="subscript"/>
        <sz val="9"/>
        <rFont val="宋体"/>
        <charset val="134"/>
      </rPr>
      <t>2</t>
    </r>
    <r>
      <rPr>
        <sz val="9"/>
        <rFont val="宋体"/>
        <charset val="134"/>
      </rPr>
      <t>（g）</t>
    </r>
  </si>
  <si>
    <t>固体含量G（%）</t>
  </si>
  <si>
    <t>单值</t>
  </si>
  <si>
    <t>（2）掺速凝剂净浆凝结时间测定</t>
  </si>
  <si>
    <r>
      <rPr>
        <sz val="9"/>
        <rFont val="宋体"/>
        <charset val="134"/>
      </rPr>
      <t>速凝剂掺量（</t>
    </r>
    <r>
      <rPr>
        <sz val="9"/>
        <rFont val="Times New Roman"/>
        <charset val="134"/>
      </rPr>
      <t>%</t>
    </r>
    <r>
      <rPr>
        <sz val="9"/>
        <rFont val="宋体"/>
        <charset val="134"/>
      </rPr>
      <t>）</t>
    </r>
  </si>
  <si>
    <t>测定次数</t>
  </si>
  <si>
    <t>初凝时间（min：sec）</t>
  </si>
  <si>
    <t>终凝时刻（min：sec）</t>
  </si>
  <si>
    <r>
      <rPr>
        <sz val="9"/>
        <rFont val="宋体"/>
        <charset val="134"/>
      </rPr>
      <t>（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）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掺速凝剂砂浆</t>
    </r>
    <r>
      <rPr>
        <sz val="9"/>
        <rFont val="Times New Roman"/>
        <charset val="134"/>
      </rPr>
      <t>1d</t>
    </r>
    <r>
      <rPr>
        <sz val="9"/>
        <rFont val="宋体"/>
        <charset val="134"/>
      </rPr>
      <t>抗压强度</t>
    </r>
  </si>
  <si>
    <t>速凝剂掺量（%）</t>
  </si>
  <si>
    <t>制件日期</t>
  </si>
  <si>
    <r>
      <rPr>
        <sz val="9"/>
        <rFont val="宋体"/>
        <charset val="134"/>
      </rPr>
      <t>受压面积</t>
    </r>
    <r>
      <rPr>
        <i/>
        <sz val="9"/>
        <rFont val="宋体"/>
        <charset val="134"/>
      </rPr>
      <t>S</t>
    </r>
    <r>
      <rPr>
        <sz val="9"/>
        <rFont val="宋体"/>
        <charset val="134"/>
      </rPr>
      <t>（mm</t>
    </r>
    <r>
      <rPr>
        <vertAlign val="superscript"/>
        <sz val="9"/>
        <rFont val="宋体"/>
        <charset val="134"/>
      </rPr>
      <t>2</t>
    </r>
    <r>
      <rPr>
        <sz val="9"/>
        <rFont val="宋体"/>
        <charset val="134"/>
      </rPr>
      <t>）</t>
    </r>
  </si>
  <si>
    <r>
      <rPr>
        <sz val="9"/>
        <rFont val="宋体"/>
        <charset val="134"/>
      </rPr>
      <t>荷载</t>
    </r>
    <r>
      <rPr>
        <i/>
        <sz val="9"/>
        <rFont val="宋体"/>
        <charset val="134"/>
      </rPr>
      <t xml:space="preserve">F                            </t>
    </r>
    <r>
      <rPr>
        <sz val="9"/>
        <rFont val="宋体"/>
        <charset val="134"/>
      </rPr>
      <t>（kN）</t>
    </r>
  </si>
  <si>
    <r>
      <rPr>
        <sz val="9"/>
        <rFont val="宋体"/>
        <charset val="134"/>
      </rPr>
      <t>抗压强度</t>
    </r>
    <r>
      <rPr>
        <i/>
        <sz val="9"/>
        <rFont val="宋体"/>
        <charset val="134"/>
      </rPr>
      <t>f</t>
    </r>
    <r>
      <rPr>
        <sz val="9"/>
        <rFont val="宋体"/>
        <charset val="134"/>
      </rPr>
      <t>（MPa）f=F/S</t>
    </r>
  </si>
  <si>
    <t>单块值</t>
  </si>
  <si>
    <t>组值</t>
  </si>
  <si>
    <t>（4） 掺速凝剂砂浆28d抗压强度比</t>
  </si>
  <si>
    <t>项目</t>
  </si>
  <si>
    <r>
      <rPr>
        <sz val="9"/>
        <rFont val="宋体"/>
        <charset val="134"/>
      </rPr>
      <t>荷载</t>
    </r>
    <r>
      <rPr>
        <i/>
        <sz val="9"/>
        <rFont val="宋体"/>
        <charset val="134"/>
      </rPr>
      <t>F</t>
    </r>
    <r>
      <rPr>
        <sz val="9"/>
        <rFont val="宋体"/>
        <charset val="134"/>
      </rPr>
      <t>（kN）</t>
    </r>
  </si>
  <si>
    <t>掺速凝剂砂浆抗压强度f1（MPa）</t>
  </si>
  <si>
    <t>不掺速凝剂砂浆抗压强度f0（MPa）</t>
  </si>
  <si>
    <r>
      <rPr>
        <sz val="9"/>
        <rFont val="宋体"/>
        <charset val="134"/>
      </rPr>
      <t>抗压强度比</t>
    </r>
    <r>
      <rPr>
        <i/>
        <sz val="9"/>
        <rFont val="Times New Roman"/>
        <charset val="134"/>
      </rPr>
      <t>R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%</t>
    </r>
    <r>
      <rPr>
        <sz val="9"/>
        <rFont val="宋体"/>
        <charset val="134"/>
      </rPr>
      <t>）</t>
    </r>
    <r>
      <rPr>
        <sz val="9"/>
        <rFont val="Times New Roman"/>
        <charset val="134"/>
      </rPr>
      <t xml:space="preserve">  </t>
    </r>
    <r>
      <rPr>
        <i/>
        <sz val="9"/>
        <rFont val="Times New Roman"/>
        <charset val="134"/>
      </rPr>
      <t>R</t>
    </r>
    <r>
      <rPr>
        <sz val="9"/>
        <rFont val="宋体"/>
        <charset val="134"/>
      </rPr>
      <t>＝</t>
    </r>
    <r>
      <rPr>
        <i/>
        <sz val="9"/>
        <rFont val="宋体"/>
        <charset val="134"/>
      </rPr>
      <t>f</t>
    </r>
    <r>
      <rPr>
        <vertAlign val="subscript"/>
        <sz val="9"/>
        <rFont val="宋体"/>
        <charset val="134"/>
      </rPr>
      <t>1</t>
    </r>
    <r>
      <rPr>
        <sz val="9"/>
        <rFont val="Times New Roman"/>
        <charset val="134"/>
      </rPr>
      <t>/</t>
    </r>
    <r>
      <rPr>
        <i/>
        <sz val="9"/>
        <rFont val="Times New Roman"/>
        <charset val="134"/>
      </rPr>
      <t xml:space="preserve"> </t>
    </r>
    <r>
      <rPr>
        <i/>
        <sz val="9"/>
        <rFont val="宋体"/>
        <charset val="134"/>
      </rPr>
      <t>f</t>
    </r>
    <r>
      <rPr>
        <vertAlign val="subscript"/>
        <sz val="9"/>
        <rFont val="宋体"/>
        <charset val="134"/>
      </rPr>
      <t>0</t>
    </r>
    <r>
      <rPr>
        <sz val="9"/>
        <rFont val="宋体"/>
        <charset val="134"/>
      </rPr>
      <t>×</t>
    </r>
    <r>
      <rPr>
        <sz val="9"/>
        <rFont val="Times New Roman"/>
        <charset val="134"/>
      </rPr>
      <t>100</t>
    </r>
  </si>
  <si>
    <t>附注：</t>
  </si>
  <si>
    <t>试验</t>
  </si>
  <si>
    <t>×××</t>
  </si>
  <si>
    <t>计算</t>
  </si>
  <si>
    <t>复核</t>
  </si>
  <si>
    <t>减水率</t>
  </si>
  <si>
    <t>基准混泥土单位用水量Wo</t>
  </si>
  <si>
    <t>掺外用水量</t>
  </si>
  <si>
    <t>泌水率比
压力泌水率</t>
  </si>
  <si>
    <r>
      <rPr>
        <sz val="9"/>
        <rFont val="宋体"/>
        <charset val="134"/>
      </rPr>
      <t>筒质量   G</t>
    </r>
    <r>
      <rPr>
        <vertAlign val="subscript"/>
        <sz val="9"/>
        <rFont val="宋体"/>
        <charset val="134"/>
      </rPr>
      <t>0</t>
    </r>
    <r>
      <rPr>
        <sz val="9"/>
        <rFont val="宋体"/>
        <charset val="134"/>
      </rPr>
      <t>(g)</t>
    </r>
  </si>
  <si>
    <t>筒及试</t>
  </si>
  <si>
    <t>拌合物</t>
  </si>
  <si>
    <r>
      <rPr>
        <sz val="9"/>
        <rFont val="宋体"/>
        <charset val="134"/>
      </rPr>
      <t>泌水率量V</t>
    </r>
    <r>
      <rPr>
        <vertAlign val="subscript"/>
        <sz val="9"/>
        <rFont val="宋体"/>
        <charset val="134"/>
      </rPr>
      <t>W</t>
    </r>
    <r>
      <rPr>
        <sz val="9"/>
        <rFont val="宋体"/>
        <charset val="134"/>
      </rPr>
      <t>（ml）</t>
    </r>
  </si>
  <si>
    <t>泌水率Bc(Bt) (%)={Vw/  [(W/G)Gw]}×100</t>
  </si>
  <si>
    <t>泌水率比BR（%）</t>
  </si>
  <si>
    <t>样质量</t>
  </si>
  <si>
    <r>
      <rPr>
        <sz val="9"/>
        <rFont val="宋体"/>
        <charset val="134"/>
      </rPr>
      <t>G</t>
    </r>
    <r>
      <rPr>
        <vertAlign val="subscript"/>
        <sz val="9"/>
        <rFont val="宋体"/>
        <charset val="134"/>
      </rPr>
      <t>W</t>
    </r>
    <r>
      <rPr>
        <sz val="9"/>
        <rFont val="宋体"/>
        <charset val="134"/>
      </rPr>
      <t>(g)=</t>
    </r>
  </si>
  <si>
    <t>总质量</t>
  </si>
  <si>
    <t>常压泌</t>
  </si>
  <si>
    <t>压力泌水量</t>
  </si>
  <si>
    <t>BR=(Bt/Bc)×100</t>
  </si>
  <si>
    <r>
      <rPr>
        <sz val="9"/>
        <rFont val="宋体"/>
        <charset val="134"/>
      </rPr>
      <t>G</t>
    </r>
    <r>
      <rPr>
        <vertAlign val="subscript"/>
        <sz val="9"/>
        <rFont val="宋体"/>
        <charset val="134"/>
      </rPr>
      <t>1</t>
    </r>
    <r>
      <rPr>
        <sz val="9"/>
        <rFont val="宋体"/>
        <charset val="134"/>
      </rPr>
      <t>(g)</t>
    </r>
  </si>
  <si>
    <r>
      <rPr>
        <sz val="9"/>
        <rFont val="宋体"/>
        <charset val="134"/>
      </rPr>
      <t>G</t>
    </r>
    <r>
      <rPr>
        <vertAlign val="subscript"/>
        <sz val="9"/>
        <rFont val="宋体"/>
        <charset val="134"/>
      </rPr>
      <t>1</t>
    </r>
    <r>
      <rPr>
        <sz val="9"/>
        <rFont val="宋体"/>
        <charset val="134"/>
      </rPr>
      <t>-G</t>
    </r>
    <r>
      <rPr>
        <vertAlign val="subscript"/>
        <sz val="9"/>
        <rFont val="宋体"/>
        <charset val="134"/>
      </rPr>
      <t>0</t>
    </r>
  </si>
  <si>
    <t>W（g）</t>
  </si>
  <si>
    <t>G（g）</t>
  </si>
  <si>
    <t>水量</t>
  </si>
  <si>
    <t>加压10s</t>
  </si>
  <si>
    <t>加压140s</t>
  </si>
  <si>
    <t>常压单值</t>
  </si>
  <si>
    <t>常压均值</t>
  </si>
  <si>
    <t>常压</t>
  </si>
  <si>
    <t>压力</t>
  </si>
  <si>
    <t>基准混凝     土（c）</t>
  </si>
  <si>
    <t>掺外加剂混凝土（t）</t>
  </si>
  <si>
    <t>（3）含气量</t>
  </si>
  <si>
    <t>骨料含气量Ag（%)</t>
  </si>
  <si>
    <r>
      <rPr>
        <sz val="9"/>
        <rFont val="宋体"/>
        <charset val="134"/>
      </rPr>
      <t>混凝土拌和物含气量测定值A</t>
    </r>
    <r>
      <rPr>
        <vertAlign val="subscript"/>
        <sz val="9"/>
        <rFont val="宋体"/>
        <charset val="134"/>
      </rPr>
      <t>0</t>
    </r>
    <r>
      <rPr>
        <sz val="9"/>
        <rFont val="宋体"/>
        <charset val="134"/>
      </rPr>
      <t>（%）</t>
    </r>
  </si>
  <si>
    <r>
      <rPr>
        <sz val="9"/>
        <rFont val="宋体"/>
        <charset val="134"/>
      </rPr>
      <t>混凝土拌和物含气量A（%）A=A</t>
    </r>
    <r>
      <rPr>
        <vertAlign val="subscript"/>
        <sz val="9"/>
        <rFont val="宋体"/>
        <charset val="134"/>
      </rPr>
      <t>0</t>
    </r>
    <r>
      <rPr>
        <sz val="9"/>
        <rFont val="宋体"/>
        <charset val="134"/>
      </rPr>
      <t>-Ag</t>
    </r>
  </si>
  <si>
    <t>配合比编号</t>
  </si>
  <si>
    <t>龄期（d）</t>
  </si>
  <si>
    <t>试件尺寸（mm）</t>
  </si>
  <si>
    <t>破坏荷载（kN）</t>
  </si>
  <si>
    <t>抗压强度（MPa）</t>
  </si>
  <si>
    <t>抗压强度比                            Rs（%）=（St/Sc)×100</t>
  </si>
  <si>
    <t>1d</t>
  </si>
  <si>
    <t>7d</t>
  </si>
  <si>
    <t>掺外加剂混凝土强度St（MPa）</t>
  </si>
  <si>
    <t>150*150*150</t>
  </si>
  <si>
    <t>基准混凝土强度Sc（MPa）</t>
  </si>
  <si>
    <t>修约间隔</t>
  </si>
  <si>
    <t>要修约的值</t>
  </si>
  <si>
    <t>修约公式</t>
  </si>
  <si>
    <t>修约值</t>
  </si>
  <si>
    <t>round（a,0）-(mod(a*10,20)=5)</t>
  </si>
  <si>
    <t>(round(a*0.5,0)-(mod(a*5,20)=5))/0.5</t>
  </si>
  <si>
    <t>(round(a*0.2,0)-(mod(a*2,20)=5))/0.2</t>
  </si>
  <si>
    <t>(round(a/10,0)-(mod(a,20)=5))*10</t>
  </si>
  <si>
    <t>(round(a*10,0)-(mod(a*100,20)=5))/10</t>
  </si>
  <si>
    <t>(round(a*100,0)-(mod(a*1000,20)=5））/100</t>
  </si>
  <si>
    <t>(round(a*1000,0)-(mod(a*10000,20)=5))/1000</t>
  </si>
  <si>
    <t>最终
细度模数：</t>
  </si>
  <si>
    <t>筛分质量
输入值</t>
  </si>
  <si>
    <t>1组：</t>
  </si>
  <si>
    <t>筛余量
输入值</t>
  </si>
  <si>
    <t>分级筛余量</t>
  </si>
  <si>
    <t>累计筛余量</t>
  </si>
  <si>
    <t>级配下限</t>
  </si>
  <si>
    <t>级配上限</t>
  </si>
  <si>
    <t>标准</t>
  </si>
  <si>
    <t>不能超</t>
  </si>
  <si>
    <t>总和：</t>
  </si>
  <si>
    <t>细度模数：</t>
  </si>
  <si>
    <t>级配</t>
  </si>
  <si>
    <t>累计值</t>
  </si>
  <si>
    <t>散失：</t>
  </si>
  <si>
    <t>2组：</t>
  </si>
</sst>
</file>

<file path=xl/styles.xml><?xml version="1.0" encoding="utf-8"?>
<styleSheet xmlns="http://schemas.openxmlformats.org/spreadsheetml/2006/main">
  <numFmts count="25">
    <numFmt numFmtId="41" formatCode="_ * #,##0_ ;_ * \-#,##0_ ;_ * &quot;-&quot;_ ;_ @_ "/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.000000_ "/>
    <numFmt numFmtId="178" formatCode="0.0%"/>
    <numFmt numFmtId="179" formatCode="0.0"/>
    <numFmt numFmtId="180" formatCode="0_ "/>
    <numFmt numFmtId="181" formatCode="yyyy&quot;年&quot;mm&quot;月&quot;dd&quot;日&quot;"/>
    <numFmt numFmtId="182" formatCode="0.000"/>
    <numFmt numFmtId="183" formatCode="0.0_ "/>
    <numFmt numFmtId="184" formatCode="0;_"/>
    <numFmt numFmtId="185" formatCode="0;_"/>
    <numFmt numFmtId="186" formatCode="0;_ꐀ"/>
    <numFmt numFmtId="187" formatCode="0.00_);[Red]\(0.00\)"/>
    <numFmt numFmtId="188" formatCode="0.0_);[Red]\(0.0\)"/>
    <numFmt numFmtId="189" formatCode="0;_䐀"/>
    <numFmt numFmtId="190" formatCode="0.000_ "/>
    <numFmt numFmtId="191" formatCode="0.0000_);[Red]\(0.0000\)"/>
    <numFmt numFmtId="192" formatCode="0.0_);\(0.0\)"/>
    <numFmt numFmtId="193" formatCode="0.0000_ "/>
    <numFmt numFmtId="194" formatCode="h:mm:ss;@"/>
    <numFmt numFmtId="195" formatCode="0_);[Red]\(0\)"/>
    <numFmt numFmtId="196" formatCode="[$-F400]h:mm:ss\ AM/PM"/>
  </numFmts>
  <fonts count="59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7"/>
      <name val="宋体"/>
      <charset val="134"/>
    </font>
    <font>
      <sz val="6"/>
      <name val="宋体"/>
      <charset val="134"/>
    </font>
    <font>
      <sz val="7.5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0.5"/>
      <name val="黑体"/>
      <charset val="134"/>
    </font>
    <font>
      <sz val="11"/>
      <name val="宋体"/>
      <charset val="134"/>
    </font>
    <font>
      <sz val="9"/>
      <name val="Times New Roman"/>
      <charset val="134"/>
    </font>
    <font>
      <sz val="12"/>
      <color indexed="10"/>
      <name val="宋体"/>
      <charset val="134"/>
    </font>
    <font>
      <sz val="12"/>
      <name val="宋体"/>
      <charset val="134"/>
    </font>
    <font>
      <sz val="11"/>
      <color indexed="8"/>
      <name val="SJQY"/>
      <charset val="134"/>
    </font>
    <font>
      <sz val="9"/>
      <color indexed="8"/>
      <name val="宋体"/>
      <charset val="134"/>
    </font>
    <font>
      <sz val="18"/>
      <color indexed="8"/>
      <name val="华文行楷"/>
      <charset val="134"/>
    </font>
    <font>
      <sz val="8"/>
      <name val="宋体"/>
      <charset val="134"/>
    </font>
    <font>
      <sz val="11"/>
      <color indexed="10"/>
      <name val="宋体"/>
      <charset val="134"/>
    </font>
    <font>
      <sz val="24"/>
      <color indexed="8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sz val="16"/>
      <color indexed="8"/>
      <name val="华文行楷"/>
      <charset val="134"/>
    </font>
    <font>
      <sz val="14"/>
      <color indexed="8"/>
      <name val="华文行楷"/>
      <charset val="134"/>
    </font>
    <font>
      <b/>
      <sz val="11"/>
      <color indexed="8"/>
      <name val="华文楷体"/>
      <charset val="134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vertAlign val="subscript"/>
      <sz val="9"/>
      <name val="宋体"/>
      <charset val="134"/>
    </font>
    <font>
      <u/>
      <sz val="9"/>
      <name val="宋体"/>
      <charset val="134"/>
    </font>
    <font>
      <i/>
      <sz val="9"/>
      <name val="宋体"/>
      <charset val="134"/>
    </font>
    <font>
      <vertAlign val="superscript"/>
      <sz val="9"/>
      <name val="宋体"/>
      <charset val="134"/>
    </font>
    <font>
      <i/>
      <sz val="9"/>
      <name val="Times New Roman"/>
      <charset val="134"/>
    </font>
    <font>
      <vertAlign val="subscript"/>
      <sz val="11"/>
      <color indexed="8"/>
      <name val="宋体"/>
      <charset val="134"/>
    </font>
    <font>
      <vertAlign val="superscript"/>
      <sz val="11"/>
      <color indexed="8"/>
      <name val="宋体"/>
      <charset val="134"/>
    </font>
    <font>
      <b/>
      <sz val="16"/>
      <color indexed="8"/>
      <name val="宋体"/>
      <charset val="134"/>
    </font>
    <font>
      <sz val="14"/>
      <color indexed="8"/>
      <name val="华文楷体"/>
      <charset val="134"/>
    </font>
    <font>
      <sz val="10"/>
      <color indexed="8"/>
      <name val="SJQY"/>
      <charset val="134"/>
    </font>
    <font>
      <vertAlign val="superscript"/>
      <sz val="10"/>
      <color indexed="8"/>
      <name val="宋体"/>
      <charset val="134"/>
    </font>
    <font>
      <vertAlign val="subscript"/>
      <sz val="10"/>
      <color indexed="8"/>
      <name val="宋体"/>
      <charset val="134"/>
    </font>
    <font>
      <sz val="9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slantDashDot">
        <color indexed="57"/>
      </left>
      <right/>
      <top style="slantDashDot">
        <color indexed="57"/>
      </top>
      <bottom/>
      <diagonal/>
    </border>
    <border>
      <left style="slantDashDot">
        <color indexed="57"/>
      </left>
      <right/>
      <top/>
      <bottom/>
      <diagonal/>
    </border>
    <border>
      <left style="slantDashDot">
        <color indexed="57"/>
      </left>
      <right/>
      <top/>
      <bottom style="slantDashDot">
        <color indexed="57"/>
      </bottom>
      <diagonal/>
    </border>
    <border>
      <left/>
      <right/>
      <top style="slantDashDot">
        <color indexed="57"/>
      </top>
      <bottom/>
      <diagonal/>
    </border>
    <border>
      <left/>
      <right/>
      <top/>
      <bottom style="slantDashDot">
        <color indexed="57"/>
      </bottom>
      <diagonal/>
    </border>
    <border>
      <left/>
      <right style="slantDashDot">
        <color indexed="57"/>
      </right>
      <top style="slantDashDot">
        <color indexed="57"/>
      </top>
      <bottom/>
      <diagonal/>
    </border>
    <border>
      <left/>
      <right style="slantDashDot">
        <color indexed="57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slantDashDot">
        <color indexed="57"/>
      </right>
      <top/>
      <bottom style="slantDashDot">
        <color indexed="57"/>
      </bottom>
      <diagonal/>
    </border>
    <border>
      <left style="slantDashDot">
        <color indexed="10"/>
      </left>
      <right/>
      <top style="slantDashDot">
        <color indexed="10"/>
      </top>
      <bottom/>
      <diagonal/>
    </border>
    <border>
      <left style="slantDashDot">
        <color indexed="1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slantDashDot">
        <color indexed="10"/>
      </left>
      <right/>
      <top/>
      <bottom/>
      <diagonal/>
    </border>
    <border>
      <left style="slantDashDot">
        <color indexed="10"/>
      </left>
      <right/>
      <top style="thin">
        <color auto="1"/>
      </top>
      <bottom style="thin">
        <color auto="1"/>
      </bottom>
      <diagonal/>
    </border>
    <border>
      <left style="slantDashDot">
        <color indexed="10"/>
      </left>
      <right style="thin">
        <color auto="1"/>
      </right>
      <top style="thin">
        <color auto="1"/>
      </top>
      <bottom/>
      <diagonal/>
    </border>
    <border>
      <left style="slantDashDot">
        <color indexed="10"/>
      </left>
      <right style="thin">
        <color auto="1"/>
      </right>
      <top/>
      <bottom style="thin">
        <color auto="1"/>
      </bottom>
      <diagonal/>
    </border>
    <border>
      <left style="slantDashDot">
        <color indexed="10"/>
      </left>
      <right/>
      <top/>
      <bottom style="slantDashDot">
        <color indexed="10"/>
      </bottom>
      <diagonal/>
    </border>
    <border>
      <left/>
      <right/>
      <top style="slantDashDot">
        <color indexed="10"/>
      </top>
      <bottom/>
      <diagonal/>
    </border>
    <border>
      <left/>
      <right style="slantDashDot">
        <color indexed="10"/>
      </right>
      <top style="slantDashDot">
        <color indexed="10"/>
      </top>
      <bottom/>
      <diagonal/>
    </border>
    <border>
      <left/>
      <right style="slantDashDot">
        <color indexed="10"/>
      </right>
      <top/>
      <bottom/>
      <diagonal/>
    </border>
    <border>
      <left style="thin">
        <color auto="1"/>
      </left>
      <right style="slantDashDot">
        <color indexed="10"/>
      </right>
      <top style="thin">
        <color auto="1"/>
      </top>
      <bottom style="thin">
        <color auto="1"/>
      </bottom>
      <diagonal/>
    </border>
    <border>
      <left/>
      <right style="slantDashDot">
        <color indexed="1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slantDashDot">
        <color indexed="10"/>
      </bottom>
      <diagonal/>
    </border>
    <border>
      <left/>
      <right style="slantDashDot">
        <color indexed="10"/>
      </right>
      <top/>
      <bottom style="slantDashDot">
        <color indexed="10"/>
      </bottom>
      <diagonal/>
    </border>
    <border>
      <left style="mediumDashed">
        <color indexed="36"/>
      </left>
      <right/>
      <top style="mediumDashed">
        <color indexed="36"/>
      </top>
      <bottom/>
      <diagonal/>
    </border>
    <border>
      <left style="mediumDashed">
        <color indexed="36"/>
      </left>
      <right/>
      <top/>
      <bottom/>
      <diagonal/>
    </border>
    <border>
      <left style="mediumDashed">
        <color indexed="36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Dashed">
        <color indexed="36"/>
      </left>
      <right/>
      <top/>
      <bottom style="mediumDashed">
        <color indexed="36"/>
      </bottom>
      <diagonal/>
    </border>
    <border>
      <left/>
      <right/>
      <top style="mediumDashed">
        <color indexed="36"/>
      </top>
      <bottom/>
      <diagonal/>
    </border>
    <border>
      <left/>
      <right/>
      <top/>
      <bottom style="mediumDashed">
        <color indexed="36"/>
      </bottom>
      <diagonal/>
    </border>
    <border>
      <left/>
      <right style="mediumDashed">
        <color indexed="36"/>
      </right>
      <top style="mediumDashed">
        <color indexed="36"/>
      </top>
      <bottom/>
      <diagonal/>
    </border>
    <border>
      <left/>
      <right style="mediumDashed">
        <color indexed="36"/>
      </right>
      <top/>
      <bottom/>
      <diagonal/>
    </border>
    <border>
      <left style="thin">
        <color auto="1"/>
      </left>
      <right style="mediumDashed">
        <color indexed="36"/>
      </right>
      <top style="thin">
        <color auto="1"/>
      </top>
      <bottom style="thin">
        <color auto="1"/>
      </bottom>
      <diagonal/>
    </border>
    <border>
      <left/>
      <right style="mediumDashed">
        <color indexed="36"/>
      </right>
      <top/>
      <bottom style="mediumDashed">
        <color indexed="3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0" fillId="32" borderId="6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52" borderId="67" applyNumberFormat="0" applyFont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5" fillId="0" borderId="62" applyNumberFormat="0" applyFill="0" applyAlignment="0" applyProtection="0">
      <alignment vertical="center"/>
    </xf>
    <xf numFmtId="0" fontId="38" fillId="0" borderId="62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6" fillId="0" borderId="64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29" fillId="31" borderId="60" applyNumberFormat="0" applyAlignment="0" applyProtection="0">
      <alignment vertical="center"/>
    </xf>
    <xf numFmtId="0" fontId="32" fillId="31" borderId="61" applyNumberFormat="0" applyAlignment="0" applyProtection="0">
      <alignment vertical="center"/>
    </xf>
    <xf numFmtId="0" fontId="44" fillId="51" borderId="66" applyNumberFormat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3" fillId="0" borderId="65" applyNumberFormat="0" applyFill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</cellStyleXfs>
  <cellXfs count="4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" fontId="0" fillId="0" borderId="0" xfId="0" applyNumberFormat="1">
      <alignment vertical="center"/>
    </xf>
    <xf numFmtId="2" fontId="0" fillId="0" borderId="1" xfId="0" applyNumberFormat="1" applyBorder="1" applyAlignment="1">
      <alignment horizontal="left" vertical="center"/>
    </xf>
    <xf numFmtId="179" fontId="0" fillId="0" borderId="1" xfId="0" applyNumberFormat="1" applyBorder="1">
      <alignment vertical="center"/>
    </xf>
    <xf numFmtId="179" fontId="0" fillId="0" borderId="0" xfId="0" applyNumberForma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79" fontId="1" fillId="9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18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83" fontId="4" fillId="0" borderId="1" xfId="0" applyNumberFormat="1" applyFont="1" applyBorder="1" applyAlignment="1">
      <alignment horizontal="center" vertical="center" wrapText="1"/>
    </xf>
    <xf numFmtId="183" fontId="4" fillId="0" borderId="1" xfId="8" applyNumberFormat="1" applyFont="1" applyBorder="1" applyAlignment="1">
      <alignment horizontal="center" vertical="center" wrapText="1"/>
    </xf>
    <xf numFmtId="183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83" fontId="6" fillId="0" borderId="2" xfId="0" applyNumberFormat="1" applyFont="1" applyBorder="1" applyAlignment="1">
      <alignment horizontal="center" vertical="center" wrapText="1"/>
    </xf>
    <xf numFmtId="183" fontId="6" fillId="0" borderId="6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80" fontId="6" fillId="0" borderId="1" xfId="0" applyNumberFormat="1" applyFont="1" applyBorder="1" applyAlignment="1">
      <alignment horizontal="center" vertical="center" wrapText="1"/>
    </xf>
    <xf numFmtId="186" fontId="6" fillId="0" borderId="1" xfId="0" applyNumberFormat="1" applyFont="1" applyBorder="1" applyAlignment="1">
      <alignment horizontal="center" vertical="center" wrapText="1"/>
    </xf>
    <xf numFmtId="189" fontId="6" fillId="10" borderId="1" xfId="0" applyNumberFormat="1" applyFont="1" applyFill="1" applyBorder="1" applyAlignment="1">
      <alignment horizontal="center" vertical="center" wrapText="1"/>
    </xf>
    <xf numFmtId="185" fontId="6" fillId="10" borderId="1" xfId="0" applyNumberFormat="1" applyFont="1" applyFill="1" applyBorder="1" applyAlignment="1">
      <alignment horizontal="center" vertical="center" wrapText="1"/>
    </xf>
    <xf numFmtId="190" fontId="4" fillId="0" borderId="0" xfId="0" applyNumberFormat="1" applyFont="1" applyAlignment="1">
      <alignment vertical="center" wrapText="1"/>
    </xf>
    <xf numFmtId="177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191" fontId="12" fillId="0" borderId="1" xfId="0" applyNumberFormat="1" applyFont="1" applyBorder="1" applyAlignment="1">
      <alignment horizontal="center" vertical="center" wrapText="1"/>
    </xf>
    <xf numFmtId="191" fontId="12" fillId="0" borderId="2" xfId="0" applyNumberFormat="1" applyFont="1" applyBorder="1" applyAlignment="1">
      <alignment horizontal="center" vertical="center" wrapText="1"/>
    </xf>
    <xf numFmtId="193" fontId="12" fillId="0" borderId="1" xfId="0" applyNumberFormat="1" applyFont="1" applyBorder="1" applyAlignment="1">
      <alignment horizontal="center" vertical="center"/>
    </xf>
    <xf numFmtId="193" fontId="12" fillId="0" borderId="2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183" fontId="4" fillId="0" borderId="15" xfId="0" applyNumberFormat="1" applyFont="1" applyBorder="1" applyAlignment="1">
      <alignment horizontal="center" vertical="center" wrapText="1"/>
    </xf>
    <xf numFmtId="45" fontId="4" fillId="0" borderId="1" xfId="0" applyNumberFormat="1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181" fontId="4" fillId="0" borderId="1" xfId="0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justify" vertical="top" wrapText="1"/>
    </xf>
    <xf numFmtId="0" fontId="4" fillId="0" borderId="19" xfId="0" applyFont="1" applyBorder="1" applyAlignment="1">
      <alignment horizontal="justify" vertical="top" wrapText="1"/>
    </xf>
    <xf numFmtId="0" fontId="4" fillId="0" borderId="0" xfId="0" applyFont="1" applyAlignment="1">
      <alignment horizontal="right" vertical="center"/>
    </xf>
    <xf numFmtId="0" fontId="4" fillId="0" borderId="10" xfId="0" applyFont="1" applyBorder="1">
      <alignment vertical="center"/>
    </xf>
    <xf numFmtId="0" fontId="0" fillId="0" borderId="10" xfId="0" applyFont="1" applyBorder="1">
      <alignment vertical="center"/>
    </xf>
    <xf numFmtId="0" fontId="4" fillId="0" borderId="0" xfId="0" applyFont="1" applyAlignment="1">
      <alignment horizontal="left" vertical="center"/>
    </xf>
    <xf numFmtId="49" fontId="10" fillId="0" borderId="12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88" fontId="12" fillId="0" borderId="6" xfId="0" applyNumberFormat="1" applyFont="1" applyFill="1" applyBorder="1" applyAlignment="1">
      <alignment horizontal="center" vertical="center" wrapText="1"/>
    </xf>
    <xf numFmtId="188" fontId="12" fillId="0" borderId="1" xfId="0" applyNumberFormat="1" applyFont="1" applyFill="1" applyBorder="1" applyAlignment="1">
      <alignment horizontal="center" vertical="center" wrapText="1"/>
    </xf>
    <xf numFmtId="183" fontId="12" fillId="0" borderId="1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183" fontId="12" fillId="0" borderId="21" xfId="0" applyNumberFormat="1" applyFont="1" applyBorder="1" applyAlignment="1">
      <alignment horizontal="center" vertical="center" wrapText="1"/>
    </xf>
    <xf numFmtId="194" fontId="0" fillId="0" borderId="0" xfId="0" applyNumberFormat="1" applyFont="1">
      <alignment vertical="center"/>
    </xf>
    <xf numFmtId="0" fontId="11" fillId="0" borderId="21" xfId="0" applyFont="1" applyBorder="1" applyAlignment="1">
      <alignment horizontal="center" vertical="top" wrapText="1"/>
    </xf>
    <xf numFmtId="196" fontId="0" fillId="0" borderId="0" xfId="0" applyNumberFormat="1" applyFont="1">
      <alignment vertical="center"/>
    </xf>
    <xf numFmtId="45" fontId="4" fillId="0" borderId="21" xfId="0" applyNumberFormat="1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183" fontId="4" fillId="0" borderId="21" xfId="0" applyNumberFormat="1" applyFont="1" applyBorder="1" applyAlignment="1">
      <alignment horizontal="center" vertical="center" wrapText="1"/>
    </xf>
    <xf numFmtId="183" fontId="0" fillId="0" borderId="0" xfId="0" applyNumberFormat="1" applyFont="1">
      <alignment vertical="center"/>
    </xf>
    <xf numFmtId="0" fontId="11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justify" vertical="top" wrapText="1"/>
    </xf>
    <xf numFmtId="58" fontId="0" fillId="0" borderId="0" xfId="0" applyNumberFormat="1" applyFont="1">
      <alignment vertical="center"/>
    </xf>
    <xf numFmtId="0" fontId="0" fillId="0" borderId="0" xfId="0" applyAlignment="1" applyProtection="1">
      <alignment horizontal="center" vertical="center"/>
    </xf>
    <xf numFmtId="0" fontId="0" fillId="11" borderId="0" xfId="0" applyFill="1" applyAlignment="1" applyProtection="1">
      <alignment horizontal="center" vertical="center"/>
    </xf>
    <xf numFmtId="0" fontId="14" fillId="12" borderId="0" xfId="0" applyFon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</xf>
    <xf numFmtId="0" fontId="0" fillId="0" borderId="1" xfId="0" applyNumberFormat="1" applyBorder="1" applyAlignment="1" applyProtection="1">
      <alignment horizontal="center" vertical="center"/>
    </xf>
    <xf numFmtId="0" fontId="0" fillId="0" borderId="0" xfId="0" applyNumberFormat="1" applyAlignment="1" applyProtection="1">
      <alignment horizontal="center" vertical="center"/>
    </xf>
    <xf numFmtId="195" fontId="0" fillId="0" borderId="1" xfId="0" applyNumberFormat="1" applyBorder="1" applyAlignment="1" applyProtection="1">
      <alignment horizontal="center" vertical="center"/>
    </xf>
    <xf numFmtId="187" fontId="0" fillId="0" borderId="1" xfId="0" applyNumberFormat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180" fontId="0" fillId="0" borderId="1" xfId="0" applyNumberFormat="1" applyBorder="1" applyAlignment="1" applyProtection="1">
      <alignment horizontal="center" vertical="center"/>
    </xf>
    <xf numFmtId="187" fontId="0" fillId="0" borderId="0" xfId="0" applyNumberFormat="1" applyAlignment="1" applyProtection="1">
      <alignment horizontal="center" vertical="center"/>
    </xf>
    <xf numFmtId="180" fontId="0" fillId="0" borderId="0" xfId="0" applyNumberFormat="1" applyAlignment="1" applyProtection="1">
      <alignment horizontal="center" vertical="center"/>
    </xf>
    <xf numFmtId="183" fontId="0" fillId="0" borderId="1" xfId="0" applyNumberForma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183" fontId="0" fillId="0" borderId="0" xfId="0" applyNumberFormat="1" applyAlignment="1" applyProtection="1">
      <alignment horizontal="center" vertical="center"/>
    </xf>
    <xf numFmtId="190" fontId="0" fillId="0" borderId="0" xfId="0" applyNumberFormat="1" applyAlignment="1" applyProtection="1">
      <alignment horizontal="center" vertical="center"/>
    </xf>
    <xf numFmtId="176" fontId="0" fillId="0" borderId="0" xfId="0" applyNumberFormat="1" applyAlignment="1" applyProtection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4" borderId="1" xfId="0" applyFill="1" applyBorder="1">
      <alignment vertical="center"/>
    </xf>
    <xf numFmtId="0" fontId="0" fillId="19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0" borderId="1" xfId="0" applyNumberFormat="1" applyBorder="1" applyAlignment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12" borderId="17" xfId="0" applyFill="1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  <xf numFmtId="0" fontId="0" fillId="0" borderId="17" xfId="0" applyNumberFormat="1" applyBorder="1" applyAlignment="1">
      <alignment vertical="center"/>
    </xf>
    <xf numFmtId="49" fontId="16" fillId="15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80" fontId="16" fillId="0" borderId="1" xfId="0" applyNumberFormat="1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7" fillId="13" borderId="1" xfId="0" applyFont="1" applyFill="1" applyBorder="1" applyAlignment="1">
      <alignment horizontal="center"/>
    </xf>
    <xf numFmtId="0" fontId="17" fillId="13" borderId="1" xfId="0" applyFont="1" applyFill="1" applyBorder="1" applyAlignment="1"/>
    <xf numFmtId="0" fontId="0" fillId="0" borderId="0" xfId="0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0" fillId="17" borderId="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0" fillId="0" borderId="28" xfId="0" applyBorder="1">
      <alignment vertical="center"/>
    </xf>
    <xf numFmtId="0" fontId="0" fillId="0" borderId="29" xfId="0" applyBorder="1" applyAlignment="1">
      <alignment horizontal="center" vertical="center"/>
    </xf>
    <xf numFmtId="195" fontId="0" fillId="17" borderId="1" xfId="0" applyNumberFormat="1" applyFill="1" applyBorder="1" applyAlignment="1">
      <alignment horizontal="center" vertical="center"/>
    </xf>
    <xf numFmtId="180" fontId="16" fillId="20" borderId="1" xfId="0" applyNumberFormat="1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20" borderId="1" xfId="0" applyFill="1" applyBorder="1" applyAlignment="1">
      <alignment horizontal="center" vertical="center"/>
    </xf>
    <xf numFmtId="188" fontId="0" fillId="17" borderId="1" xfId="0" applyNumberForma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center" vertical="center"/>
    </xf>
    <xf numFmtId="0" fontId="18" fillId="12" borderId="9" xfId="0" applyFont="1" applyFill="1" applyBorder="1" applyAlignment="1">
      <alignment horizontal="center" vertical="center"/>
    </xf>
    <xf numFmtId="0" fontId="18" fillId="12" borderId="10" xfId="0" applyFont="1" applyFill="1" applyBorder="1" applyAlignment="1">
      <alignment horizontal="center" vertical="center"/>
    </xf>
    <xf numFmtId="0" fontId="18" fillId="12" borderId="1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>
      <alignment vertical="center"/>
    </xf>
    <xf numFmtId="0" fontId="0" fillId="13" borderId="2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22" borderId="1" xfId="0" applyFill="1" applyBorder="1">
      <alignment vertical="center"/>
    </xf>
    <xf numFmtId="0" fontId="0" fillId="23" borderId="1" xfId="0" applyFill="1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35" xfId="0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80" fontId="16" fillId="20" borderId="36" xfId="0" applyNumberFormat="1" applyFont="1" applyFill="1" applyBorder="1" applyAlignment="1">
      <alignment horizontal="center" vertical="center"/>
    </xf>
    <xf numFmtId="0" fontId="0" fillId="21" borderId="38" xfId="0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 wrapText="1"/>
    </xf>
    <xf numFmtId="0" fontId="0" fillId="20" borderId="36" xfId="0" applyFill="1" applyBorder="1" applyAlignment="1">
      <alignment horizontal="center" vertical="center"/>
    </xf>
    <xf numFmtId="0" fontId="0" fillId="20" borderId="39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24" borderId="36" xfId="0" applyFill="1" applyBorder="1" applyAlignment="1">
      <alignment horizontal="center" vertical="center"/>
    </xf>
    <xf numFmtId="0" fontId="17" fillId="19" borderId="37" xfId="0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21" borderId="1" xfId="0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95" fontId="0" fillId="17" borderId="17" xfId="0" applyNumberFormat="1" applyFill="1" applyBorder="1" applyAlignment="1">
      <alignment horizontal="center" vertical="center"/>
    </xf>
    <xf numFmtId="195" fontId="0" fillId="17" borderId="33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" fontId="0" fillId="0" borderId="45" xfId="0" applyNumberFormat="1" applyBorder="1" applyAlignment="1">
      <alignment horizontal="center" vertical="center"/>
    </xf>
    <xf numFmtId="0" fontId="0" fillId="0" borderId="44" xfId="0" applyBorder="1">
      <alignment vertical="center"/>
    </xf>
    <xf numFmtId="0" fontId="12" fillId="0" borderId="1" xfId="0" applyFont="1" applyFill="1" applyBorder="1" applyAlignment="1">
      <alignment horizontal="center" vertical="center"/>
    </xf>
    <xf numFmtId="183" fontId="12" fillId="0" borderId="1" xfId="0" applyNumberFormat="1" applyFont="1" applyFill="1" applyBorder="1" applyAlignment="1">
      <alignment horizontal="center" vertical="center"/>
    </xf>
    <xf numFmtId="195" fontId="12" fillId="19" borderId="1" xfId="0" applyNumberFormat="1" applyFont="1" applyFill="1" applyBorder="1" applyAlignment="1">
      <alignment horizontal="center" vertical="center"/>
    </xf>
    <xf numFmtId="195" fontId="12" fillId="0" borderId="17" xfId="0" applyNumberFormat="1" applyFont="1" applyFill="1" applyBorder="1" applyAlignment="1">
      <alignment horizontal="center" vertical="center"/>
    </xf>
    <xf numFmtId="180" fontId="0" fillId="0" borderId="17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83" fontId="12" fillId="0" borderId="2" xfId="0" applyNumberFormat="1" applyFont="1" applyFill="1" applyBorder="1" applyAlignment="1">
      <alignment horizontal="center" vertical="center"/>
    </xf>
    <xf numFmtId="195" fontId="12" fillId="0" borderId="1" xfId="0" applyNumberFormat="1" applyFont="1" applyFill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195" fontId="12" fillId="0" borderId="12" xfId="0" applyNumberFormat="1" applyFont="1" applyFill="1" applyBorder="1" applyAlignment="1">
      <alignment horizontal="center" vertical="center"/>
    </xf>
    <xf numFmtId="195" fontId="12" fillId="0" borderId="4" xfId="0" applyNumberFormat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21" borderId="12" xfId="0" applyFill="1" applyBorder="1" applyAlignment="1">
      <alignment vertical="center"/>
    </xf>
    <xf numFmtId="195" fontId="12" fillId="0" borderId="7" xfId="0" applyNumberFormat="1" applyFont="1" applyFill="1" applyBorder="1" applyAlignment="1">
      <alignment horizontal="center" vertical="center"/>
    </xf>
    <xf numFmtId="188" fontId="12" fillId="0" borderId="1" xfId="0" applyNumberFormat="1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95" fontId="12" fillId="0" borderId="0" xfId="0" applyNumberFormat="1" applyFont="1" applyFill="1" applyBorder="1" applyAlignment="1">
      <alignment horizontal="center" vertical="center"/>
    </xf>
    <xf numFmtId="180" fontId="12" fillId="0" borderId="33" xfId="0" applyNumberFormat="1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180" fontId="0" fillId="0" borderId="33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95" fontId="0" fillId="0" borderId="0" xfId="0" applyNumberFormat="1">
      <alignment vertical="center"/>
    </xf>
    <xf numFmtId="188" fontId="0" fillId="0" borderId="0" xfId="0" applyNumberFormat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95" fontId="0" fillId="0" borderId="0" xfId="0" applyNumberFormat="1" applyAlignment="1">
      <alignment horizontal="center" vertical="center"/>
    </xf>
    <xf numFmtId="0" fontId="0" fillId="0" borderId="51" xfId="0" applyBorder="1" applyAlignment="1">
      <alignment horizontal="center" vertical="center"/>
    </xf>
    <xf numFmtId="49" fontId="16" fillId="9" borderId="1" xfId="0" applyNumberFormat="1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16" fillId="0" borderId="0" xfId="0" applyNumberFormat="1" applyFont="1" applyAlignment="1">
      <alignment horizontal="center"/>
    </xf>
    <xf numFmtId="179" fontId="0" fillId="11" borderId="52" xfId="0" applyNumberFormat="1" applyFill="1" applyBorder="1" applyAlignment="1">
      <alignment horizontal="center" vertical="center"/>
    </xf>
    <xf numFmtId="0" fontId="0" fillId="24" borderId="52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20" borderId="52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88" fontId="0" fillId="0" borderId="54" xfId="0" applyNumberForma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88" fontId="0" fillId="0" borderId="0" xfId="0" applyNumberFormat="1" applyBorder="1" applyAlignment="1">
      <alignment horizontal="center" vertical="center"/>
    </xf>
    <xf numFmtId="188" fontId="0" fillId="0" borderId="1" xfId="0" applyNumberFormat="1" applyBorder="1" applyAlignment="1">
      <alignment horizontal="center" vertical="center"/>
    </xf>
    <xf numFmtId="187" fontId="0" fillId="0" borderId="1" xfId="0" applyNumberFormat="1" applyBorder="1" applyAlignment="1">
      <alignment horizontal="center" vertical="center"/>
    </xf>
    <xf numFmtId="187" fontId="0" fillId="17" borderId="1" xfId="0" applyNumberFormat="1" applyFill="1" applyBorder="1" applyAlignment="1">
      <alignment horizontal="center" vertical="center"/>
    </xf>
    <xf numFmtId="2" fontId="0" fillId="20" borderId="1" xfId="0" applyNumberFormat="1" applyFill="1" applyBorder="1" applyAlignment="1">
      <alignment horizontal="center" vertical="center"/>
    </xf>
    <xf numFmtId="192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95" fontId="0" fillId="24" borderId="1" xfId="0" applyNumberFormat="1" applyFill="1" applyBorder="1" applyAlignment="1">
      <alignment horizontal="center" vertical="center"/>
    </xf>
    <xf numFmtId="195" fontId="0" fillId="0" borderId="0" xfId="0" applyNumberFormat="1" applyFill="1" applyBorder="1" applyAlignment="1">
      <alignment horizontal="center" vertical="center"/>
    </xf>
    <xf numFmtId="188" fontId="0" fillId="0" borderId="1" xfId="0" applyNumberFormat="1" applyFill="1" applyBorder="1" applyAlignment="1">
      <alignment horizontal="center" vertical="center"/>
    </xf>
    <xf numFmtId="188" fontId="0" fillId="0" borderId="55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88" fontId="21" fillId="9" borderId="3" xfId="0" applyNumberFormat="1" applyFont="1" applyFill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0" fontId="21" fillId="9" borderId="9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/>
    </xf>
    <xf numFmtId="0" fontId="21" fillId="9" borderId="11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20" borderId="6" xfId="0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20" borderId="33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33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9" fontId="0" fillId="20" borderId="58" xfId="0" applyNumberFormat="1" applyFill="1" applyBorder="1" applyAlignment="1">
      <alignment horizontal="center" vertical="center"/>
    </xf>
    <xf numFmtId="179" fontId="0" fillId="0" borderId="58" xfId="0" applyNumberForma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79" fontId="0" fillId="17" borderId="2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vertical="center"/>
    </xf>
    <xf numFmtId="0" fontId="0" fillId="14" borderId="2" xfId="0" applyFill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22" fillId="14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0" fontId="0" fillId="9" borderId="1" xfId="0" applyFill="1" applyBorder="1" applyAlignment="1">
      <alignment horizontal="right" vertical="center"/>
    </xf>
    <xf numFmtId="0" fontId="0" fillId="14" borderId="17" xfId="0" applyFill="1" applyBorder="1" applyAlignment="1">
      <alignment horizontal="center" vertical="center"/>
    </xf>
    <xf numFmtId="0" fontId="0" fillId="14" borderId="33" xfId="0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23" fillId="0" borderId="1" xfId="0" applyFont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24" fillId="19" borderId="3" xfId="0" applyFont="1" applyFill="1" applyBorder="1" applyAlignment="1">
      <alignment horizontal="center" vertical="center"/>
    </xf>
    <xf numFmtId="0" fontId="24" fillId="19" borderId="4" xfId="0" applyFont="1" applyFill="1" applyBorder="1" applyAlignment="1">
      <alignment horizontal="center" vertical="center"/>
    </xf>
    <xf numFmtId="0" fontId="24" fillId="19" borderId="5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 wrapText="1"/>
    </xf>
    <xf numFmtId="0" fontId="0" fillId="25" borderId="17" xfId="0" applyFill="1" applyBorder="1" applyAlignment="1">
      <alignment horizontal="center" vertical="center" wrapText="1"/>
    </xf>
    <xf numFmtId="0" fontId="0" fillId="25" borderId="0" xfId="0" applyFill="1" applyBorder="1" applyAlignment="1">
      <alignment horizontal="center" vertical="center" wrapText="1"/>
    </xf>
    <xf numFmtId="0" fontId="0" fillId="25" borderId="47" xfId="0" applyFill="1" applyBorder="1" applyAlignment="1">
      <alignment horizontal="center" vertical="center"/>
    </xf>
    <xf numFmtId="0" fontId="0" fillId="25" borderId="0" xfId="0" applyFill="1" applyBorder="1" applyAlignment="1">
      <alignment horizontal="center" vertical="center"/>
    </xf>
    <xf numFmtId="0" fontId="0" fillId="25" borderId="33" xfId="0" applyFill="1" applyBorder="1" applyAlignment="1">
      <alignment horizontal="center" vertical="center"/>
    </xf>
    <xf numFmtId="0" fontId="23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14" borderId="2" xfId="0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0" fontId="0" fillId="20" borderId="33" xfId="0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 wrapText="1"/>
    </xf>
    <xf numFmtId="0" fontId="0" fillId="2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25" fillId="26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7" fillId="25" borderId="33" xfId="0" applyFont="1" applyFill="1" applyBorder="1" applyAlignment="1">
      <alignment horizontal="center" vertical="center"/>
    </xf>
    <xf numFmtId="0" fontId="17" fillId="2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9" fontId="17" fillId="0" borderId="1" xfId="0" applyNumberFormat="1" applyFont="1" applyBorder="1" applyAlignment="1">
      <alignment horizontal="center" vertical="center"/>
    </xf>
    <xf numFmtId="0" fontId="17" fillId="9" borderId="17" xfId="0" applyFont="1" applyFill="1" applyBorder="1" applyAlignment="1">
      <alignment horizontal="center" vertical="center"/>
    </xf>
    <xf numFmtId="0" fontId="17" fillId="9" borderId="33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82" fontId="17" fillId="25" borderId="1" xfId="0" applyNumberFormat="1" applyFont="1" applyFill="1" applyBorder="1" applyAlignment="1">
      <alignment horizontal="center" vertical="center"/>
    </xf>
    <xf numFmtId="0" fontId="17" fillId="0" borderId="9" xfId="0" applyFont="1" applyBorder="1" applyAlignment="1">
      <alignment horizontal="right" vertical="center"/>
    </xf>
    <xf numFmtId="0" fontId="17" fillId="0" borderId="10" xfId="0" applyFon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26" fillId="14" borderId="17" xfId="0" applyFont="1" applyFill="1" applyBorder="1" applyAlignment="1">
      <alignment horizontal="center" vertical="center"/>
    </xf>
    <xf numFmtId="0" fontId="26" fillId="14" borderId="17" xfId="0" applyFont="1" applyFill="1" applyBorder="1" applyAlignment="1">
      <alignment horizontal="center" vertical="center" wrapText="1"/>
    </xf>
    <xf numFmtId="0" fontId="26" fillId="14" borderId="33" xfId="0" applyFont="1" applyFill="1" applyBorder="1" applyAlignment="1">
      <alignment horizontal="center" vertical="center"/>
    </xf>
    <xf numFmtId="0" fontId="1" fillId="27" borderId="17" xfId="0" applyFont="1" applyFill="1" applyBorder="1" applyAlignment="1">
      <alignment horizontal="center" vertical="center"/>
    </xf>
    <xf numFmtId="0" fontId="1" fillId="27" borderId="47" xfId="0" applyFont="1" applyFill="1" applyBorder="1" applyAlignment="1">
      <alignment horizontal="center" vertical="center"/>
    </xf>
    <xf numFmtId="0" fontId="1" fillId="27" borderId="33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0" fillId="28" borderId="0" xfId="0" applyFill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179" fontId="17" fillId="0" borderId="0" xfId="0" applyNumberFormat="1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179" fontId="17" fillId="0" borderId="47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179" fontId="17" fillId="0" borderId="33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7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6760393847254"/>
          <c:y val="0.0299706348587615"/>
          <c:w val="0.827888413220195"/>
          <c:h val="0.911374849979997"/>
        </c:manualLayout>
      </c:layout>
      <c:lineChart>
        <c:grouping val="standard"/>
        <c:varyColors val="0"/>
        <c:ser>
          <c:idx val="0"/>
          <c:order val="0"/>
          <c:tx>
            <c:strRef>
              <c:f>"上累计"</c:f>
              <c:strCache>
                <c:ptCount val="1"/>
                <c:pt idx="0">
                  <c:v>上累计</c:v>
                </c:pt>
              </c:strCache>
            </c:strRef>
          </c:tx>
          <c:dLbls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沙子!$I$12:$N$12</c:f>
              <c:numCache>
                <c:formatCode>0.00_);[Red]\(0.00\)</c:formatCode>
                <c:ptCount val="6"/>
                <c:pt idx="0" c:formatCode="0.00_);[Red]\(0.00\)">
                  <c:v>4.75</c:v>
                </c:pt>
                <c:pt idx="1" c:formatCode="0.00_);[Red]\(0.00\)">
                  <c:v>2.36</c:v>
                </c:pt>
                <c:pt idx="2" c:formatCode="0.00_);[Red]\(0.00\)">
                  <c:v>1.18</c:v>
                </c:pt>
                <c:pt idx="3" c:formatCode="0.00_);[Red]\(0.00\)">
                  <c:v>0.6</c:v>
                </c:pt>
                <c:pt idx="4" c:formatCode="0.00_);[Red]\(0.00\)">
                  <c:v>0.3</c:v>
                </c:pt>
                <c:pt idx="5" c:formatCode="0.00_);[Red]\(0.00\)">
                  <c:v>0.15</c:v>
                </c:pt>
              </c:numCache>
            </c:numRef>
          </c:cat>
          <c:val>
            <c:numRef>
              <c:f>沙子!$C$29:$H$29</c:f>
              <c:numCache>
                <c:formatCode>General</c:formatCode>
                <c:ptCount val="6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70</c:v>
                </c:pt>
                <c:pt idx="4">
                  <c:v>92</c:v>
                </c:pt>
                <c:pt idx="5">
                  <c:v>100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"均值"</c:f>
              <c:strCache>
                <c:ptCount val="1"/>
                <c:pt idx="0">
                  <c:v>均值</c:v>
                </c:pt>
              </c:strCache>
            </c:strRef>
          </c:tx>
          <c:dLbls>
            <c:delete val="1"/>
          </c:dLbls>
          <c:cat>
            <c:numRef>
              <c:f>沙子!$I$12:$N$12</c:f>
              <c:numCache>
                <c:formatCode>0.00_);[Red]\(0.00\)</c:formatCode>
                <c:ptCount val="6"/>
                <c:pt idx="0" c:formatCode="0.00_);[Red]\(0.00\)">
                  <c:v>4.75</c:v>
                </c:pt>
                <c:pt idx="1" c:formatCode="0.00_);[Red]\(0.00\)">
                  <c:v>2.36</c:v>
                </c:pt>
                <c:pt idx="2" c:formatCode="0.00_);[Red]\(0.00\)">
                  <c:v>1.18</c:v>
                </c:pt>
                <c:pt idx="3" c:formatCode="0.00_);[Red]\(0.00\)">
                  <c:v>0.6</c:v>
                </c:pt>
                <c:pt idx="4" c:formatCode="0.00_);[Red]\(0.00\)">
                  <c:v>0.3</c:v>
                </c:pt>
                <c:pt idx="5" c:formatCode="0.00_);[Red]\(0.00\)">
                  <c:v>0.15</c:v>
                </c:pt>
              </c:numCache>
            </c:numRef>
          </c:cat>
          <c:val>
            <c:numRef>
              <c:f>沙子!$I$21:$N$21</c:f>
              <c:numCache>
                <c:formatCode>0_);[Red]\(0\)</c:formatCode>
                <c:ptCount val="6"/>
                <c:pt idx="0">
                  <c:v>2</c:v>
                </c:pt>
                <c:pt idx="1">
                  <c:v>7</c:v>
                </c:pt>
                <c:pt idx="2">
                  <c:v>30</c:v>
                </c:pt>
                <c:pt idx="3">
                  <c:v>54</c:v>
                </c:pt>
                <c:pt idx="4">
                  <c:v>78</c:v>
                </c:pt>
                <c:pt idx="5">
                  <c:v>99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"下累计"</c:f>
              <c:strCache>
                <c:ptCount val="1"/>
                <c:pt idx="0">
                  <c:v>下累计</c:v>
                </c:pt>
              </c:strCache>
            </c:strRef>
          </c:tx>
          <c:dLbls>
            <c:delete val="1"/>
          </c:dLbls>
          <c:cat>
            <c:numRef>
              <c:f>沙子!$I$12:$N$12</c:f>
              <c:numCache>
                <c:formatCode>0.00_);[Red]\(0.00\)</c:formatCode>
                <c:ptCount val="6"/>
                <c:pt idx="0" c:formatCode="0.00_);[Red]\(0.00\)">
                  <c:v>4.75</c:v>
                </c:pt>
                <c:pt idx="1" c:formatCode="0.00_);[Red]\(0.00\)">
                  <c:v>2.36</c:v>
                </c:pt>
                <c:pt idx="2" c:formatCode="0.00_);[Red]\(0.00\)">
                  <c:v>1.18</c:v>
                </c:pt>
                <c:pt idx="3" c:formatCode="0.00_);[Red]\(0.00\)">
                  <c:v>0.6</c:v>
                </c:pt>
                <c:pt idx="4" c:formatCode="0.00_);[Red]\(0.00\)">
                  <c:v>0.3</c:v>
                </c:pt>
                <c:pt idx="5" c:formatCode="0.00_);[Red]\(0.00\)">
                  <c:v>0.15</c:v>
                </c:pt>
              </c:numCache>
            </c:numRef>
          </c:cat>
          <c:val>
            <c:numRef>
              <c:f>沙子!$C$30:$H$30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41</c:v>
                </c:pt>
                <c:pt idx="4">
                  <c:v>70</c:v>
                </c:pt>
                <c:pt idx="5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08704"/>
        <c:axId val="104018688"/>
      </c:lineChart>
      <c:catAx>
        <c:axId val="104008704"/>
        <c:scaling>
          <c:orientation val="minMax"/>
        </c:scaling>
        <c:delete val="0"/>
        <c:axPos val="b"/>
        <c:numFmt formatCode="0.00_);[Red]\(0.00\)" sourceLinked="1"/>
        <c:majorTickMark val="out"/>
        <c:minorTickMark val="in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04018688"/>
        <c:crosses val="autoZero"/>
        <c:auto val="0"/>
        <c:lblAlgn val="ctr"/>
        <c:lblOffset val="100"/>
        <c:tickLblSkip val="1"/>
        <c:noMultiLvlLbl val="0"/>
      </c:catAx>
      <c:valAx>
        <c:axId val="104018688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04008704"/>
        <c:crosses val="autoZero"/>
        <c:crossBetween val="between"/>
        <c:majorUnit val="10"/>
        <c:minorUnit val="5"/>
      </c:valAx>
      <c:spPr>
        <a:solidFill>
          <a:srgbClr val="FFFFFF"/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solidFill>
      <a:srgbClr val="FFFFFF"/>
    </a:solidFill>
    <a:ln w="3175" cap="flat" cmpd="sng" algn="ctr">
      <a:solidFill>
        <a:schemeClr val="tx1"/>
      </a:solidFill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"上界限"</c:f>
              <c:strCache>
                <c:ptCount val="1"/>
                <c:pt idx="0">
                  <c:v>上界限</c:v>
                </c:pt>
              </c:strCache>
            </c:strRef>
          </c:tx>
          <c:dLbls>
            <c:delete val="1"/>
          </c:dLbls>
          <c:cat>
            <c:numRef>
              <c:f>'[1]5-10mm碎石'!$D$28:$G$28</c:f>
              <c:numCache>
                <c:formatCode>General</c:formatCode>
                <c:ptCount val="4"/>
                <c:pt idx="0">
                  <c:v>16</c:v>
                </c:pt>
                <c:pt idx="1">
                  <c:v>9.5</c:v>
                </c:pt>
                <c:pt idx="2">
                  <c:v>4.75</c:v>
                </c:pt>
                <c:pt idx="3">
                  <c:v>2.36</c:v>
                </c:pt>
              </c:numCache>
            </c:numRef>
          </c:cat>
          <c:val>
            <c:numRef>
              <c:f>'[1]5-10mm碎石'!$D$31:$G$31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"变值"</c:f>
              <c:strCache>
                <c:ptCount val="1"/>
                <c:pt idx="0">
                  <c:v>变值</c:v>
                </c:pt>
              </c:strCache>
            </c:strRef>
          </c:tx>
          <c:dLbls>
            <c:delete val="1"/>
          </c:dLbls>
          <c:cat>
            <c:numRef>
              <c:f>'[1]5-10mm碎石'!$D$28:$G$28</c:f>
              <c:numCache>
                <c:formatCode>General</c:formatCode>
                <c:ptCount val="4"/>
                <c:pt idx="0">
                  <c:v>16</c:v>
                </c:pt>
                <c:pt idx="1">
                  <c:v>9.5</c:v>
                </c:pt>
                <c:pt idx="2">
                  <c:v>4.75</c:v>
                </c:pt>
                <c:pt idx="3">
                  <c:v>2.36</c:v>
                </c:pt>
              </c:numCache>
            </c:numRef>
          </c:cat>
          <c:val>
            <c:numRef>
              <c:f>'[1]5-10mm碎石'!$J$22:$M$22</c:f>
              <c:numCache>
                <c:formatCode>General</c:formatCode>
                <c:ptCount val="4"/>
                <c:pt idx="0">
                  <c:v>0</c:v>
                </c:pt>
                <c:pt idx="1">
                  <c:v>7</c:v>
                </c:pt>
                <c:pt idx="2">
                  <c:v>92</c:v>
                </c:pt>
                <c:pt idx="3">
                  <c:v>95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"下界限"</c:f>
              <c:strCache>
                <c:ptCount val="1"/>
                <c:pt idx="0">
                  <c:v>下界限</c:v>
                </c:pt>
              </c:strCache>
            </c:strRef>
          </c:tx>
          <c:dLbls>
            <c:delete val="1"/>
          </c:dLbls>
          <c:cat>
            <c:numRef>
              <c:f>'[1]5-10mm碎石'!$D$28:$G$28</c:f>
              <c:numCache>
                <c:formatCode>General</c:formatCode>
                <c:ptCount val="4"/>
                <c:pt idx="0">
                  <c:v>16</c:v>
                </c:pt>
                <c:pt idx="1">
                  <c:v>9.5</c:v>
                </c:pt>
                <c:pt idx="2">
                  <c:v>4.75</c:v>
                </c:pt>
                <c:pt idx="3">
                  <c:v>2.36</c:v>
                </c:pt>
              </c:numCache>
            </c:numRef>
          </c:cat>
          <c:val>
            <c:numRef>
              <c:f>'[1]5-10mm碎石'!$D$30:$G$30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80</c:v>
                </c:pt>
                <c:pt idx="3">
                  <c:v>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17792"/>
        <c:axId val="112019328"/>
      </c:lineChart>
      <c:catAx>
        <c:axId val="11201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2019328"/>
        <c:crosses val="autoZero"/>
        <c:auto val="1"/>
        <c:lblAlgn val="ctr"/>
        <c:lblOffset val="100"/>
        <c:noMultiLvlLbl val="0"/>
      </c:catAx>
      <c:valAx>
        <c:axId val="112019328"/>
        <c:scaling>
          <c:orientation val="minMax"/>
          <c:max val="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20177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1704864646473"/>
          <c:y val="0.364661654135338"/>
          <c:w val="0.166320335158214"/>
          <c:h val="0.27067669172932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457200</xdr:colOff>
      <xdr:row>31</xdr:row>
      <xdr:rowOff>114300</xdr:rowOff>
    </xdr:from>
    <xdr:to>
      <xdr:col>19</xdr:col>
      <xdr:colOff>190500</xdr:colOff>
      <xdr:row>48</xdr:row>
      <xdr:rowOff>76200</xdr:rowOff>
    </xdr:to>
    <xdr:graphicFrame>
      <xdr:nvGraphicFramePr>
        <xdr:cNvPr id="5121" name="图表 2"/>
        <xdr:cNvGraphicFramePr/>
      </xdr:nvGraphicFramePr>
      <xdr:xfrm>
        <a:off x="2789555" y="7200900"/>
        <a:ext cx="8512810" cy="3848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228600</xdr:colOff>
      <xdr:row>24</xdr:row>
      <xdr:rowOff>161925</xdr:rowOff>
    </xdr:from>
    <xdr:to>
      <xdr:col>15</xdr:col>
      <xdr:colOff>9525</xdr:colOff>
      <xdr:row>39</xdr:row>
      <xdr:rowOff>85725</xdr:rowOff>
    </xdr:to>
    <xdr:graphicFrame>
      <xdr:nvGraphicFramePr>
        <xdr:cNvPr id="7169" name="图表 2"/>
        <xdr:cNvGraphicFramePr/>
      </xdr:nvGraphicFramePr>
      <xdr:xfrm>
        <a:off x="6144260" y="4751070"/>
        <a:ext cx="4101465" cy="268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514350</xdr:colOff>
      <xdr:row>1</xdr:row>
      <xdr:rowOff>47625</xdr:rowOff>
    </xdr:from>
    <xdr:to>
      <xdr:col>1</xdr:col>
      <xdr:colOff>238125</xdr:colOff>
      <xdr:row>1</xdr:row>
      <xdr:rowOff>123825</xdr:rowOff>
    </xdr:to>
    <xdr:sp>
      <xdr:nvSpPr>
        <xdr:cNvPr id="3075" name="Line 1"/>
        <xdr:cNvSpPr>
          <a:spLocks noChangeShapeType="1"/>
        </xdr:cNvSpPr>
      </xdr:nvSpPr>
      <xdr:spPr>
        <a:xfrm flipV="1">
          <a:off x="514350" y="228600"/>
          <a:ext cx="281305" cy="762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22;&#23376;&#35745;&#3163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机制砂"/>
      <sheetName val="5-25碎石"/>
      <sheetName val="5-10mm碎石"/>
      <sheetName val="钢筋焊接"/>
      <sheetName val="煤灰"/>
      <sheetName val="速凝剂"/>
      <sheetName val="水泥"/>
      <sheetName val="筛分计算"/>
      <sheetName val="水泥改动版"/>
      <sheetName val="Sheet1"/>
      <sheetName val="天然砂"/>
    </sheetNames>
    <sheetDataSet>
      <sheetData sheetId="0"/>
      <sheetData sheetId="1"/>
      <sheetData sheetId="2">
        <row r="22">
          <cell r="J22">
            <v>0</v>
          </cell>
          <cell r="K22">
            <v>7</v>
          </cell>
          <cell r="L22">
            <v>92</v>
          </cell>
          <cell r="M22">
            <v>95</v>
          </cell>
        </row>
        <row r="28">
          <cell r="D28">
            <v>16</v>
          </cell>
          <cell r="E28">
            <v>9.5</v>
          </cell>
          <cell r="F28">
            <v>4.75</v>
          </cell>
          <cell r="G28">
            <v>2.36</v>
          </cell>
        </row>
        <row r="30">
          <cell r="D30">
            <v>0</v>
          </cell>
          <cell r="E30">
            <v>0</v>
          </cell>
          <cell r="F30">
            <v>80</v>
          </cell>
          <cell r="G30">
            <v>95</v>
          </cell>
        </row>
        <row r="31">
          <cell r="D31">
            <v>0</v>
          </cell>
          <cell r="E31">
            <v>15</v>
          </cell>
          <cell r="F31">
            <v>100</v>
          </cell>
          <cell r="G31">
            <v>100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975585192419"/>
  </sheetPr>
  <dimension ref="B3:S82"/>
  <sheetViews>
    <sheetView workbookViewId="0">
      <selection activeCell="F49" sqref="F49:F51"/>
    </sheetView>
  </sheetViews>
  <sheetFormatPr defaultColWidth="9" defaultRowHeight="14.4"/>
  <cols>
    <col min="1" max="1" width="13.1296296296296" customWidth="1"/>
    <col min="2" max="2" width="4.5" customWidth="1"/>
    <col min="3" max="3" width="10" customWidth="1"/>
    <col min="4" max="4" width="10.8796296296296" customWidth="1"/>
    <col min="6" max="8" width="10.1296296296296" style="4" customWidth="1"/>
    <col min="9" max="9" width="7.5" style="4" customWidth="1"/>
    <col min="10" max="10" width="9.62962962962963" customWidth="1"/>
    <col min="13" max="13" width="13.3796296296296" style="1" customWidth="1"/>
    <col min="14" max="14" width="13.5" style="4" customWidth="1"/>
    <col min="15" max="15" width="10.1296296296296" style="4" customWidth="1"/>
    <col min="16" max="16" width="9.75" style="4" customWidth="1"/>
    <col min="17" max="17" width="9.62962962962963" style="4" customWidth="1"/>
    <col min="18" max="18" width="10.1296296296296" style="4" customWidth="1"/>
    <col min="19" max="19" width="9" style="4"/>
  </cols>
  <sheetData>
    <row r="3" spans="3:5">
      <c r="C3" s="342" t="s">
        <v>0</v>
      </c>
      <c r="D3" s="22">
        <v>0.5</v>
      </c>
      <c r="E3" s="343" t="s">
        <v>1</v>
      </c>
    </row>
    <row r="4" spans="3:19">
      <c r="C4" s="342" t="s">
        <v>2</v>
      </c>
      <c r="D4" s="302" t="s">
        <v>3</v>
      </c>
      <c r="E4" s="344"/>
      <c r="M4" s="32"/>
      <c r="N4" s="51"/>
      <c r="O4" s="51"/>
      <c r="P4" s="51"/>
      <c r="Q4" s="51"/>
      <c r="R4" s="51"/>
      <c r="S4" s="51"/>
    </row>
    <row r="5" ht="18" customHeight="1" spans="14:19">
      <c r="N5" s="398" t="s">
        <v>4</v>
      </c>
      <c r="O5" s="398" t="s">
        <v>5</v>
      </c>
      <c r="P5" s="399" t="s">
        <v>6</v>
      </c>
      <c r="Q5" s="399" t="s">
        <v>7</v>
      </c>
      <c r="R5" s="398" t="s">
        <v>8</v>
      </c>
      <c r="S5" s="398" t="s">
        <v>9</v>
      </c>
    </row>
    <row r="6" ht="16.5" customHeight="1" spans="4:19">
      <c r="D6" s="164" t="s">
        <v>10</v>
      </c>
      <c r="N6" s="400"/>
      <c r="O6" s="400"/>
      <c r="P6" s="400"/>
      <c r="Q6" s="400"/>
      <c r="R6" s="400"/>
      <c r="S6" s="400"/>
    </row>
    <row r="7" ht="20.1" customHeight="1" spans="3:19">
      <c r="C7" s="345" t="s">
        <v>11</v>
      </c>
      <c r="D7" s="346" t="s">
        <v>12</v>
      </c>
      <c r="E7" s="343" t="s">
        <v>1</v>
      </c>
      <c r="M7" s="401" t="s">
        <v>13</v>
      </c>
      <c r="N7" s="22" t="s">
        <v>14</v>
      </c>
      <c r="O7" s="22">
        <v>100</v>
      </c>
      <c r="P7" s="346" t="s">
        <v>15</v>
      </c>
      <c r="Q7" s="346" t="s">
        <v>15</v>
      </c>
      <c r="R7" s="346" t="s">
        <v>15</v>
      </c>
      <c r="S7" s="346" t="s">
        <v>15</v>
      </c>
    </row>
    <row r="8" ht="20.1" customHeight="1" spans="3:19">
      <c r="C8" s="345" t="s">
        <v>16</v>
      </c>
      <c r="D8" s="346" t="s">
        <v>17</v>
      </c>
      <c r="E8" s="344"/>
      <c r="M8" s="402"/>
      <c r="N8" s="264" t="s">
        <v>18</v>
      </c>
      <c r="O8" s="22" t="s">
        <v>19</v>
      </c>
      <c r="P8" s="22" t="s">
        <v>20</v>
      </c>
      <c r="Q8" s="346" t="s">
        <v>15</v>
      </c>
      <c r="R8" s="346" t="s">
        <v>15</v>
      </c>
      <c r="S8" s="346" t="s">
        <v>15</v>
      </c>
    </row>
    <row r="9" ht="20.1" customHeight="1" spans="13:19">
      <c r="M9" s="403"/>
      <c r="N9" s="215"/>
      <c r="O9" s="22" t="s">
        <v>19</v>
      </c>
      <c r="P9" s="346" t="s">
        <v>15</v>
      </c>
      <c r="Q9" s="346" t="s">
        <v>15</v>
      </c>
      <c r="R9" s="346" t="s">
        <v>15</v>
      </c>
      <c r="S9" s="22" t="s">
        <v>20</v>
      </c>
    </row>
    <row r="10" ht="20.1" customHeight="1" spans="3:19">
      <c r="C10" s="164" t="s">
        <v>21</v>
      </c>
      <c r="D10" s="164"/>
      <c r="E10" s="164"/>
      <c r="M10" s="404" t="s">
        <v>22</v>
      </c>
      <c r="N10" s="22" t="s">
        <v>23</v>
      </c>
      <c r="O10" s="33" t="s">
        <v>24</v>
      </c>
      <c r="P10" s="405" t="s">
        <v>25</v>
      </c>
      <c r="Q10" s="417"/>
      <c r="R10" s="418"/>
      <c r="S10" s="346" t="s">
        <v>15</v>
      </c>
    </row>
    <row r="11" ht="20.1" customHeight="1" spans="3:19">
      <c r="C11" s="347" t="s">
        <v>26</v>
      </c>
      <c r="D11" s="348"/>
      <c r="E11" s="319"/>
      <c r="M11" s="401" t="s">
        <v>27</v>
      </c>
      <c r="N11" s="22" t="s">
        <v>28</v>
      </c>
      <c r="O11" s="33" t="s">
        <v>29</v>
      </c>
      <c r="P11" s="33" t="s">
        <v>30</v>
      </c>
      <c r="Q11" s="346" t="s">
        <v>15</v>
      </c>
      <c r="R11" s="346" t="s">
        <v>15</v>
      </c>
      <c r="S11" s="346" t="s">
        <v>15</v>
      </c>
    </row>
    <row r="12" ht="20.1" customHeight="1" spans="13:19">
      <c r="M12" s="403"/>
      <c r="N12" s="22" t="s">
        <v>31</v>
      </c>
      <c r="O12" s="33" t="s">
        <v>32</v>
      </c>
      <c r="P12" s="33" t="s">
        <v>33</v>
      </c>
      <c r="Q12" s="346" t="s">
        <v>15</v>
      </c>
      <c r="R12" s="346" t="s">
        <v>15</v>
      </c>
      <c r="S12" s="346" t="s">
        <v>15</v>
      </c>
    </row>
    <row r="13" ht="20.1" customHeight="1" spans="3:19">
      <c r="C13" s="349" t="s">
        <v>34</v>
      </c>
      <c r="D13" s="350"/>
      <c r="E13" s="351"/>
      <c r="M13" s="404" t="s">
        <v>35</v>
      </c>
      <c r="N13" s="22" t="s">
        <v>36</v>
      </c>
      <c r="O13" s="33" t="s">
        <v>37</v>
      </c>
      <c r="P13" s="346" t="s">
        <v>15</v>
      </c>
      <c r="Q13" s="33" t="s">
        <v>38</v>
      </c>
      <c r="R13" s="346" t="s">
        <v>15</v>
      </c>
      <c r="S13" s="346" t="s">
        <v>15</v>
      </c>
    </row>
    <row r="14" ht="20.1" customHeight="1" spans="3:19">
      <c r="C14" s="352"/>
      <c r="D14" s="353"/>
      <c r="E14" s="354"/>
      <c r="M14" s="404" t="s">
        <v>39</v>
      </c>
      <c r="N14" s="22" t="s">
        <v>40</v>
      </c>
      <c r="O14" s="33" t="s">
        <v>37</v>
      </c>
      <c r="P14" s="346" t="s">
        <v>15</v>
      </c>
      <c r="Q14" s="346" t="s">
        <v>15</v>
      </c>
      <c r="R14" s="33" t="s">
        <v>41</v>
      </c>
      <c r="S14" s="346" t="s">
        <v>15</v>
      </c>
    </row>
    <row r="15" ht="24" customHeight="1" spans="2:19">
      <c r="B15" s="355" t="s">
        <v>42</v>
      </c>
      <c r="C15" s="356" t="s">
        <v>43</v>
      </c>
      <c r="D15" s="199"/>
      <c r="E15" s="22" t="s">
        <v>44</v>
      </c>
      <c r="F15" s="357" t="s">
        <v>45</v>
      </c>
      <c r="G15" s="358"/>
      <c r="H15" s="358"/>
      <c r="I15" s="358"/>
      <c r="M15" s="404" t="s">
        <v>46</v>
      </c>
      <c r="N15" s="22" t="s">
        <v>47</v>
      </c>
      <c r="O15" s="33" t="s">
        <v>29</v>
      </c>
      <c r="P15" s="405" t="s">
        <v>48</v>
      </c>
      <c r="Q15" s="417"/>
      <c r="R15" s="417"/>
      <c r="S15" s="418"/>
    </row>
    <row r="16" ht="24" customHeight="1" spans="3:19">
      <c r="C16" s="356" t="s">
        <v>49</v>
      </c>
      <c r="D16" s="199"/>
      <c r="E16" s="302" t="s">
        <v>50</v>
      </c>
      <c r="F16" s="359"/>
      <c r="G16" s="360"/>
      <c r="H16" s="360"/>
      <c r="I16" s="360"/>
      <c r="M16"/>
      <c r="N16"/>
      <c r="O16"/>
      <c r="P16"/>
      <c r="Q16"/>
      <c r="R16"/>
      <c r="S16"/>
    </row>
    <row r="17" ht="24" customHeight="1" spans="3:19">
      <c r="C17" s="199" t="s">
        <v>51</v>
      </c>
      <c r="D17" s="199"/>
      <c r="E17" s="22">
        <v>0.485</v>
      </c>
      <c r="F17" s="361"/>
      <c r="G17" s="360"/>
      <c r="H17" s="360"/>
      <c r="I17" s="360"/>
      <c r="M17" s="404" t="s">
        <v>52</v>
      </c>
      <c r="N17" s="406" t="s">
        <v>53</v>
      </c>
      <c r="O17" s="407"/>
      <c r="P17"/>
      <c r="Q17"/>
      <c r="R17"/>
      <c r="S17"/>
    </row>
    <row r="18" spans="3:13">
      <c r="C18" s="362" t="s">
        <v>54</v>
      </c>
      <c r="D18" s="363"/>
      <c r="E18" s="363"/>
      <c r="F18" s="364"/>
      <c r="G18" s="365"/>
      <c r="H18" s="365"/>
      <c r="I18" s="365"/>
      <c r="M18" s="4"/>
    </row>
    <row r="19" spans="3:13">
      <c r="C19" s="366"/>
      <c r="D19" s="365"/>
      <c r="E19" s="365"/>
      <c r="F19" s="367"/>
      <c r="G19" s="365"/>
      <c r="H19" s="365"/>
      <c r="I19" s="365"/>
      <c r="M19" s="4"/>
    </row>
    <row r="20" ht="24.75" customHeight="1" spans="3:14">
      <c r="C20" s="368"/>
      <c r="D20" s="369"/>
      <c r="E20" s="369"/>
      <c r="F20" s="370"/>
      <c r="G20" s="365"/>
      <c r="H20" s="365"/>
      <c r="I20" s="365"/>
      <c r="M20" s="156" t="s">
        <v>55</v>
      </c>
      <c r="N20" s="156" t="s">
        <v>56</v>
      </c>
    </row>
    <row r="21" ht="24" customHeight="1" spans="2:14">
      <c r="B21" s="355" t="s">
        <v>57</v>
      </c>
      <c r="C21" s="371" t="s">
        <v>58</v>
      </c>
      <c r="D21" s="372"/>
      <c r="E21" s="372"/>
      <c r="F21" s="373"/>
      <c r="G21" s="374"/>
      <c r="H21" s="374"/>
      <c r="I21" s="374"/>
      <c r="M21" s="22" t="s">
        <v>59</v>
      </c>
      <c r="N21" s="408" t="s">
        <v>60</v>
      </c>
    </row>
    <row r="22" ht="24" customHeight="1" spans="3:9">
      <c r="C22" s="375" t="s">
        <v>61</v>
      </c>
      <c r="D22" s="321"/>
      <c r="E22" s="376" t="s">
        <v>62</v>
      </c>
      <c r="F22" s="182"/>
      <c r="G22" s="165"/>
      <c r="H22" s="165"/>
      <c r="I22" s="165"/>
    </row>
    <row r="23" ht="24" customHeight="1" spans="3:9">
      <c r="C23" s="199" t="s">
        <v>51</v>
      </c>
      <c r="D23" s="199"/>
      <c r="E23" s="376" t="s">
        <v>63</v>
      </c>
      <c r="F23" s="182"/>
      <c r="G23" s="165"/>
      <c r="H23" s="165"/>
      <c r="I23" s="165"/>
    </row>
    <row r="24" ht="14.25" customHeight="1" spans="3:9">
      <c r="C24" s="362" t="s">
        <v>64</v>
      </c>
      <c r="D24" s="363"/>
      <c r="E24" s="363"/>
      <c r="F24" s="364"/>
      <c r="G24" s="365"/>
      <c r="H24" s="365"/>
      <c r="I24" s="365"/>
    </row>
    <row r="25" ht="23.25" customHeight="1" spans="3:9">
      <c r="C25" s="366"/>
      <c r="D25" s="365"/>
      <c r="E25" s="365"/>
      <c r="F25" s="367"/>
      <c r="G25" s="365"/>
      <c r="H25" s="365"/>
      <c r="I25" s="365"/>
    </row>
    <row r="26" ht="71.25" customHeight="1" spans="3:9">
      <c r="C26" s="368"/>
      <c r="D26" s="369"/>
      <c r="E26" s="369"/>
      <c r="F26" s="370"/>
      <c r="G26" s="365"/>
      <c r="H26" s="365"/>
      <c r="I26" s="365"/>
    </row>
    <row r="27" spans="2:11">
      <c r="B27" s="377"/>
      <c r="C27" s="378"/>
      <c r="D27" s="379"/>
      <c r="E27" s="41"/>
      <c r="F27" s="380"/>
      <c r="G27" s="381" t="s">
        <v>65</v>
      </c>
      <c r="H27" s="381"/>
      <c r="I27" s="381"/>
      <c r="J27" s="381"/>
      <c r="K27" s="381"/>
    </row>
    <row r="28" spans="7:11">
      <c r="G28" s="381"/>
      <c r="H28" s="381"/>
      <c r="I28" s="381"/>
      <c r="J28" s="381"/>
      <c r="K28" s="381"/>
    </row>
    <row r="29" spans="6:7">
      <c r="F29" s="382" t="s">
        <v>66</v>
      </c>
      <c r="G29" s="383">
        <v>0.53</v>
      </c>
    </row>
    <row r="30" spans="6:7">
      <c r="F30" s="382" t="s">
        <v>67</v>
      </c>
      <c r="G30" s="384">
        <v>3.168</v>
      </c>
    </row>
    <row r="31" spans="4:12">
      <c r="D31" s="385" t="s">
        <v>68</v>
      </c>
      <c r="E31" s="386"/>
      <c r="F31" s="386"/>
      <c r="G31" s="386"/>
      <c r="H31" s="386"/>
      <c r="I31" s="386"/>
      <c r="J31" s="386"/>
      <c r="K31" s="386"/>
      <c r="L31" s="4"/>
    </row>
    <row r="32" spans="4:12">
      <c r="D32" s="385" t="s">
        <v>69</v>
      </c>
      <c r="E32" s="385" t="s">
        <v>70</v>
      </c>
      <c r="F32" s="385" t="s">
        <v>71</v>
      </c>
      <c r="G32" s="385" t="s">
        <v>72</v>
      </c>
      <c r="H32" s="385" t="s">
        <v>73</v>
      </c>
      <c r="J32" s="385" t="s">
        <v>74</v>
      </c>
      <c r="L32" s="4"/>
    </row>
    <row r="33" spans="4:12">
      <c r="D33" s="387">
        <v>60.3</v>
      </c>
      <c r="E33" s="385">
        <f ca="1">+ROUND(RAND()*0.4+0.3,1)</f>
        <v>0.6</v>
      </c>
      <c r="F33" s="388">
        <f ca="1">+ROUND(D33/J33+E33,1)</f>
        <v>20.3</v>
      </c>
      <c r="G33" s="385">
        <f ca="1">+ROUND(D33/(F33-E33),2)</f>
        <v>3.06</v>
      </c>
      <c r="H33" s="389">
        <f ca="1">+ROUND(AVERAGE(G33:G34),2)-(MOD(AVERAGE(G33:G34)*1000,20)=5)/100</f>
        <v>3.06</v>
      </c>
      <c r="J33" s="385">
        <f ca="1">ROUND(3.04+RAND()*0.03,2)</f>
        <v>3.06</v>
      </c>
      <c r="L33" s="4"/>
    </row>
    <row r="34" spans="4:12">
      <c r="D34" s="387">
        <v>60.5</v>
      </c>
      <c r="E34" s="385">
        <f ca="1">+ROUND(RAND()*0.4+0.3,1)</f>
        <v>0.5</v>
      </c>
      <c r="F34" s="388">
        <f ca="1">+ROUND(D34/J34+E34,1)</f>
        <v>20.3</v>
      </c>
      <c r="G34" s="385">
        <f ca="1">+ROUND(D34/(F34-E34),2)</f>
        <v>3.06</v>
      </c>
      <c r="H34" s="390"/>
      <c r="J34" s="385">
        <f ca="1">+ROUND(J33-0.02+RAND()*0.04,2)</f>
        <v>3.06</v>
      </c>
      <c r="L34" s="4"/>
    </row>
    <row r="35" ht="7.5" customHeight="1" spans="4:12">
      <c r="D35" s="391"/>
      <c r="E35" s="391"/>
      <c r="F35" s="391"/>
      <c r="G35" s="391"/>
      <c r="H35" s="391"/>
      <c r="I35" s="391"/>
      <c r="J35" s="391"/>
      <c r="K35" s="391"/>
      <c r="L35" s="4"/>
    </row>
    <row r="36" spans="4:12">
      <c r="D36" s="392" t="s">
        <v>75</v>
      </c>
      <c r="E36" s="386"/>
      <c r="F36" s="386"/>
      <c r="G36" s="386"/>
      <c r="H36" s="386"/>
      <c r="I36" s="386"/>
      <c r="J36" s="386"/>
      <c r="K36" s="386"/>
      <c r="L36" s="4"/>
    </row>
    <row r="37" ht="23.25" customHeight="1" spans="4:19">
      <c r="D37" s="385" t="s">
        <v>76</v>
      </c>
      <c r="E37" s="385" t="s">
        <v>77</v>
      </c>
      <c r="F37" s="385" t="s">
        <v>78</v>
      </c>
      <c r="G37" s="393" t="s">
        <v>79</v>
      </c>
      <c r="H37" s="393" t="s">
        <v>80</v>
      </c>
      <c r="I37" s="393" t="s">
        <v>81</v>
      </c>
      <c r="J37" s="393" t="s">
        <v>82</v>
      </c>
      <c r="K37" s="393" t="s">
        <v>75</v>
      </c>
      <c r="L37" s="385" t="s">
        <v>83</v>
      </c>
      <c r="M37" s="385" t="s">
        <v>84</v>
      </c>
      <c r="N37" s="393" t="s">
        <v>85</v>
      </c>
      <c r="O37" s="386"/>
      <c r="P37" s="386"/>
      <c r="Q37"/>
      <c r="R37"/>
      <c r="S37"/>
    </row>
    <row r="38" spans="4:19">
      <c r="D38" s="394">
        <v>1.85</v>
      </c>
      <c r="E38" s="385">
        <v>2.748</v>
      </c>
      <c r="F38" s="384">
        <v>335</v>
      </c>
      <c r="G38" s="385">
        <v>76.7</v>
      </c>
      <c r="H38" s="385">
        <f ca="1">+ROUND(((N38/F38)*($H$33/$G$30))^2*G38,1)</f>
        <v>76.6</v>
      </c>
      <c r="I38" s="388">
        <v>20</v>
      </c>
      <c r="J38" s="385">
        <v>21.1</v>
      </c>
      <c r="K38" s="388">
        <f ca="1">+ROUND(F38*($G$30/$H$33)*SQRT(H38/G38),1)</f>
        <v>346.6</v>
      </c>
      <c r="L38" s="385">
        <f ca="1">+ROUND(AVERAGE(K38:K39),0)-(MOD(AVERAGE(K38:K39)*10,20)=5)</f>
        <v>347</v>
      </c>
      <c r="M38" s="409">
        <f ca="1">ROUND((50+RAND()*10)*0.5,0)/0.5</f>
        <v>54</v>
      </c>
      <c r="N38" s="385">
        <f ca="1">ROUND(340+RAND()*10,1)</f>
        <v>346.6</v>
      </c>
      <c r="O38" s="386"/>
      <c r="P38" s="386"/>
      <c r="Q38"/>
      <c r="R38"/>
      <c r="S38"/>
    </row>
    <row r="39" spans="4:19">
      <c r="D39" s="394">
        <f>+D38</f>
        <v>1.85</v>
      </c>
      <c r="E39" s="385">
        <v>2.748</v>
      </c>
      <c r="F39" s="384">
        <f>+F38</f>
        <v>335</v>
      </c>
      <c r="G39" s="385">
        <v>76.7</v>
      </c>
      <c r="H39" s="385">
        <f ca="1">+ROUND(((N39/F39)*($H$33/$G$30))^2*G39,1)</f>
        <v>77.2</v>
      </c>
      <c r="I39" s="388">
        <v>20</v>
      </c>
      <c r="J39" s="385">
        <f ca="1">+ROUND(J38-0.1+RAND()*0.2,1)</f>
        <v>21</v>
      </c>
      <c r="K39" s="388">
        <f ca="1">+ROUND(F39*($G$30/$H$33)*SQRT(H39/G39),1)</f>
        <v>348</v>
      </c>
      <c r="L39" s="385"/>
      <c r="M39" s="409"/>
      <c r="N39" s="388">
        <f ca="1">+ROUND(N38-5+RAND()*10,1)</f>
        <v>347.9</v>
      </c>
      <c r="O39" s="386"/>
      <c r="P39" s="386"/>
      <c r="Q39"/>
      <c r="R39"/>
      <c r="S39"/>
    </row>
    <row r="40" ht="9" customHeight="1" spans="4:19">
      <c r="D40" s="391"/>
      <c r="E40" s="391"/>
      <c r="F40" s="391"/>
      <c r="G40" s="391"/>
      <c r="H40" s="391"/>
      <c r="I40" s="391"/>
      <c r="J40" s="391"/>
      <c r="K40" s="391"/>
      <c r="L40" s="410"/>
      <c r="M40" s="391"/>
      <c r="N40" s="391"/>
      <c r="O40" s="391"/>
      <c r="P40" s="391"/>
      <c r="Q40" s="386"/>
      <c r="R40" s="386"/>
      <c r="S40" s="386"/>
    </row>
    <row r="41" spans="4:12">
      <c r="D41" s="385" t="s">
        <v>86</v>
      </c>
      <c r="E41" s="386"/>
      <c r="F41" s="386"/>
      <c r="G41" s="386"/>
      <c r="H41" s="386"/>
      <c r="I41" s="386"/>
      <c r="J41" s="386"/>
      <c r="K41" s="386"/>
      <c r="L41" s="4"/>
    </row>
    <row r="42" spans="4:19">
      <c r="D42" s="385" t="s">
        <v>69</v>
      </c>
      <c r="E42" s="385" t="s">
        <v>87</v>
      </c>
      <c r="F42" s="385" t="s">
        <v>88</v>
      </c>
      <c r="G42" s="385" t="s">
        <v>89</v>
      </c>
      <c r="H42" s="386"/>
      <c r="J42" s="1"/>
      <c r="K42" s="4"/>
      <c r="L42" s="4"/>
      <c r="M42" s="4"/>
      <c r="Q42"/>
      <c r="R42"/>
      <c r="S42"/>
    </row>
    <row r="43" spans="4:19">
      <c r="D43" s="385">
        <v>500</v>
      </c>
      <c r="E43" s="388">
        <v>134.2</v>
      </c>
      <c r="F43" s="385">
        <f ca="1">+ROUND(6-1+RAND()*2,0)</f>
        <v>6</v>
      </c>
      <c r="G43" s="388">
        <f>+ROUND(E43/D43*100,1)</f>
        <v>26.8</v>
      </c>
      <c r="H43" s="386"/>
      <c r="J43" s="1"/>
      <c r="K43" s="4"/>
      <c r="L43" s="4"/>
      <c r="M43" s="4"/>
      <c r="Q43"/>
      <c r="R43"/>
      <c r="S43"/>
    </row>
    <row r="44" ht="7.5" customHeight="1" spans="4:12">
      <c r="D44" s="386"/>
      <c r="E44" s="386"/>
      <c r="F44" s="386"/>
      <c r="G44" s="386"/>
      <c r="H44" s="386"/>
      <c r="I44" s="386"/>
      <c r="J44" s="386"/>
      <c r="K44" s="386"/>
      <c r="L44" s="4"/>
    </row>
    <row r="45" spans="4:19">
      <c r="D45" s="385" t="s">
        <v>90</v>
      </c>
      <c r="E45" s="395" t="s">
        <v>91</v>
      </c>
      <c r="F45" s="396"/>
      <c r="G45" s="396"/>
      <c r="H45" s="397"/>
      <c r="I45" s="385" t="s">
        <v>92</v>
      </c>
      <c r="J45" s="386" t="s">
        <v>93</v>
      </c>
      <c r="K45" s="386" t="s">
        <v>94</v>
      </c>
      <c r="L45" s="386"/>
      <c r="M45" s="4"/>
      <c r="Q45"/>
      <c r="R45"/>
      <c r="S45"/>
    </row>
    <row r="46" spans="4:19">
      <c r="D46" s="385" t="s">
        <v>95</v>
      </c>
      <c r="E46" s="388">
        <f ca="1" t="shared" ref="E46:E51" si="0">+ROUND(F46*40^3/(100*1.5)+4-RAND()*8,1)</f>
        <v>2131.8</v>
      </c>
      <c r="F46" s="388">
        <f ca="1">+ROUND(4.8*(1+0.09*RAND()),1)</f>
        <v>5</v>
      </c>
      <c r="G46" s="388">
        <f ca="1">+ROUND(AVERAGE(F46:F48),1)-(MOD(AVERAGE(F46:F48)*100,20)=5)/10</f>
        <v>5</v>
      </c>
      <c r="H46" s="386"/>
      <c r="I46" s="392" t="s">
        <v>95</v>
      </c>
      <c r="J46" s="411">
        <f ca="1">+ROUND((K46-0.04+RAND()*0.08)*1.6,2)</f>
        <v>44.92</v>
      </c>
      <c r="K46" s="388">
        <f ca="1" t="shared" ref="K46:K51" si="1">+ROUND(26*(1+0.09*RAND()),1)</f>
        <v>28.1</v>
      </c>
      <c r="L46" s="412">
        <f ca="1">+ROUND(AVERAGE(K46:K51),1)-(MOD(AVERAGE(K46:K51)*100,20)=5)/10</f>
        <v>27.7</v>
      </c>
      <c r="M46" s="4"/>
      <c r="Q46"/>
      <c r="R46"/>
      <c r="S46"/>
    </row>
    <row r="47" spans="4:19">
      <c r="D47" s="385"/>
      <c r="E47" s="388">
        <f ca="1" t="shared" si="0"/>
        <v>2130.9</v>
      </c>
      <c r="F47" s="388">
        <f ca="1">+ROUND(4.8*(1+0.09*RAND()),1)</f>
        <v>5</v>
      </c>
      <c r="G47" s="385"/>
      <c r="H47" s="386"/>
      <c r="I47" s="413"/>
      <c r="J47" s="411">
        <f ca="1" t="shared" ref="J47:J57" si="2">+ROUND((K47-0.04+RAND()*0.08)*1.6,2)</f>
        <v>44.95</v>
      </c>
      <c r="K47" s="388">
        <f ca="1" t="shared" si="1"/>
        <v>28.1</v>
      </c>
      <c r="L47" s="414"/>
      <c r="M47" s="4"/>
      <c r="Q47"/>
      <c r="R47"/>
      <c r="S47"/>
    </row>
    <row r="48" spans="4:19">
      <c r="D48" s="385"/>
      <c r="E48" s="388">
        <f ca="1" t="shared" si="0"/>
        <v>2136.4</v>
      </c>
      <c r="F48" s="388">
        <f ca="1">+ROUND(4.8*(1+0.09*RAND()),1)</f>
        <v>5</v>
      </c>
      <c r="G48" s="385"/>
      <c r="H48" s="386"/>
      <c r="I48" s="413"/>
      <c r="J48" s="411">
        <f ca="1" t="shared" si="2"/>
        <v>42.69</v>
      </c>
      <c r="K48" s="388">
        <f ca="1" t="shared" si="1"/>
        <v>26.7</v>
      </c>
      <c r="L48" s="414"/>
      <c r="M48" s="4"/>
      <c r="Q48"/>
      <c r="R48"/>
      <c r="S48"/>
    </row>
    <row r="49" spans="4:19">
      <c r="D49" s="385" t="s">
        <v>96</v>
      </c>
      <c r="E49" s="388">
        <f ca="1" t="shared" si="0"/>
        <v>3161.2</v>
      </c>
      <c r="F49" s="385">
        <f ca="1">ROUND(7.2*(1+0.09*RAND()),1)</f>
        <v>7.4</v>
      </c>
      <c r="G49" s="388">
        <f ca="1">+ROUND(AVERAGE(F49:F51),1)-(MOD(AVERAGE(F49:F51)*100,20)=5)/10</f>
        <v>7.5</v>
      </c>
      <c r="H49" s="386"/>
      <c r="I49" s="413"/>
      <c r="J49" s="411">
        <f ca="1" t="shared" si="2"/>
        <v>44.49</v>
      </c>
      <c r="K49" s="388">
        <f ca="1" t="shared" si="1"/>
        <v>27.8</v>
      </c>
      <c r="L49" s="414"/>
      <c r="M49" s="4"/>
      <c r="Q49"/>
      <c r="R49"/>
      <c r="S49"/>
    </row>
    <row r="50" spans="4:19">
      <c r="D50" s="385"/>
      <c r="E50" s="388">
        <f ca="1" t="shared" si="0"/>
        <v>3286.6</v>
      </c>
      <c r="F50" s="385">
        <f ca="1">ROUND(7.2*(1+0.09*RAND()),1)</f>
        <v>7.7</v>
      </c>
      <c r="G50" s="385"/>
      <c r="H50" s="386"/>
      <c r="I50" s="413"/>
      <c r="J50" s="411">
        <f ca="1" t="shared" si="2"/>
        <v>43.97</v>
      </c>
      <c r="K50" s="388">
        <f ca="1" t="shared" si="1"/>
        <v>27.5</v>
      </c>
      <c r="L50" s="414"/>
      <c r="M50" s="4"/>
      <c r="Q50"/>
      <c r="R50"/>
      <c r="S50"/>
    </row>
    <row r="51" spans="4:19">
      <c r="D51" s="385"/>
      <c r="E51" s="388">
        <f ca="1" t="shared" si="0"/>
        <v>3196.8</v>
      </c>
      <c r="F51" s="385">
        <f ca="1">ROUND(7.2*(1+0.09*RAND()),1)</f>
        <v>7.5</v>
      </c>
      <c r="G51" s="385"/>
      <c r="H51" s="386"/>
      <c r="I51" s="415"/>
      <c r="J51" s="411">
        <f ca="1" t="shared" si="2"/>
        <v>45.16</v>
      </c>
      <c r="K51" s="388">
        <f ca="1" t="shared" si="1"/>
        <v>28.2</v>
      </c>
      <c r="L51" s="416"/>
      <c r="M51" s="4"/>
      <c r="Q51"/>
      <c r="R51"/>
      <c r="S51"/>
    </row>
    <row r="52" spans="4:19">
      <c r="D52" s="386"/>
      <c r="E52" s="386"/>
      <c r="F52" s="386"/>
      <c r="G52" s="386"/>
      <c r="H52" s="386"/>
      <c r="I52" s="392" t="s">
        <v>96</v>
      </c>
      <c r="J52" s="411">
        <f ca="1" t="shared" si="2"/>
        <v>74.62</v>
      </c>
      <c r="K52" s="388">
        <f ca="1" t="shared" ref="K52:K57" si="3">ROUND(45*(1+0.09*RAND()),1)</f>
        <v>46.6</v>
      </c>
      <c r="L52" s="412">
        <f ca="1">+ROUND(AVERAGE(K52:K57),1)-(MOD(AVERAGE(K52:K57)*100,20)=5)/10</f>
        <v>47</v>
      </c>
      <c r="M52" s="4"/>
      <c r="Q52"/>
      <c r="R52"/>
      <c r="S52"/>
    </row>
    <row r="53" spans="4:19">
      <c r="D53" s="386"/>
      <c r="E53" s="386"/>
      <c r="F53" s="386"/>
      <c r="G53" s="386"/>
      <c r="H53" s="386"/>
      <c r="I53" s="413"/>
      <c r="J53" s="411">
        <f ca="1" t="shared" si="2"/>
        <v>77.08</v>
      </c>
      <c r="K53" s="388">
        <f ca="1" t="shared" si="3"/>
        <v>48.2</v>
      </c>
      <c r="L53" s="414"/>
      <c r="M53" s="4"/>
      <c r="Q53"/>
      <c r="R53"/>
      <c r="S53"/>
    </row>
    <row r="54" spans="4:19">
      <c r="D54" s="386"/>
      <c r="E54" s="386"/>
      <c r="F54" s="386"/>
      <c r="G54" s="386"/>
      <c r="H54" s="386"/>
      <c r="I54" s="413"/>
      <c r="J54" s="411">
        <f ca="1" t="shared" si="2"/>
        <v>74.21</v>
      </c>
      <c r="K54" s="388">
        <f ca="1" t="shared" si="3"/>
        <v>46.4</v>
      </c>
      <c r="L54" s="414"/>
      <c r="M54" s="4"/>
      <c r="Q54"/>
      <c r="R54"/>
      <c r="S54"/>
    </row>
    <row r="55" spans="4:19">
      <c r="D55" s="386"/>
      <c r="E55" s="386"/>
      <c r="F55" s="386"/>
      <c r="G55" s="386"/>
      <c r="H55" s="386"/>
      <c r="I55" s="413"/>
      <c r="J55" s="411">
        <f ca="1" t="shared" si="2"/>
        <v>72.51</v>
      </c>
      <c r="K55" s="388">
        <f ca="1" t="shared" si="3"/>
        <v>45.3</v>
      </c>
      <c r="L55" s="414"/>
      <c r="M55" s="4"/>
      <c r="Q55"/>
      <c r="R55"/>
      <c r="S55"/>
    </row>
    <row r="56" spans="4:19">
      <c r="D56" s="386"/>
      <c r="E56" s="386"/>
      <c r="F56" s="386"/>
      <c r="G56" s="386"/>
      <c r="H56" s="386"/>
      <c r="I56" s="413"/>
      <c r="J56" s="411">
        <f ca="1" t="shared" si="2"/>
        <v>78.43</v>
      </c>
      <c r="K56" s="388">
        <f ca="1" t="shared" si="3"/>
        <v>49</v>
      </c>
      <c r="L56" s="414"/>
      <c r="M56" s="4"/>
      <c r="Q56"/>
      <c r="R56"/>
      <c r="S56"/>
    </row>
    <row r="57" spans="4:19">
      <c r="D57" s="386"/>
      <c r="E57" s="386"/>
      <c r="F57" s="386"/>
      <c r="G57" s="386"/>
      <c r="H57" s="386"/>
      <c r="I57" s="415"/>
      <c r="J57" s="411">
        <f ca="1" t="shared" si="2"/>
        <v>74.56</v>
      </c>
      <c r="K57" s="388">
        <f ca="1" t="shared" si="3"/>
        <v>46.6</v>
      </c>
      <c r="L57" s="416"/>
      <c r="M57" s="4"/>
      <c r="Q57"/>
      <c r="R57"/>
      <c r="S57"/>
    </row>
    <row r="58" spans="4:12">
      <c r="D58" s="386"/>
      <c r="E58" s="386"/>
      <c r="F58" s="386"/>
      <c r="G58" s="386"/>
      <c r="H58" s="386"/>
      <c r="I58" s="386"/>
      <c r="J58" s="386"/>
      <c r="K58" s="386"/>
      <c r="L58" s="4"/>
    </row>
    <row r="59" spans="4:12">
      <c r="D59" s="386"/>
      <c r="E59" s="386"/>
      <c r="F59" s="386"/>
      <c r="G59" s="386"/>
      <c r="H59" s="386"/>
      <c r="I59" s="386"/>
      <c r="J59" s="386"/>
      <c r="K59" s="386"/>
      <c r="L59" s="4"/>
    </row>
    <row r="60" spans="4:12">
      <c r="D60" s="386"/>
      <c r="E60" s="386"/>
      <c r="F60" s="386"/>
      <c r="G60" s="386"/>
      <c r="H60" s="386"/>
      <c r="I60" s="386"/>
      <c r="J60" s="386"/>
      <c r="K60" s="386"/>
      <c r="L60" s="4"/>
    </row>
    <row r="61" spans="4:12">
      <c r="D61" s="386"/>
      <c r="E61" s="386"/>
      <c r="F61" s="386"/>
      <c r="G61" s="386"/>
      <c r="H61" s="386"/>
      <c r="I61" s="386"/>
      <c r="J61" s="386"/>
      <c r="K61" s="386"/>
      <c r="L61" s="4"/>
    </row>
    <row r="62" spans="4:12">
      <c r="D62" s="386"/>
      <c r="E62" s="386"/>
      <c r="F62" s="386"/>
      <c r="G62" s="386"/>
      <c r="H62" s="386"/>
      <c r="I62" s="386"/>
      <c r="J62" s="386"/>
      <c r="K62" s="386"/>
      <c r="L62" s="4"/>
    </row>
    <row r="63" spans="4:12">
      <c r="D63" s="386"/>
      <c r="E63" s="386"/>
      <c r="F63" s="386"/>
      <c r="G63" s="386"/>
      <c r="H63" s="386"/>
      <c r="I63" s="386"/>
      <c r="J63" s="386"/>
      <c r="K63" s="386"/>
      <c r="L63" s="4"/>
    </row>
    <row r="64" spans="4:12">
      <c r="D64" s="386"/>
      <c r="E64" s="386"/>
      <c r="F64" s="386"/>
      <c r="G64" s="386"/>
      <c r="H64" s="386"/>
      <c r="I64" s="386"/>
      <c r="J64" s="386"/>
      <c r="K64" s="386"/>
      <c r="L64" s="4"/>
    </row>
    <row r="65" spans="4:11">
      <c r="D65" s="419"/>
      <c r="E65" s="419"/>
      <c r="F65" s="386"/>
      <c r="G65" s="386"/>
      <c r="H65" s="386"/>
      <c r="I65" s="386"/>
      <c r="J65" s="419"/>
      <c r="K65" s="419"/>
    </row>
    <row r="66" spans="4:11">
      <c r="D66" s="419"/>
      <c r="E66" s="419"/>
      <c r="F66" s="386"/>
      <c r="G66" s="386"/>
      <c r="H66" s="386"/>
      <c r="I66" s="386"/>
      <c r="J66" s="419"/>
      <c r="K66" s="419"/>
    </row>
    <row r="67" spans="4:11">
      <c r="D67" s="419"/>
      <c r="E67" s="419"/>
      <c r="F67" s="386"/>
      <c r="G67" s="386"/>
      <c r="H67" s="386"/>
      <c r="I67" s="386"/>
      <c r="J67" s="419"/>
      <c r="K67" s="419"/>
    </row>
    <row r="68" spans="4:11">
      <c r="D68" s="419"/>
      <c r="E68" s="419"/>
      <c r="F68" s="386"/>
      <c r="G68" s="386"/>
      <c r="H68" s="386"/>
      <c r="I68" s="386"/>
      <c r="J68" s="419"/>
      <c r="K68" s="419"/>
    </row>
    <row r="69" spans="4:11">
      <c r="D69" s="419"/>
      <c r="E69" s="419"/>
      <c r="F69" s="386"/>
      <c r="G69" s="386"/>
      <c r="H69" s="386"/>
      <c r="I69" s="386"/>
      <c r="J69" s="419"/>
      <c r="K69" s="419"/>
    </row>
    <row r="70" spans="4:11">
      <c r="D70" s="419"/>
      <c r="E70" s="419"/>
      <c r="F70" s="386"/>
      <c r="G70" s="386"/>
      <c r="H70" s="386"/>
      <c r="I70" s="386"/>
      <c r="J70" s="419"/>
      <c r="K70" s="419"/>
    </row>
    <row r="71" spans="4:11">
      <c r="D71" s="419"/>
      <c r="E71" s="419"/>
      <c r="F71" s="386"/>
      <c r="G71" s="386"/>
      <c r="H71" s="386"/>
      <c r="I71" s="386"/>
      <c r="J71" s="419"/>
      <c r="K71" s="419"/>
    </row>
    <row r="72" spans="4:11">
      <c r="D72" s="419"/>
      <c r="E72" s="419"/>
      <c r="F72" s="386"/>
      <c r="G72" s="386"/>
      <c r="H72" s="386"/>
      <c r="I72" s="386"/>
      <c r="J72" s="419"/>
      <c r="K72" s="419"/>
    </row>
    <row r="73" spans="4:11">
      <c r="D73" s="419"/>
      <c r="E73" s="419"/>
      <c r="F73" s="386"/>
      <c r="G73" s="386"/>
      <c r="H73" s="386"/>
      <c r="I73" s="386"/>
      <c r="J73" s="419"/>
      <c r="K73" s="419"/>
    </row>
    <row r="74" spans="4:11">
      <c r="D74" s="419"/>
      <c r="E74" s="419"/>
      <c r="F74" s="386"/>
      <c r="G74" s="386"/>
      <c r="H74" s="386"/>
      <c r="I74" s="386"/>
      <c r="J74" s="419"/>
      <c r="K74" s="419"/>
    </row>
    <row r="75" spans="4:11">
      <c r="D75" s="419"/>
      <c r="E75" s="419"/>
      <c r="F75" s="386"/>
      <c r="G75" s="386"/>
      <c r="H75" s="386"/>
      <c r="I75" s="386"/>
      <c r="J75" s="419"/>
      <c r="K75" s="419"/>
    </row>
    <row r="76" spans="4:11">
      <c r="D76" s="419"/>
      <c r="E76" s="419"/>
      <c r="F76" s="386"/>
      <c r="G76" s="386"/>
      <c r="H76" s="386"/>
      <c r="I76" s="386"/>
      <c r="J76" s="419"/>
      <c r="K76" s="419"/>
    </row>
    <row r="77" spans="4:11">
      <c r="D77" s="419"/>
      <c r="E77" s="419"/>
      <c r="F77" s="386"/>
      <c r="G77" s="386"/>
      <c r="H77" s="386"/>
      <c r="I77" s="386"/>
      <c r="J77" s="419"/>
      <c r="K77" s="419"/>
    </row>
    <row r="78" spans="4:11">
      <c r="D78" s="419"/>
      <c r="E78" s="419"/>
      <c r="F78" s="386"/>
      <c r="G78" s="386"/>
      <c r="H78" s="386"/>
      <c r="I78" s="386"/>
      <c r="J78" s="419"/>
      <c r="K78" s="419"/>
    </row>
    <row r="79" spans="4:11">
      <c r="D79" s="419"/>
      <c r="E79" s="419"/>
      <c r="F79" s="386"/>
      <c r="G79" s="386"/>
      <c r="H79" s="386"/>
      <c r="I79" s="386"/>
      <c r="J79" s="419"/>
      <c r="K79" s="419"/>
    </row>
    <row r="80" spans="4:11">
      <c r="D80" s="419"/>
      <c r="E80" s="419"/>
      <c r="F80" s="386"/>
      <c r="G80" s="386"/>
      <c r="H80" s="386"/>
      <c r="I80" s="386"/>
      <c r="J80" s="419"/>
      <c r="K80" s="419"/>
    </row>
    <row r="81" spans="4:11">
      <c r="D81" s="419"/>
      <c r="E81" s="419"/>
      <c r="F81" s="386"/>
      <c r="G81" s="386"/>
      <c r="H81" s="386"/>
      <c r="I81" s="386"/>
      <c r="J81" s="419"/>
      <c r="K81" s="419"/>
    </row>
    <row r="82" spans="4:11">
      <c r="D82" s="419"/>
      <c r="E82" s="419"/>
      <c r="F82" s="386"/>
      <c r="G82" s="386"/>
      <c r="H82" s="386"/>
      <c r="I82" s="386"/>
      <c r="J82" s="419"/>
      <c r="K82" s="419"/>
    </row>
  </sheetData>
  <mergeCells count="42">
    <mergeCell ref="C10:E10"/>
    <mergeCell ref="P10:R10"/>
    <mergeCell ref="C11:E11"/>
    <mergeCell ref="C15:D15"/>
    <mergeCell ref="P15:S15"/>
    <mergeCell ref="C16:D16"/>
    <mergeCell ref="C17:D17"/>
    <mergeCell ref="N17:O17"/>
    <mergeCell ref="C21:F21"/>
    <mergeCell ref="C22:D22"/>
    <mergeCell ref="E22:F22"/>
    <mergeCell ref="C23:D23"/>
    <mergeCell ref="E23:F23"/>
    <mergeCell ref="C27:D27"/>
    <mergeCell ref="E45:G45"/>
    <mergeCell ref="D46:D48"/>
    <mergeCell ref="D49:D51"/>
    <mergeCell ref="E3:E4"/>
    <mergeCell ref="E7:E8"/>
    <mergeCell ref="F15:F17"/>
    <mergeCell ref="G46:G48"/>
    <mergeCell ref="G49:G51"/>
    <mergeCell ref="H33:H34"/>
    <mergeCell ref="I46:I51"/>
    <mergeCell ref="I52:I57"/>
    <mergeCell ref="L38:L39"/>
    <mergeCell ref="L46:L51"/>
    <mergeCell ref="L52:L57"/>
    <mergeCell ref="M7:M9"/>
    <mergeCell ref="M11:M12"/>
    <mergeCell ref="M38:M39"/>
    <mergeCell ref="N5:N6"/>
    <mergeCell ref="N8:N9"/>
    <mergeCell ref="O5:O6"/>
    <mergeCell ref="P5:P6"/>
    <mergeCell ref="Q5:Q6"/>
    <mergeCell ref="R5:R6"/>
    <mergeCell ref="S5:S6"/>
    <mergeCell ref="C18:F20"/>
    <mergeCell ref="C24:F26"/>
    <mergeCell ref="G27:K28"/>
    <mergeCell ref="C13:E1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75585192419"/>
  </sheetPr>
  <dimension ref="C4:J35"/>
  <sheetViews>
    <sheetView topLeftCell="A19" workbookViewId="0">
      <selection activeCell="D4" sqref="D4"/>
    </sheetView>
  </sheetViews>
  <sheetFormatPr defaultColWidth="9" defaultRowHeight="18" customHeight="1"/>
  <cols>
    <col min="6" max="8" width="9" style="4"/>
    <col min="10" max="10" width="9" style="4"/>
  </cols>
  <sheetData>
    <row r="4" customHeight="1" spans="3:4">
      <c r="C4" s="163" t="s">
        <v>97</v>
      </c>
      <c r="D4" s="329">
        <v>0.04375</v>
      </c>
    </row>
    <row r="6" customHeight="1" spans="3:4">
      <c r="C6" s="330" t="s">
        <v>98</v>
      </c>
      <c r="D6" s="322"/>
    </row>
    <row r="9" customHeight="1" spans="10:10">
      <c r="J9" s="341"/>
    </row>
    <row r="11" customHeight="1" spans="6:8">
      <c r="F11" s="154" t="s">
        <v>99</v>
      </c>
      <c r="G11" s="154" t="s">
        <v>100</v>
      </c>
      <c r="H11" s="154" t="s">
        <v>101</v>
      </c>
    </row>
    <row r="12" customHeight="1" spans="3:8">
      <c r="C12" s="331" t="s">
        <v>102</v>
      </c>
      <c r="D12" s="161"/>
      <c r="E12" s="179" t="s">
        <v>103</v>
      </c>
      <c r="F12" s="6">
        <v>12</v>
      </c>
      <c r="G12" s="6">
        <v>25</v>
      </c>
      <c r="H12" s="6">
        <v>45</v>
      </c>
    </row>
    <row r="13" customHeight="1" spans="3:8">
      <c r="C13" s="332"/>
      <c r="D13" s="332"/>
      <c r="E13" s="333" t="s">
        <v>104</v>
      </c>
      <c r="F13" s="6"/>
      <c r="G13" s="6"/>
      <c r="H13" s="6"/>
    </row>
    <row r="14" customHeight="1" spans="3:8">
      <c r="C14" s="331" t="s">
        <v>105</v>
      </c>
      <c r="D14" s="161"/>
      <c r="E14" s="179" t="s">
        <v>103</v>
      </c>
      <c r="F14" s="18">
        <v>95</v>
      </c>
      <c r="G14" s="18">
        <v>105</v>
      </c>
      <c r="H14" s="18">
        <v>115</v>
      </c>
    </row>
    <row r="15" customHeight="1" spans="3:8">
      <c r="C15" s="332"/>
      <c r="D15" s="332"/>
      <c r="E15" s="333" t="s">
        <v>104</v>
      </c>
      <c r="F15" s="18"/>
      <c r="G15" s="18"/>
      <c r="H15" s="18"/>
    </row>
    <row r="16" customHeight="1" spans="3:8">
      <c r="C16" s="331" t="s">
        <v>106</v>
      </c>
      <c r="D16" s="161"/>
      <c r="E16" s="179" t="s">
        <v>103</v>
      </c>
      <c r="F16" s="6">
        <v>5</v>
      </c>
      <c r="G16" s="6">
        <v>8</v>
      </c>
      <c r="H16" s="6">
        <v>15</v>
      </c>
    </row>
    <row r="17" customHeight="1" spans="3:8">
      <c r="C17" s="332"/>
      <c r="D17" s="332"/>
      <c r="E17" s="333" t="s">
        <v>104</v>
      </c>
      <c r="F17" s="6"/>
      <c r="G17" s="6"/>
      <c r="H17" s="6"/>
    </row>
    <row r="18" customHeight="1" spans="3:8">
      <c r="C18" s="331" t="s">
        <v>107</v>
      </c>
      <c r="D18" s="161"/>
      <c r="E18" s="179" t="s">
        <v>103</v>
      </c>
      <c r="F18" s="334">
        <v>1</v>
      </c>
      <c r="G18" s="41"/>
      <c r="H18" s="42"/>
    </row>
    <row r="19" customHeight="1" spans="3:8">
      <c r="C19" s="332"/>
      <c r="D19" s="332"/>
      <c r="E19" s="333" t="s">
        <v>104</v>
      </c>
      <c r="F19" s="335"/>
      <c r="G19" s="51"/>
      <c r="H19" s="52"/>
    </row>
    <row r="20" customHeight="1" spans="3:8">
      <c r="C20" s="331" t="s">
        <v>108</v>
      </c>
      <c r="D20" s="161"/>
      <c r="E20" s="179" t="s">
        <v>103</v>
      </c>
      <c r="F20" s="334">
        <v>3</v>
      </c>
      <c r="G20" s="41"/>
      <c r="H20" s="42"/>
    </row>
    <row r="21" customHeight="1" spans="3:8">
      <c r="C21" s="332"/>
      <c r="D21" s="332"/>
      <c r="E21" s="333" t="s">
        <v>104</v>
      </c>
      <c r="F21" s="335"/>
      <c r="G21" s="51"/>
      <c r="H21" s="52"/>
    </row>
    <row r="22" customHeight="1" spans="3:8">
      <c r="C22" s="331" t="s">
        <v>109</v>
      </c>
      <c r="D22" s="161"/>
      <c r="E22" s="179" t="s">
        <v>103</v>
      </c>
      <c r="F22" s="6">
        <v>1</v>
      </c>
      <c r="G22" s="22"/>
      <c r="H22" s="22"/>
    </row>
    <row r="23" customHeight="1" spans="3:8">
      <c r="C23" s="332"/>
      <c r="D23" s="332"/>
      <c r="E23" s="333" t="s">
        <v>104</v>
      </c>
      <c r="F23" s="6">
        <v>4</v>
      </c>
      <c r="G23" s="22"/>
      <c r="H23" s="22"/>
    </row>
    <row r="24" customHeight="1" spans="3:8">
      <c r="C24" s="331" t="s">
        <v>110</v>
      </c>
      <c r="D24" s="161"/>
      <c r="E24" s="179" t="s">
        <v>103</v>
      </c>
      <c r="F24" s="334">
        <v>5</v>
      </c>
      <c r="G24" s="41"/>
      <c r="H24" s="42"/>
    </row>
    <row r="25" customHeight="1" spans="3:8">
      <c r="C25" s="332"/>
      <c r="D25" s="332"/>
      <c r="E25" s="333" t="s">
        <v>104</v>
      </c>
      <c r="F25" s="335"/>
      <c r="G25" s="51"/>
      <c r="H25" s="52"/>
    </row>
    <row r="26" customHeight="1" spans="3:8">
      <c r="C26" s="331" t="s">
        <v>111</v>
      </c>
      <c r="D26" s="161"/>
      <c r="E26" s="179" t="s">
        <v>103</v>
      </c>
      <c r="F26" s="334">
        <v>70</v>
      </c>
      <c r="G26" s="41"/>
      <c r="H26" s="42"/>
    </row>
    <row r="27" customHeight="1" spans="3:8">
      <c r="C27" s="332"/>
      <c r="D27" s="332"/>
      <c r="E27" s="333" t="s">
        <v>104</v>
      </c>
      <c r="F27" s="335"/>
      <c r="G27" s="51"/>
      <c r="H27" s="52"/>
    </row>
    <row r="28" customHeight="1" spans="3:8">
      <c r="C28" s="42"/>
      <c r="D28" s="336"/>
      <c r="E28" s="41"/>
      <c r="F28" s="41"/>
      <c r="G28" s="41"/>
      <c r="H28" s="41"/>
    </row>
    <row r="29" customHeight="1" spans="3:8">
      <c r="C29" s="337"/>
      <c r="D29" s="338"/>
      <c r="E29" s="165"/>
      <c r="F29" s="165"/>
      <c r="G29" s="165"/>
      <c r="H29" s="165"/>
    </row>
    <row r="30" customHeight="1" spans="3:8">
      <c r="C30" s="339" t="s">
        <v>112</v>
      </c>
      <c r="D30" s="339"/>
      <c r="E30" s="340"/>
      <c r="F30" s="340"/>
      <c r="G30" s="340"/>
      <c r="H30" s="340"/>
    </row>
    <row r="31" customHeight="1" spans="3:8">
      <c r="C31" s="340"/>
      <c r="D31" s="340"/>
      <c r="E31" s="340"/>
      <c r="F31" s="340"/>
      <c r="G31" s="340"/>
      <c r="H31" s="340"/>
    </row>
    <row r="32" customHeight="1" spans="3:8">
      <c r="C32" s="47"/>
      <c r="D32" s="46"/>
      <c r="E32" s="165"/>
      <c r="F32" s="165"/>
      <c r="G32" s="165"/>
      <c r="H32" s="165"/>
    </row>
    <row r="33" customHeight="1" spans="3:8">
      <c r="C33" s="337"/>
      <c r="D33" s="338"/>
      <c r="E33" s="165"/>
      <c r="F33" s="165"/>
      <c r="G33" s="165"/>
      <c r="H33" s="165"/>
    </row>
    <row r="34" customHeight="1" spans="3:8">
      <c r="C34" s="47"/>
      <c r="D34" s="46"/>
      <c r="E34" s="165"/>
      <c r="F34" s="165"/>
      <c r="G34" s="165"/>
      <c r="H34" s="165"/>
    </row>
    <row r="35" customHeight="1" spans="3:8">
      <c r="C35" s="337"/>
      <c r="D35" s="338"/>
      <c r="E35" s="165"/>
      <c r="F35" s="165"/>
      <c r="G35" s="165"/>
      <c r="H35" s="165"/>
    </row>
  </sheetData>
  <mergeCells count="37">
    <mergeCell ref="C6:D6"/>
    <mergeCell ref="F22:H22"/>
    <mergeCell ref="F23:H23"/>
    <mergeCell ref="F12:F13"/>
    <mergeCell ref="F14:F15"/>
    <mergeCell ref="F16:F17"/>
    <mergeCell ref="F28:F29"/>
    <mergeCell ref="F32:F33"/>
    <mergeCell ref="F34:F35"/>
    <mergeCell ref="G12:G13"/>
    <mergeCell ref="G14:G15"/>
    <mergeCell ref="G16:G17"/>
    <mergeCell ref="G28:G29"/>
    <mergeCell ref="G32:G33"/>
    <mergeCell ref="G34:G35"/>
    <mergeCell ref="H12:H13"/>
    <mergeCell ref="H14:H15"/>
    <mergeCell ref="H16:H17"/>
    <mergeCell ref="H28:H29"/>
    <mergeCell ref="H32:H33"/>
    <mergeCell ref="H34:H35"/>
    <mergeCell ref="C12:D13"/>
    <mergeCell ref="C14:D15"/>
    <mergeCell ref="C24:D25"/>
    <mergeCell ref="F24:H25"/>
    <mergeCell ref="C16:D17"/>
    <mergeCell ref="C18:D19"/>
    <mergeCell ref="F18:H19"/>
    <mergeCell ref="C20:D21"/>
    <mergeCell ref="F20:H21"/>
    <mergeCell ref="C22:D23"/>
    <mergeCell ref="C34:D35"/>
    <mergeCell ref="C30:H31"/>
    <mergeCell ref="C32:D33"/>
    <mergeCell ref="C26:D27"/>
    <mergeCell ref="F26:H27"/>
    <mergeCell ref="C28:D2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399975585192419"/>
  </sheetPr>
  <dimension ref="B2:S34"/>
  <sheetViews>
    <sheetView topLeftCell="A52" workbookViewId="0">
      <selection activeCell="I6" sqref="I6"/>
    </sheetView>
  </sheetViews>
  <sheetFormatPr defaultColWidth="9" defaultRowHeight="18" customHeight="1"/>
  <cols>
    <col min="1" max="1" width="8.37962962962963" style="4" customWidth="1"/>
    <col min="2" max="2" width="8.87962962962963" style="4" customWidth="1"/>
    <col min="3" max="3" width="7.75" style="4" customWidth="1"/>
    <col min="4" max="4" width="9" style="4" customWidth="1"/>
    <col min="5" max="5" width="8.25" style="4" customWidth="1"/>
    <col min="6" max="6" width="10" style="4" customWidth="1"/>
    <col min="7" max="7" width="9" style="4"/>
    <col min="8" max="8" width="10.1296296296296" style="4" customWidth="1"/>
    <col min="9" max="10" width="9" style="275"/>
    <col min="11" max="11" width="7.87962962962963" style="275" customWidth="1"/>
    <col min="12" max="12" width="9" style="275"/>
    <col min="13" max="13" width="7.87962962962963" style="4" customWidth="1"/>
    <col min="14" max="15" width="9" style="4"/>
    <col min="16" max="16" width="6" style="4" customWidth="1"/>
    <col min="17" max="17" width="5.87962962962963" style="4" customWidth="1"/>
    <col min="18" max="16384" width="9" style="4"/>
  </cols>
  <sheetData>
    <row r="2" customHeight="1" spans="8:17">
      <c r="H2" s="276"/>
      <c r="I2" s="294"/>
      <c r="J2" s="294"/>
      <c r="K2" s="294"/>
      <c r="L2" s="294"/>
      <c r="M2" s="295"/>
      <c r="N2" s="295"/>
      <c r="O2" s="295"/>
      <c r="P2" s="295"/>
      <c r="Q2" s="317"/>
    </row>
    <row r="3" customHeight="1" spans="5:17">
      <c r="E3" s="277"/>
      <c r="F3" s="277"/>
      <c r="H3" s="278"/>
      <c r="I3" s="296"/>
      <c r="J3" s="296"/>
      <c r="K3" s="296"/>
      <c r="L3" s="296"/>
      <c r="M3" s="165"/>
      <c r="N3" s="165"/>
      <c r="O3" s="165"/>
      <c r="P3" s="165"/>
      <c r="Q3" s="318"/>
    </row>
    <row r="4" customHeight="1" spans="4:17">
      <c r="D4" s="230"/>
      <c r="E4" s="279" t="s">
        <v>113</v>
      </c>
      <c r="F4" s="279" t="s">
        <v>114</v>
      </c>
      <c r="H4" s="280"/>
      <c r="I4" s="297" t="s">
        <v>115</v>
      </c>
      <c r="J4" s="297" t="s">
        <v>116</v>
      </c>
      <c r="K4" s="297" t="s">
        <v>117</v>
      </c>
      <c r="L4" s="297" t="s">
        <v>73</v>
      </c>
      <c r="M4" s="165"/>
      <c r="N4" s="165"/>
      <c r="O4" s="165"/>
      <c r="P4" s="165"/>
      <c r="Q4" s="318"/>
    </row>
    <row r="5" customHeight="1" spans="4:19">
      <c r="D5" s="281" t="s">
        <v>118</v>
      </c>
      <c r="E5" s="282" t="s">
        <v>119</v>
      </c>
      <c r="F5" s="282" t="s">
        <v>120</v>
      </c>
      <c r="H5" s="280" t="s">
        <v>121</v>
      </c>
      <c r="I5" s="297">
        <f ca="1">+ROUND(RAND()*0.4+500,1)</f>
        <v>500.3</v>
      </c>
      <c r="J5" s="297">
        <f ca="1">+ROUND(I5*(1-R5/100),1)</f>
        <v>494.8</v>
      </c>
      <c r="K5" s="297">
        <f ca="1">+ROUND((I5-J5)/I5*100,1)</f>
        <v>1.1</v>
      </c>
      <c r="L5" s="200">
        <f ca="1">+ROUND(AVERAGE(K5:K6),1)-(MOD(AVERAGE(K5:K6)*100,20)=5)/10</f>
        <v>1.2</v>
      </c>
      <c r="M5" s="165"/>
      <c r="N5" s="165"/>
      <c r="O5" s="165"/>
      <c r="P5" s="165"/>
      <c r="Q5" s="318"/>
      <c r="R5" s="319">
        <f ca="1">+RAND()*0.8+0.5</f>
        <v>1.10687375912426</v>
      </c>
      <c r="S5" s="320">
        <f ca="1">+AVERAGE(R5:R6)</f>
        <v>1.1528976458954</v>
      </c>
    </row>
    <row r="6" customHeight="1" spans="4:19">
      <c r="D6" s="161" t="s">
        <v>122</v>
      </c>
      <c r="E6" s="282" t="s">
        <v>123</v>
      </c>
      <c r="F6" s="282" t="s">
        <v>123</v>
      </c>
      <c r="H6" s="280"/>
      <c r="I6" s="297">
        <f ca="1">+I5-0.2+RAND()*0.4</f>
        <v>500.494087066226</v>
      </c>
      <c r="J6" s="297">
        <f ca="1">+ROUND(I6*(1-R6/100),1)</f>
        <v>494.5</v>
      </c>
      <c r="K6" s="297">
        <f ca="1">+ROUND((I6-J6)/I6*100,1)</f>
        <v>1.2</v>
      </c>
      <c r="L6" s="200"/>
      <c r="M6" s="165"/>
      <c r="N6" s="165"/>
      <c r="O6" s="165"/>
      <c r="P6" s="165"/>
      <c r="Q6" s="318"/>
      <c r="R6" s="319">
        <f ca="1">+R5-0.2+RAND()*0.4</f>
        <v>1.19892153266654</v>
      </c>
      <c r="S6" s="321"/>
    </row>
    <row r="7" customHeight="1" spans="4:19">
      <c r="D7" s="161" t="s">
        <v>124</v>
      </c>
      <c r="E7" s="282" t="s">
        <v>125</v>
      </c>
      <c r="F7" s="282" t="s">
        <v>120</v>
      </c>
      <c r="H7" s="280" t="s">
        <v>126</v>
      </c>
      <c r="I7" s="297">
        <f ca="1">+ROUND(RAND()*0.3+200,1)</f>
        <v>200.3</v>
      </c>
      <c r="J7" s="297">
        <f ca="1">+ROUND(I7*(1-R7/100),1)</f>
        <v>199.9</v>
      </c>
      <c r="K7" s="297">
        <f ca="1">+ROUND((I7-J7)/I7*100,1)</f>
        <v>0.2</v>
      </c>
      <c r="L7" s="200">
        <f ca="1" t="shared" ref="L7" si="0">+ROUND(AVERAGE(K7:K8),1)-(MOD(AVERAGE(K7:K8)*100,20)=5)/10</f>
        <v>0.2</v>
      </c>
      <c r="M7" s="165"/>
      <c r="N7" s="165"/>
      <c r="O7" s="165"/>
      <c r="P7" s="165"/>
      <c r="Q7" s="318"/>
      <c r="R7" s="322">
        <f ca="1">+RAND()*0.3+0.2</f>
        <v>0.211443625701235</v>
      </c>
      <c r="S7" s="323">
        <f ca="1">+AVERAGE(R7:R8)</f>
        <v>0.199406655911726</v>
      </c>
    </row>
    <row r="8" customHeight="1" spans="4:19">
      <c r="D8" s="161" t="s">
        <v>127</v>
      </c>
      <c r="E8" s="282" t="s">
        <v>120</v>
      </c>
      <c r="F8" s="282" t="s">
        <v>128</v>
      </c>
      <c r="H8" s="280"/>
      <c r="I8" s="297">
        <f ca="1">+ROUND(I7-0.2+RAND()*0.4,1)</f>
        <v>200.5</v>
      </c>
      <c r="J8" s="297">
        <f ca="1">+ROUND(I8*(1-R8/100),1)</f>
        <v>200.1</v>
      </c>
      <c r="K8" s="297">
        <f ca="1">+ROUND((I8-J8)/I8*100,1)</f>
        <v>0.2</v>
      </c>
      <c r="L8" s="200"/>
      <c r="M8" s="165"/>
      <c r="N8" s="165"/>
      <c r="O8" s="165"/>
      <c r="P8" s="165"/>
      <c r="Q8" s="318"/>
      <c r="R8" s="322">
        <f ca="1">+ABS(R7-0.1+RAND()*0.1)</f>
        <v>0.187369686122216</v>
      </c>
      <c r="S8" s="324"/>
    </row>
    <row r="9" customHeight="1" spans="4:19">
      <c r="D9" s="161" t="s">
        <v>129</v>
      </c>
      <c r="E9" s="282" t="s">
        <v>120</v>
      </c>
      <c r="F9" s="282" t="s">
        <v>120</v>
      </c>
      <c r="H9" s="280" t="s">
        <v>130</v>
      </c>
      <c r="I9" s="298">
        <f ca="1">+ROUND(RAND()*0.04+15.02,2)</f>
        <v>15.03</v>
      </c>
      <c r="J9" s="298">
        <f ca="1">+ROUND(I9*R9/100,2)</f>
        <v>0.03</v>
      </c>
      <c r="K9" s="297">
        <f ca="1">+ROUND(J9/I9*100,1)</f>
        <v>0.2</v>
      </c>
      <c r="L9" s="200">
        <f ca="1" t="shared" ref="L9" si="1">+ROUND(AVERAGE(K9:K10),1)-(MOD(AVERAGE(K9:K10)*100,20)=5)/10</f>
        <v>0.2</v>
      </c>
      <c r="M9" s="165"/>
      <c r="N9" s="165"/>
      <c r="O9" s="165"/>
      <c r="P9" s="165"/>
      <c r="Q9" s="318"/>
      <c r="R9" s="319">
        <f ca="1">+RAND()*0.3</f>
        <v>0.189214614351005</v>
      </c>
      <c r="S9" s="320">
        <f ca="1">+AVERAGE(R9:R10)</f>
        <v>0.214714169641366</v>
      </c>
    </row>
    <row r="10" customHeight="1" spans="4:19">
      <c r="D10" s="161" t="s">
        <v>131</v>
      </c>
      <c r="E10" s="282" t="s">
        <v>132</v>
      </c>
      <c r="F10" s="283"/>
      <c r="H10" s="280"/>
      <c r="I10" s="298">
        <f ca="1">+ROUND(I9-0.02+RAND()*0.04,2)</f>
        <v>15.04</v>
      </c>
      <c r="J10" s="298">
        <f ca="1">+ROUND(I10*R10/100,2)</f>
        <v>0.04</v>
      </c>
      <c r="K10" s="297">
        <f ca="1">+ROUND(J10/I10*100,1)</f>
        <v>0.3</v>
      </c>
      <c r="L10" s="200"/>
      <c r="M10" s="165"/>
      <c r="N10" s="165"/>
      <c r="O10" s="165"/>
      <c r="P10" s="165"/>
      <c r="Q10" s="318"/>
      <c r="R10" s="319">
        <f ca="1">+ABS(R9-0.1+RAND()*0.2)</f>
        <v>0.240213724931728</v>
      </c>
      <c r="S10" s="321"/>
    </row>
    <row r="11" customHeight="1" spans="4:17">
      <c r="D11" s="161" t="s">
        <v>133</v>
      </c>
      <c r="E11" s="282" t="s">
        <v>134</v>
      </c>
      <c r="F11" s="283"/>
      <c r="H11" s="278"/>
      <c r="I11" s="296"/>
      <c r="J11" s="296"/>
      <c r="K11" s="296"/>
      <c r="L11" s="165"/>
      <c r="M11" s="165"/>
      <c r="N11" s="165"/>
      <c r="O11" s="165"/>
      <c r="P11" s="165"/>
      <c r="Q11" s="318"/>
    </row>
    <row r="12" customHeight="1" spans="4:17">
      <c r="D12" s="161" t="s">
        <v>135</v>
      </c>
      <c r="E12" s="282" t="s">
        <v>136</v>
      </c>
      <c r="F12" s="283"/>
      <c r="H12" s="161" t="s">
        <v>137</v>
      </c>
      <c r="I12" s="299">
        <v>4.75</v>
      </c>
      <c r="J12" s="299">
        <v>2.36</v>
      </c>
      <c r="K12" s="299">
        <v>1.18</v>
      </c>
      <c r="L12" s="299">
        <v>0.6</v>
      </c>
      <c r="M12" s="299">
        <v>0.3</v>
      </c>
      <c r="N12" s="299">
        <v>0.15</v>
      </c>
      <c r="O12" s="299" t="s">
        <v>138</v>
      </c>
      <c r="P12" s="17" t="s">
        <v>139</v>
      </c>
      <c r="Q12" s="325" t="s">
        <v>83</v>
      </c>
    </row>
    <row r="13" customHeight="1" spans="5:17">
      <c r="E13" s="284"/>
      <c r="F13" s="284"/>
      <c r="H13" s="280" t="s">
        <v>69</v>
      </c>
      <c r="I13" s="297">
        <f ca="1">+ROUND($H$15*(I14-0.04+RAND()*0.08)/100,1)</f>
        <v>12.3</v>
      </c>
      <c r="J13" s="297">
        <f ca="1">+ROUND($H$15*(J14-0.04+RAND()*0.03)/100,1)</f>
        <v>21.3</v>
      </c>
      <c r="K13" s="297">
        <f ca="1">+ROUND($H$15*(K14-0.04+RAND()*0.02)/100,1)</f>
        <v>113</v>
      </c>
      <c r="L13" s="297">
        <f ca="1">+ROUND($H$15*(L14-0.04+RAND()*0.08)/100,1)</f>
        <v>120</v>
      </c>
      <c r="M13" s="297">
        <f ca="1">+ROUND($H$15*(M14-0.04+RAND()*0.08)/100,1)</f>
        <v>126.7</v>
      </c>
      <c r="N13" s="297">
        <f ca="1">+ROUND($H$15*(N14-0.04+RAND()*0.02)/100,1)</f>
        <v>101.4</v>
      </c>
      <c r="O13" s="297">
        <f ca="1">+ROUND(RAND()*3+2,1)</f>
        <v>3.4</v>
      </c>
      <c r="P13" s="300">
        <f ca="1">+ROUND((SUM(J15:N15)-5*I15)/(100-I15),2)</f>
        <v>2.61</v>
      </c>
      <c r="Q13" s="326">
        <f ca="1">+IF(ABS(P13-P17)&gt;0.2,"不合格",ROUND((SUM(J21:N21)-5*I21)/(100-I21),1))</f>
        <v>2.6</v>
      </c>
    </row>
    <row r="14" customHeight="1" spans="5:17">
      <c r="E14" s="284"/>
      <c r="F14" s="284"/>
      <c r="H14" s="280" t="s">
        <v>140</v>
      </c>
      <c r="I14" s="297">
        <f ca="1">+ROUND(RAND()*3+1,1)</f>
        <v>2.5</v>
      </c>
      <c r="J14" s="297">
        <f ca="1">ROUND(6+4*RAND()-I14,1)</f>
        <v>4.3</v>
      </c>
      <c r="K14" s="297">
        <f ca="1">ROUND(25+6*RAND()-J15,1)</f>
        <v>22.6</v>
      </c>
      <c r="L14" s="297">
        <f ca="1">ROUND(52+12*RAND()-K15,1)</f>
        <v>24</v>
      </c>
      <c r="M14" s="6">
        <f ca="1">ROUND(78+8*RAND()-L15,1)</f>
        <v>25.3</v>
      </c>
      <c r="N14" s="297">
        <f ca="1">ROUND(100-(I14+J14+K14+L14+M14+O14)-RAND()*0.4,1)</f>
        <v>20.3</v>
      </c>
      <c r="O14" s="6">
        <f ca="1">+ROUND(O13/H15*100,1)</f>
        <v>0.7</v>
      </c>
      <c r="P14" s="300"/>
      <c r="Q14" s="327"/>
    </row>
    <row r="15" customHeight="1" spans="5:17">
      <c r="E15" s="284"/>
      <c r="F15" s="284"/>
      <c r="H15" s="285">
        <f ca="1">+ROUND(500+RAND()*0.6,1)</f>
        <v>500.6</v>
      </c>
      <c r="I15" s="301">
        <f ca="1">+ROUND(I14,1)-(MOD(I14*100,20)=5)/10</f>
        <v>2.5</v>
      </c>
      <c r="J15" s="301">
        <f ca="1">+ROUND(J14+I14,1)-(MOD((J14+I14)*100,20)=5)/10</f>
        <v>6.8</v>
      </c>
      <c r="K15" s="301">
        <f ca="1">+ROUND(SUM(I14:K14),1)-(MOD(SUM(I14:K14)*100,20)=5)/10</f>
        <v>29.4</v>
      </c>
      <c r="L15" s="301">
        <f ca="1">+ROUND(SUM(I14:L14),1)-(MOD(SUM(I14:L14)*100,20)=5)/10</f>
        <v>53.4</v>
      </c>
      <c r="M15" s="301">
        <f ca="1">+ROUND(SUM(I14:M14),1)-(MOD(SUM(I14:M14)*100,20)=5)/10</f>
        <v>78.7</v>
      </c>
      <c r="N15" s="301">
        <f ca="1">+ROUND(SUM(I14:N14),1)-(MOD(SUM(I14:N14)*100,20)=5)/10</f>
        <v>99</v>
      </c>
      <c r="O15" s="301">
        <f ca="1">+ROUND(SUM(I14:O14),1)-(MOD(SUM(I14:O14)*100,20)=5)/10</f>
        <v>99.7</v>
      </c>
      <c r="P15" s="300"/>
      <c r="Q15" s="327"/>
    </row>
    <row r="16" customHeight="1" spans="5:17">
      <c r="E16" s="284"/>
      <c r="F16" s="284"/>
      <c r="H16" s="280" t="s">
        <v>141</v>
      </c>
      <c r="I16" s="297">
        <f ca="1">+SUM(I13:O13)</f>
        <v>498.1</v>
      </c>
      <c r="J16" s="297" t="s">
        <v>142</v>
      </c>
      <c r="K16" s="302">
        <f ca="1">+ROUND(H15-I16,1)</f>
        <v>2.5</v>
      </c>
      <c r="L16" s="297"/>
      <c r="M16" s="22"/>
      <c r="N16" s="22"/>
      <c r="O16" s="22"/>
      <c r="P16" s="22"/>
      <c r="Q16" s="327"/>
    </row>
    <row r="17" customHeight="1" spans="5:17">
      <c r="E17" s="284"/>
      <c r="F17" s="284"/>
      <c r="H17" s="280"/>
      <c r="I17" s="297">
        <f ca="1" t="shared" ref="I17:N17" si="2">+ROUND($H$19*(I18-0.04+RAND()*0.08)/100,1)</f>
        <v>10.9</v>
      </c>
      <c r="J17" s="297">
        <f ca="1" t="shared" si="2"/>
        <v>29.5</v>
      </c>
      <c r="K17" s="297">
        <f ca="1" t="shared" si="2"/>
        <v>116.7</v>
      </c>
      <c r="L17" s="297">
        <f ca="1" t="shared" si="2"/>
        <v>113.2</v>
      </c>
      <c r="M17" s="297">
        <f ca="1" t="shared" si="2"/>
        <v>119.6</v>
      </c>
      <c r="N17" s="297">
        <f ca="1" t="shared" si="2"/>
        <v>104.4</v>
      </c>
      <c r="O17" s="297">
        <f ca="1">+ROUND(RAND()*3+2,1)</f>
        <v>3.8</v>
      </c>
      <c r="P17" s="300">
        <f ca="1">+ROUND((SUM(J19:N19)-5*I19)/(100-I19),2)</f>
        <v>2.65</v>
      </c>
      <c r="Q17" s="327"/>
    </row>
    <row r="18" customHeight="1" spans="5:17">
      <c r="E18" s="284"/>
      <c r="F18" s="284"/>
      <c r="H18" s="280"/>
      <c r="I18" s="297">
        <f ca="1">+ROUND(I14-1+RAND()*2,1)</f>
        <v>2.2</v>
      </c>
      <c r="J18" s="297">
        <f ca="1">ROUND(J14-2+4*RAND(),1)</f>
        <v>5.9</v>
      </c>
      <c r="K18" s="297">
        <f ca="1">ROUND(K14-2+4*RAND(),1)</f>
        <v>23.3</v>
      </c>
      <c r="L18" s="297">
        <f ca="1">ROUND(L14-1.5+3*RAND(),1)</f>
        <v>22.6</v>
      </c>
      <c r="M18" s="6">
        <f ca="1">+ROUND(M14-1.5+3*RAND(),1)</f>
        <v>23.9</v>
      </c>
      <c r="N18" s="297">
        <f ca="1">ROUND(100-(I18+J18+K18+L18+M18+O18)-RAND()*0.4,1)</f>
        <v>20.9</v>
      </c>
      <c r="O18" s="6">
        <f ca="1">+ROUND(O17/H19*100,1)</f>
        <v>0.8</v>
      </c>
      <c r="P18" s="300"/>
      <c r="Q18" s="327"/>
    </row>
    <row r="19" customHeight="1" spans="5:17">
      <c r="E19" s="284"/>
      <c r="F19" s="284"/>
      <c r="H19" s="285">
        <f ca="1">+ROUND(500+RAND()*0.4,1)</f>
        <v>500.3</v>
      </c>
      <c r="I19" s="301">
        <f ca="1">+ROUND(I18,1)-(MOD(I18*100,20)=5)/10</f>
        <v>2.2</v>
      </c>
      <c r="J19" s="301">
        <f ca="1">+ROUND(J18+I18,1)-(MOD((J18+I18)*100,20)=5)/10</f>
        <v>8.1</v>
      </c>
      <c r="K19" s="301">
        <f ca="1">+ROUND(SUM(I18:K18),1)-(MOD(SUM(I18:K18)*100,20)=5)/10</f>
        <v>31.4</v>
      </c>
      <c r="L19" s="301">
        <f ca="1">+ROUND(SUM(I18:L18),1)-(MOD(SUM(I18:L18)*100,20)=5)/10</f>
        <v>54</v>
      </c>
      <c r="M19" s="301">
        <f ca="1">+ROUND(SUM(I18:M18),1)-(MOD(SUM(I18:M18)*100,20)=5)/10</f>
        <v>77.9</v>
      </c>
      <c r="N19" s="301">
        <f ca="1">+ROUND(SUM(I18:N18),1)-(MOD(SUM(I18:N18)*100,20)=5)/10</f>
        <v>98.8</v>
      </c>
      <c r="O19" s="301">
        <f ca="1">+ROUND(SUM(I18:O18),1)-(MOD(SUM(I18:O18)*100,20)=5)/10</f>
        <v>99.6</v>
      </c>
      <c r="P19" s="300"/>
      <c r="Q19" s="327"/>
    </row>
    <row r="20" customHeight="1" spans="5:17">
      <c r="E20" s="284"/>
      <c r="F20" s="284"/>
      <c r="H20" s="280" t="s">
        <v>141</v>
      </c>
      <c r="I20" s="297">
        <f ca="1">+SUM(I17:O17)</f>
        <v>498.1</v>
      </c>
      <c r="J20" s="297" t="s">
        <v>142</v>
      </c>
      <c r="K20" s="302">
        <f ca="1">+ROUND(H19-I20,1)</f>
        <v>2.2</v>
      </c>
      <c r="L20" s="297"/>
      <c r="M20" s="22"/>
      <c r="N20" s="22"/>
      <c r="O20" s="22"/>
      <c r="P20" s="22"/>
      <c r="Q20" s="325"/>
    </row>
    <row r="21" customHeight="1" spans="5:17">
      <c r="E21" s="284"/>
      <c r="F21" s="277"/>
      <c r="H21" s="286" t="s">
        <v>143</v>
      </c>
      <c r="I21" s="303">
        <f ca="1">+ROUND(AVERAGE(I15,I19),0)-(MOD(AVERAGE(I15,I19)*10,20)=5)</f>
        <v>2</v>
      </c>
      <c r="J21" s="303">
        <f ca="1">+ROUND(AVERAGE(J15,J19),0)-(MOD(AVERAGE(J15,J19)*10,20)=5)</f>
        <v>7</v>
      </c>
      <c r="K21" s="303">
        <f ca="1">+ROUND(AVERAGE(K15,K19),0)-(MOD(AVERAGE(K15,K19)*10,20)=5)</f>
        <v>30</v>
      </c>
      <c r="L21" s="303">
        <f ca="1">+ROUND(AVERAGE(L15,L19),0)-(MOD(AVERAGE(L15,L19)*10,20)=5)</f>
        <v>54</v>
      </c>
      <c r="M21" s="303">
        <f ca="1" t="shared" ref="M21:N21" si="3">+ROUND(AVERAGE(M15,M19),0)-(MOD(AVERAGE(M15,M19)*10,20)=5)</f>
        <v>78</v>
      </c>
      <c r="N21" s="303">
        <f ca="1" t="shared" si="3"/>
        <v>99</v>
      </c>
      <c r="O21" s="22"/>
      <c r="P21" s="22"/>
      <c r="Q21" s="325"/>
    </row>
    <row r="22" customHeight="1" spans="5:17">
      <c r="E22" s="284"/>
      <c r="F22" s="277"/>
      <c r="H22" s="287"/>
      <c r="I22" s="304"/>
      <c r="J22" s="304"/>
      <c r="K22" s="304"/>
      <c r="L22" s="304"/>
      <c r="M22" s="304"/>
      <c r="N22" s="304"/>
      <c r="O22" s="165"/>
      <c r="P22" s="165"/>
      <c r="Q22" s="318"/>
    </row>
    <row r="23" customHeight="1" spans="5:17">
      <c r="E23" s="284"/>
      <c r="F23" s="277"/>
      <c r="H23" s="288" t="s">
        <v>129</v>
      </c>
      <c r="I23" s="304"/>
      <c r="J23" s="304"/>
      <c r="K23" s="304"/>
      <c r="L23" s="304"/>
      <c r="M23" s="304"/>
      <c r="N23" s="304"/>
      <c r="O23" s="165"/>
      <c r="P23" s="165"/>
      <c r="Q23" s="318"/>
    </row>
    <row r="24" customHeight="1" spans="5:19">
      <c r="E24" s="284"/>
      <c r="F24" s="277"/>
      <c r="H24" s="289">
        <v>1</v>
      </c>
      <c r="I24" s="305">
        <f ca="1">+ROUND(RAND()*0.3+200.2,1)</f>
        <v>200.4</v>
      </c>
      <c r="J24" s="305">
        <f ca="1">+R24/100*I24+K24</f>
        <v>98.6716593853638</v>
      </c>
      <c r="K24" s="305">
        <f ca="1">+RANDBETWEEN(983,985)/10</f>
        <v>98.3</v>
      </c>
      <c r="L24" s="305">
        <f ca="1">+ROUND((J24-K24)/I24*100,1)</f>
        <v>0.2</v>
      </c>
      <c r="M24" s="200">
        <f ca="1">+ROUND(AVERAGE(L24:L25),1)-(MOD(AVERAGE(L24:L25)*100,20)=5)/10</f>
        <v>0.2</v>
      </c>
      <c r="N24" s="304"/>
      <c r="O24" s="165"/>
      <c r="P24" s="165"/>
      <c r="Q24" s="318"/>
      <c r="R24" s="182">
        <f ca="1">+RAND()*0.5+0.1</f>
        <v>0.18545877513162</v>
      </c>
      <c r="S24" s="320">
        <f ca="1">+AVERAGE(R24:R25)</f>
        <v>0.206165852456936</v>
      </c>
    </row>
    <row r="25" customHeight="1" spans="5:19">
      <c r="E25" s="277"/>
      <c r="F25" s="277"/>
      <c r="H25" s="289">
        <v>2</v>
      </c>
      <c r="I25" s="297">
        <f ca="1">+ROUND(I24-0.2+RAND()*0.4,1)</f>
        <v>200.5</v>
      </c>
      <c r="J25" s="305">
        <f ca="1">+R25/100*I25+K25</f>
        <v>98.7548802242134</v>
      </c>
      <c r="K25" s="297">
        <f ca="1">+K24</f>
        <v>98.3</v>
      </c>
      <c r="L25" s="305">
        <f ca="1">+ROUND((J25-K25)/I25*100,1)</f>
        <v>0.2</v>
      </c>
      <c r="M25" s="200"/>
      <c r="N25" s="165"/>
      <c r="O25" s="165"/>
      <c r="P25" s="165"/>
      <c r="Q25" s="318"/>
      <c r="R25" s="182">
        <f ca="1">+R24-0.1+RAND()*0.2</f>
        <v>0.226872929782252</v>
      </c>
      <c r="S25" s="321"/>
    </row>
    <row r="26" customHeight="1" spans="5:17">
      <c r="E26" s="277"/>
      <c r="F26" s="277"/>
      <c r="H26" s="290"/>
      <c r="I26" s="306"/>
      <c r="J26" s="306"/>
      <c r="K26" s="306"/>
      <c r="L26" s="306"/>
      <c r="M26" s="307"/>
      <c r="N26" s="307"/>
      <c r="O26" s="307"/>
      <c r="P26" s="307"/>
      <c r="Q26" s="328"/>
    </row>
    <row r="28" customHeight="1" spans="2:8">
      <c r="B28" s="22" t="s">
        <v>137</v>
      </c>
      <c r="C28" s="291">
        <v>4.75</v>
      </c>
      <c r="D28" s="291">
        <v>2.36</v>
      </c>
      <c r="E28" s="291">
        <v>1.18</v>
      </c>
      <c r="F28" s="291">
        <v>0.6</v>
      </c>
      <c r="G28" s="291">
        <v>0.3</v>
      </c>
      <c r="H28" s="291">
        <v>0.15</v>
      </c>
    </row>
    <row r="29" customHeight="1" spans="2:13">
      <c r="B29" s="22" t="s">
        <v>144</v>
      </c>
      <c r="C29" s="161">
        <v>10</v>
      </c>
      <c r="D29" s="161">
        <v>25</v>
      </c>
      <c r="E29" s="161">
        <v>50</v>
      </c>
      <c r="F29" s="161">
        <v>70</v>
      </c>
      <c r="G29" s="161">
        <v>92</v>
      </c>
      <c r="H29" s="161">
        <v>100</v>
      </c>
      <c r="J29" s="308">
        <f ca="1">+Q13</f>
        <v>2.6</v>
      </c>
      <c r="K29" s="309"/>
      <c r="L29" s="309"/>
      <c r="M29" s="310"/>
    </row>
    <row r="30" customHeight="1" spans="2:13">
      <c r="B30" s="22" t="s">
        <v>145</v>
      </c>
      <c r="C30" s="22">
        <v>0</v>
      </c>
      <c r="D30" s="22">
        <v>0</v>
      </c>
      <c r="E30" s="22">
        <v>10</v>
      </c>
      <c r="F30" s="22">
        <v>41</v>
      </c>
      <c r="G30" s="22">
        <v>70</v>
      </c>
      <c r="H30" s="22">
        <v>90</v>
      </c>
      <c r="J30" s="311"/>
      <c r="K30" s="312"/>
      <c r="L30" s="312"/>
      <c r="M30" s="313"/>
    </row>
    <row r="31" customHeight="1" spans="2:13">
      <c r="B31" s="292"/>
      <c r="J31" s="314"/>
      <c r="K31" s="315"/>
      <c r="L31" s="315"/>
      <c r="M31" s="316"/>
    </row>
    <row r="33" s="4" customFormat="1" customHeight="1" spans="3:8">
      <c r="C33" s="293"/>
      <c r="D33" s="293"/>
      <c r="E33" s="293"/>
      <c r="F33" s="293"/>
      <c r="G33" s="293"/>
      <c r="H33" s="293"/>
    </row>
    <row r="34" s="4" customFormat="1" customHeight="1" spans="3:8">
      <c r="C34" s="293"/>
      <c r="D34" s="293"/>
      <c r="E34" s="293"/>
      <c r="F34" s="293"/>
      <c r="G34" s="293"/>
      <c r="H34" s="293"/>
    </row>
  </sheetData>
  <mergeCells count="15">
    <mergeCell ref="E10:F10"/>
    <mergeCell ref="E11:F11"/>
    <mergeCell ref="E12:F12"/>
    <mergeCell ref="L5:L6"/>
    <mergeCell ref="L7:L8"/>
    <mergeCell ref="L9:L10"/>
    <mergeCell ref="M24:M25"/>
    <mergeCell ref="P13:P15"/>
    <mergeCell ref="P17:P19"/>
    <mergeCell ref="Q13:Q19"/>
    <mergeCell ref="S5:S6"/>
    <mergeCell ref="S7:S8"/>
    <mergeCell ref="S9:S10"/>
    <mergeCell ref="S24:S25"/>
    <mergeCell ref="J29:M3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49977111117893"/>
  </sheetPr>
  <dimension ref="B1:T58"/>
  <sheetViews>
    <sheetView topLeftCell="A31" workbookViewId="0">
      <selection activeCell="D33" sqref="D33"/>
    </sheetView>
  </sheetViews>
  <sheetFormatPr defaultColWidth="9" defaultRowHeight="14.4"/>
  <cols>
    <col min="3" max="3" width="11.1296296296296" style="4" customWidth="1"/>
    <col min="4" max="4" width="12.6296296296296" style="4" customWidth="1"/>
    <col min="5" max="5" width="10.8796296296296" customWidth="1"/>
    <col min="6" max="6" width="12.1296296296296" customWidth="1"/>
    <col min="8" max="9" width="9" style="4"/>
    <col min="10" max="11" width="9.5" style="4" customWidth="1"/>
    <col min="12" max="15" width="9" style="4"/>
    <col min="16" max="16" width="8.25" customWidth="1"/>
    <col min="17" max="17" width="4" hidden="1" customWidth="1"/>
    <col min="18" max="18" width="8.25" style="4" customWidth="1"/>
    <col min="19" max="19" width="6" style="4" customWidth="1"/>
  </cols>
  <sheetData>
    <row r="1" spans="3:19">
      <c r="C1" s="156" t="s">
        <v>146</v>
      </c>
      <c r="D1" s="17" t="s">
        <v>147</v>
      </c>
      <c r="E1" s="169"/>
      <c r="H1" s="222"/>
      <c r="I1" s="241"/>
      <c r="J1" s="241"/>
      <c r="K1" s="241"/>
      <c r="L1" s="241"/>
      <c r="M1" s="241"/>
      <c r="N1" s="241"/>
      <c r="O1" s="242"/>
      <c r="R1" s="211" t="s">
        <v>148</v>
      </c>
      <c r="S1" s="212"/>
    </row>
    <row r="2" spans="3:19">
      <c r="C2" s="156" t="s">
        <v>149</v>
      </c>
      <c r="D2" s="17" t="s">
        <v>150</v>
      </c>
      <c r="E2" s="169"/>
      <c r="H2" s="223" t="s">
        <v>131</v>
      </c>
      <c r="I2" s="22">
        <f ca="1">+ROUND((4000+RAND()*30)/5,0)*5</f>
        <v>4020</v>
      </c>
      <c r="J2" s="22">
        <v>150</v>
      </c>
      <c r="K2" s="22">
        <f ca="1">+ROUND((I2+J2-I2/(R2/1000+M2))/5,0)*5</f>
        <v>2705</v>
      </c>
      <c r="L2" s="22">
        <v>25</v>
      </c>
      <c r="M2" s="22">
        <f>+LOOKUP(L2,D15:E25)</f>
        <v>0.008</v>
      </c>
      <c r="N2" s="22">
        <f ca="1">+ROUND((I2/(I2+J2-K2)-M2)*100,0)*10</f>
        <v>2740</v>
      </c>
      <c r="O2" s="243">
        <f ca="1">+IF(RIGHT(AVERAGE(N2:N3),1)="5",IF(MOD(LEFT(RIGHT(AVERAGE(N2:N3),2)),2)=0,LEFT(AVERAGE(N2:N3),3)*10,ROUND(AVERAGE(N2:N3)/10,0)*10),ROUND(AVERAGE(N2:N3)/10,0)*10)</f>
        <v>2740</v>
      </c>
      <c r="R2" s="18">
        <f ca="1">+(RAND()*25+2710)</f>
        <v>2732.80078380304</v>
      </c>
      <c r="S2" s="214">
        <f ca="1">+AVERAGE(R2:R3)</f>
        <v>2732.46499798573</v>
      </c>
    </row>
    <row r="3" ht="17.4" spans="3:19">
      <c r="C3" s="172" t="s">
        <v>124</v>
      </c>
      <c r="D3" s="173" t="s">
        <v>151</v>
      </c>
      <c r="E3" s="174"/>
      <c r="H3" s="224"/>
      <c r="I3" s="22">
        <f ca="1">+ROUND((I2-10+RAND()*20)/5,0)*5</f>
        <v>4015</v>
      </c>
      <c r="J3" s="22">
        <f>+J2</f>
        <v>150</v>
      </c>
      <c r="K3" s="22">
        <f ca="1">+ROUND((I3+J3-I3/(R3/1000+M3))/5,0)*5</f>
        <v>2700</v>
      </c>
      <c r="L3" s="22">
        <f>+L2</f>
        <v>25</v>
      </c>
      <c r="M3" s="22">
        <f>+LOOKUP(L3,D15:E25)</f>
        <v>0.008</v>
      </c>
      <c r="N3" s="22">
        <f ca="1">+ROUND((I3/(I3+J3-K3)-M3)*100,0)*10</f>
        <v>2730</v>
      </c>
      <c r="O3" s="244"/>
      <c r="R3" s="18">
        <f ca="1">+R2-10+RAND()*20</f>
        <v>2732.12921216841</v>
      </c>
      <c r="S3" s="215"/>
    </row>
    <row r="4" spans="3:15">
      <c r="C4" s="22"/>
      <c r="D4" s="175" t="s">
        <v>113</v>
      </c>
      <c r="E4" s="175" t="s">
        <v>114</v>
      </c>
      <c r="F4" s="175" t="s">
        <v>152</v>
      </c>
      <c r="H4" s="224"/>
      <c r="I4" s="165"/>
      <c r="J4" s="165"/>
      <c r="K4" s="165"/>
      <c r="L4" s="165"/>
      <c r="M4" s="165"/>
      <c r="N4" s="165"/>
      <c r="O4" s="245"/>
    </row>
    <row r="5" spans="3:19">
      <c r="C5" s="176" t="s">
        <v>153</v>
      </c>
      <c r="D5" s="177" t="s">
        <v>119</v>
      </c>
      <c r="E5" s="177" t="s">
        <v>120</v>
      </c>
      <c r="F5" s="177" t="s">
        <v>154</v>
      </c>
      <c r="H5" s="225" t="s">
        <v>155</v>
      </c>
      <c r="I5" s="22">
        <v>2610</v>
      </c>
      <c r="J5" s="22">
        <f ca="1">+ROUND((R5*20+I5)/10,0)*10</f>
        <v>35850</v>
      </c>
      <c r="K5" s="22">
        <v>20</v>
      </c>
      <c r="L5" s="22">
        <f ca="1">+ROUND((J5-I5)/K5/10,0)*10</f>
        <v>1660</v>
      </c>
      <c r="M5" s="243">
        <f ca="1">+IF(RIGHT(AVERAGE(L5:L6),1)="5",IF(MOD(LEFT(RIGHT(AVERAGE(L5:L6),2)),2)=0,LEFT(AVERAGE(L5:L6),3)*10,ROUND(AVERAGE(L5:L6)/10,0)*10),ROUND(AVERAGE(L5:L6)/10,0)*10)</f>
        <v>1660</v>
      </c>
      <c r="N5" s="165"/>
      <c r="O5" s="245"/>
      <c r="R5" s="18">
        <f ca="1">1660+RAND()*30</f>
        <v>1661.97263280301</v>
      </c>
      <c r="S5" s="216">
        <f ca="1">+AVERAGE(R5:R6)</f>
        <v>1663.24061937869</v>
      </c>
    </row>
    <row r="6" spans="3:19">
      <c r="C6" s="176" t="s">
        <v>124</v>
      </c>
      <c r="D6" s="177" t="s">
        <v>156</v>
      </c>
      <c r="E6" s="177" t="s">
        <v>157</v>
      </c>
      <c r="F6" s="177" t="s">
        <v>119</v>
      </c>
      <c r="H6" s="224"/>
      <c r="I6" s="22">
        <f>+I5</f>
        <v>2610</v>
      </c>
      <c r="J6" s="22">
        <f ca="1">+ROUND((R6*20+I6)/10,0)*10</f>
        <v>35900</v>
      </c>
      <c r="K6" s="22">
        <f>+K5</f>
        <v>20</v>
      </c>
      <c r="L6" s="22">
        <f ca="1">+ROUND((J6-I6)/K6/10,0)*10</f>
        <v>1660</v>
      </c>
      <c r="M6" s="244"/>
      <c r="N6" s="165"/>
      <c r="O6" s="245"/>
      <c r="R6" s="18">
        <f ca="1">+RAND()*20-10+R5</f>
        <v>1664.50860595437</v>
      </c>
      <c r="S6" s="215"/>
    </row>
    <row r="7" spans="3:19">
      <c r="C7" s="176" t="s">
        <v>158</v>
      </c>
      <c r="D7" s="177" t="s">
        <v>20</v>
      </c>
      <c r="E7" s="177" t="s">
        <v>123</v>
      </c>
      <c r="F7" s="177" t="s">
        <v>159</v>
      </c>
      <c r="H7" s="224"/>
      <c r="I7" s="165"/>
      <c r="J7" s="165"/>
      <c r="K7" s="165"/>
      <c r="L7" s="165"/>
      <c r="M7" s="165"/>
      <c r="N7" s="194" t="s">
        <v>135</v>
      </c>
      <c r="O7" s="246">
        <f ca="1">+(1-M5/O2)*100</f>
        <v>39.4160583941606</v>
      </c>
      <c r="R7" s="208"/>
      <c r="S7" s="165"/>
    </row>
    <row r="8" spans="3:15">
      <c r="C8" s="176" t="s">
        <v>160</v>
      </c>
      <c r="D8" s="177" t="s">
        <v>119</v>
      </c>
      <c r="E8" s="177" t="s">
        <v>120</v>
      </c>
      <c r="F8" s="177" t="s">
        <v>120</v>
      </c>
      <c r="H8" s="226" t="s">
        <v>161</v>
      </c>
      <c r="I8" s="196"/>
      <c r="J8" s="196"/>
      <c r="K8" s="196"/>
      <c r="L8" s="197"/>
      <c r="M8" s="165"/>
      <c r="N8" s="198"/>
      <c r="O8" s="247"/>
    </row>
    <row r="9" ht="19.2" spans="3:19">
      <c r="C9" s="227" t="s">
        <v>162</v>
      </c>
      <c r="D9" s="177" t="s">
        <v>20</v>
      </c>
      <c r="E9" s="177" t="s">
        <v>163</v>
      </c>
      <c r="F9" s="177" t="s">
        <v>164</v>
      </c>
      <c r="H9" s="228" t="s">
        <v>121</v>
      </c>
      <c r="I9" s="18">
        <f ca="1">ROUND(6003+RAND()*7,0)</f>
        <v>6007</v>
      </c>
      <c r="J9" s="18">
        <f ca="1">+ROUND((1-R9/100)*I9,0)</f>
        <v>5992</v>
      </c>
      <c r="K9" s="22">
        <f ca="1">+ROUND((I9-J9)/I9*100,1)</f>
        <v>0.2</v>
      </c>
      <c r="L9" s="200" t="str">
        <f ca="1">+IF(LEN(AVERAGE(K9:K10))&gt;3,(IF(RIGHT(AVERAGE(K9:K10),1)="5",IF(MOD(LEFT(RIGHT(AVERAGE(K9:K10),2)),2)=0,LEFT(AVERAGE(K9:K10),3),ROUND(AVERAGE(K9:K10),1)),ROUND(AVERAGE(K9:K10),1))),AVERAGE(K9:K10))</f>
        <v>0.2</v>
      </c>
      <c r="M9" s="165"/>
      <c r="N9" s="198"/>
      <c r="O9" s="247"/>
      <c r="R9" s="26">
        <f ca="1">+RAND()*0.3+0.1</f>
        <v>0.251596821504958</v>
      </c>
      <c r="S9" s="6">
        <f ca="1">+AVERAGE(R9:R10)</f>
        <v>0.30031413174049</v>
      </c>
    </row>
    <row r="10" spans="3:19">
      <c r="C10" s="176" t="s">
        <v>165</v>
      </c>
      <c r="D10" s="177" t="s">
        <v>123</v>
      </c>
      <c r="E10" s="177" t="s">
        <v>166</v>
      </c>
      <c r="F10" s="177" t="s">
        <v>167</v>
      </c>
      <c r="H10" s="224"/>
      <c r="I10" s="18">
        <f ca="1">+ROUND(I9-4+RAND()*8,0)</f>
        <v>6007</v>
      </c>
      <c r="J10" s="18">
        <f ca="1">+ROUND((1-R10/100)*I10,0)</f>
        <v>5986</v>
      </c>
      <c r="K10" s="6">
        <f ca="1">+ROUND((I10-J10)/I10*100,1)</f>
        <v>0.3</v>
      </c>
      <c r="L10" s="200"/>
      <c r="M10" s="165"/>
      <c r="N10" s="165"/>
      <c r="O10" s="245"/>
      <c r="R10" s="26">
        <f ca="1">+R9-0.1+RAND()*0.2</f>
        <v>0.349031441976022</v>
      </c>
      <c r="S10" s="6"/>
    </row>
    <row r="11" spans="3:19">
      <c r="C11" s="176" t="s">
        <v>168</v>
      </c>
      <c r="D11" s="177" t="s">
        <v>169</v>
      </c>
      <c r="E11" s="177" t="s">
        <v>170</v>
      </c>
      <c r="F11" s="177" t="s">
        <v>171</v>
      </c>
      <c r="H11" s="228" t="s">
        <v>126</v>
      </c>
      <c r="I11" s="18">
        <f ca="1">ROUND(6002+RAND()*4,0)</f>
        <v>6006</v>
      </c>
      <c r="J11" s="18">
        <f ca="1">+ROUND((1-R11/100)*I11,0)</f>
        <v>6006</v>
      </c>
      <c r="K11" s="6">
        <f ca="1">+ROUND((I11-J11)/I11*100,1)</f>
        <v>0</v>
      </c>
      <c r="L11" s="200" t="str">
        <f ca="1">+IF(LEN(AVERAGE(K11:K12))&gt;3,(IF(RIGHT(AVERAGE(K11:K12),1)="5",IF(MOD(LEFT(RIGHT(AVERAGE(K11:K12),2)),2)=0,LEFT(AVERAGE(K11:K12),3),ROUND(AVERAGE(K11:K12),1)),ROUND(AVERAGE(K11:K12),1))),AVERAGE(K11:K12))</f>
        <v>0.0</v>
      </c>
      <c r="M11" s="165"/>
      <c r="N11" s="165"/>
      <c r="O11" s="245"/>
      <c r="R11" s="26">
        <f ca="1">+RAND()*0.2</f>
        <v>0.00515473692212334</v>
      </c>
      <c r="S11" s="6">
        <f ca="1">+AVERAGE(R11:R12)</f>
        <v>0.0683029956396576</v>
      </c>
    </row>
    <row r="12" spans="3:19">
      <c r="C12" s="176" t="s">
        <v>172</v>
      </c>
      <c r="D12" s="177" t="s">
        <v>120</v>
      </c>
      <c r="E12" s="177" t="s">
        <v>128</v>
      </c>
      <c r="F12" s="177" t="s">
        <v>128</v>
      </c>
      <c r="H12" s="224"/>
      <c r="I12" s="18">
        <f ca="1">+ROUND(I11-2+RAND()*4,0)</f>
        <v>6006</v>
      </c>
      <c r="J12" s="18">
        <f ca="1">+ROUND((1-R12/100)*I12,0)</f>
        <v>5998</v>
      </c>
      <c r="K12" s="6">
        <f ca="1">+ROUND((I12-J12)/I12*100,1)</f>
        <v>0.1</v>
      </c>
      <c r="L12" s="200"/>
      <c r="M12" s="165"/>
      <c r="N12" s="165"/>
      <c r="O12" s="245"/>
      <c r="R12" s="26">
        <f ca="1">+ABS(R11-0.2+RAND()*0.2)</f>
        <v>0.131451254357192</v>
      </c>
      <c r="S12" s="6"/>
    </row>
    <row r="13" spans="3:19">
      <c r="C13" s="179" t="s">
        <v>173</v>
      </c>
      <c r="D13" s="180"/>
      <c r="E13" s="181" t="s">
        <v>174</v>
      </c>
      <c r="F13" s="182"/>
      <c r="H13" s="228" t="s">
        <v>158</v>
      </c>
      <c r="I13" s="18">
        <f ca="1">ROUND((3000+RAND()*5),0)</f>
        <v>3000</v>
      </c>
      <c r="J13" s="18">
        <f ca="1">+I13*R13/100</f>
        <v>100.886562090404</v>
      </c>
      <c r="K13" s="18">
        <f ca="1">+ROUND(J13/I13*100,0)</f>
        <v>3</v>
      </c>
      <c r="L13" s="165"/>
      <c r="M13" s="165"/>
      <c r="N13" s="165"/>
      <c r="O13" s="245"/>
      <c r="R13" s="217">
        <f ca="1">2+RAND()*3</f>
        <v>3.36288540301347</v>
      </c>
      <c r="S13" s="218"/>
    </row>
    <row r="14" spans="3:15">
      <c r="C14" s="183" t="s">
        <v>175</v>
      </c>
      <c r="D14" s="183" t="s">
        <v>176</v>
      </c>
      <c r="E14" s="184" t="s">
        <v>177</v>
      </c>
      <c r="H14" s="226" t="s">
        <v>178</v>
      </c>
      <c r="I14" s="196"/>
      <c r="J14" s="196"/>
      <c r="K14" s="196"/>
      <c r="L14" s="197"/>
      <c r="M14" s="165"/>
      <c r="N14" s="165"/>
      <c r="O14" s="245"/>
    </row>
    <row r="15" spans="3:19">
      <c r="C15" s="185"/>
      <c r="D15" s="186">
        <v>15</v>
      </c>
      <c r="E15" s="186">
        <v>0.002</v>
      </c>
      <c r="H15" s="228" t="s">
        <v>121</v>
      </c>
      <c r="I15" s="18">
        <f ca="1">ROUND(10000+10*RAND(),0)</f>
        <v>10006</v>
      </c>
      <c r="J15" s="18">
        <f ca="1">+ROUND(I15*(1-R15/100),0)</f>
        <v>10001</v>
      </c>
      <c r="K15" s="6">
        <f ca="1">+ROUND((I15-J15)/I15*100,1)</f>
        <v>0</v>
      </c>
      <c r="L15" s="200">
        <f ca="1">+IF(LEN(AVERAGE(K15:K16))&gt;3,(IF(RIGHT(AVERAGE(K15:K16),1)="5",IF(MOD(LEFT(RIGHT(AVERAGE(K15:K16),2)),2)=0,LEFT(AVERAGE(K15:K16),3),ROUND(AVERAGE(K15:K16),1)),ROUND(AVERAGE(K15:K16),1))),AVERAGE(K15:K16))</f>
        <v>0</v>
      </c>
      <c r="M15" s="165"/>
      <c r="N15" s="165"/>
      <c r="O15" s="245"/>
      <c r="R15" s="26">
        <f ca="1">+RAND()*0.4</f>
        <v>0.0534422524451093</v>
      </c>
      <c r="S15" s="6">
        <f ca="1">+AVERAGE(R15:R16)</f>
        <v>0.0279271254722396</v>
      </c>
    </row>
    <row r="16" spans="3:19">
      <c r="C16" s="185"/>
      <c r="D16" s="186">
        <v>16</v>
      </c>
      <c r="E16" s="186">
        <v>0.003</v>
      </c>
      <c r="H16" s="224"/>
      <c r="I16" s="18">
        <f ca="1">+ROUND(I15-5+10*RAND(),0)</f>
        <v>10008</v>
      </c>
      <c r="J16" s="18">
        <f ca="1">+ROUND(I16*(1-R16/100),0)</f>
        <v>10008</v>
      </c>
      <c r="K16" s="6">
        <f ca="1">+ROUND((I16-J16)/I16*100,1)</f>
        <v>0</v>
      </c>
      <c r="L16" s="200"/>
      <c r="M16" s="165"/>
      <c r="N16" s="165"/>
      <c r="O16" s="245"/>
      <c r="R16" s="26">
        <f ca="1">+ABS(R15-0.2+RAND()*0.3)</f>
        <v>0.00241199849936985</v>
      </c>
      <c r="S16" s="6"/>
    </row>
    <row r="17" spans="3:19">
      <c r="C17" s="185"/>
      <c r="D17" s="186">
        <v>17</v>
      </c>
      <c r="E17" s="186">
        <v>0.003</v>
      </c>
      <c r="H17" s="228" t="s">
        <v>126</v>
      </c>
      <c r="I17" s="18">
        <f ca="1">ROUND(10000+10*RAND(),0)</f>
        <v>10001</v>
      </c>
      <c r="J17" s="18">
        <f ca="1">+ROUND(I17*(1-R17/100),0)</f>
        <v>9998</v>
      </c>
      <c r="K17" s="6">
        <f ca="1">+ROUND((I17-J17)/I17*100,1)</f>
        <v>0</v>
      </c>
      <c r="L17" s="200" t="str">
        <f ca="1">+IF(LEN(AVERAGE(K17:K18))&gt;3,(IF(RIGHT(AVERAGE(K17:K18),1)="5",IF(MOD(LEFT(RIGHT(AVERAGE(K17:K18),2)),2)=0,LEFT(AVERAGE(K17:K18),3),ROUND(AVERAGE(K17:K18),1)),ROUND(AVERAGE(K17:K18),1))),AVERAGE(K17:K18))</f>
        <v>0.0</v>
      </c>
      <c r="M17" s="165"/>
      <c r="N17" s="165"/>
      <c r="O17" s="245"/>
      <c r="R17" s="26">
        <f ca="1">+RAND()*0.2</f>
        <v>0.0254006387774671</v>
      </c>
      <c r="S17" s="6">
        <f ca="1">+AVERAGE(R17:R18)</f>
        <v>0.0404874039965231</v>
      </c>
    </row>
    <row r="18" spans="3:19">
      <c r="C18" s="185"/>
      <c r="D18" s="186">
        <v>18</v>
      </c>
      <c r="E18" s="186">
        <v>0.004</v>
      </c>
      <c r="H18" s="224"/>
      <c r="I18" s="18">
        <f ca="1">+ROUND(I17-5+10*RAND(),0)</f>
        <v>10004</v>
      </c>
      <c r="J18" s="18">
        <f ca="1">+ROUND(I18*(1-R18/100),0)</f>
        <v>9998</v>
      </c>
      <c r="K18" s="6">
        <f ca="1">+ROUND((I18-J18)/I18*100,1)</f>
        <v>0.1</v>
      </c>
      <c r="L18" s="200"/>
      <c r="M18" s="165"/>
      <c r="N18" s="165"/>
      <c r="O18" s="245"/>
      <c r="R18" s="26">
        <f ca="1">+ABS(R17-0.1+RAND()*0.1)</f>
        <v>0.055574169215579</v>
      </c>
      <c r="S18" s="6"/>
    </row>
    <row r="19" spans="3:19">
      <c r="C19" s="185"/>
      <c r="D19" s="186">
        <v>19</v>
      </c>
      <c r="E19" s="186">
        <v>0.004</v>
      </c>
      <c r="H19" s="228" t="s">
        <v>158</v>
      </c>
      <c r="I19" s="18">
        <f ca="1">+ROUND(10000+10*RAND(),0)</f>
        <v>10007</v>
      </c>
      <c r="J19" s="18">
        <f ca="1">+I19*R19/100</f>
        <v>204.036017025143</v>
      </c>
      <c r="K19" s="18">
        <f ca="1">+ROUND(J19/I19*100,0)</f>
        <v>2</v>
      </c>
      <c r="L19" s="165"/>
      <c r="M19" s="165"/>
      <c r="N19" s="165"/>
      <c r="O19" s="245"/>
      <c r="R19" s="217">
        <f ca="1">2+RAND()*3</f>
        <v>2.03893291720939</v>
      </c>
      <c r="S19" s="218"/>
    </row>
    <row r="20" spans="3:15">
      <c r="C20" s="185"/>
      <c r="D20" s="186">
        <v>20</v>
      </c>
      <c r="E20" s="186">
        <v>0.005</v>
      </c>
      <c r="H20" s="226" t="s">
        <v>179</v>
      </c>
      <c r="I20" s="196"/>
      <c r="J20" s="196"/>
      <c r="K20" s="196"/>
      <c r="L20" s="197"/>
      <c r="M20" s="165"/>
      <c r="N20" s="165"/>
      <c r="O20" s="245"/>
    </row>
    <row r="21" spans="3:19">
      <c r="C21" s="185"/>
      <c r="D21" s="186">
        <v>21</v>
      </c>
      <c r="E21" s="186">
        <v>0.005</v>
      </c>
      <c r="H21" s="228" t="s">
        <v>121</v>
      </c>
      <c r="I21" s="18">
        <f ca="1">ROUND(10000+10*RAND(),0)</f>
        <v>10010</v>
      </c>
      <c r="J21" s="18">
        <f ca="1">+ROUND(I21*(1-R21/100),0)</f>
        <v>9980</v>
      </c>
      <c r="K21" s="22">
        <f ca="1">+ROUND((I21-J21)/I21*100,1)</f>
        <v>0.3</v>
      </c>
      <c r="L21" s="200">
        <f ca="1">+IF(LEN(AVERAGE(K21:K22))&gt;3,(IF(RIGHT(AVERAGE(K21:K22),1)="5",IF(MOD(LEFT(RIGHT(AVERAGE(K21:K22),2)),2)=0,LEFT(AVERAGE(K21:K22),3),ROUND(AVERAGE(K21:K22),1)),ROUND(AVERAGE(K21:K22),1))),AVERAGE(K21:K22))</f>
        <v>0.4</v>
      </c>
      <c r="M21" s="165"/>
      <c r="N21" s="165"/>
      <c r="O21" s="245"/>
      <c r="R21" s="26">
        <f ca="1">+(R9+R15)/2+0.2*RAND()</f>
        <v>0.303744843634553</v>
      </c>
      <c r="S21" s="6">
        <f ca="1">+AVERAGE(R21:R22)</f>
        <v>0.338340470880743</v>
      </c>
    </row>
    <row r="22" spans="3:19">
      <c r="C22" s="185"/>
      <c r="D22" s="186">
        <v>22</v>
      </c>
      <c r="E22" s="186">
        <v>0.006</v>
      </c>
      <c r="H22" s="224"/>
      <c r="I22" s="18">
        <f ca="1">+ROUND(I21-5+10*RAND(),0)</f>
        <v>10007</v>
      </c>
      <c r="J22" s="18">
        <f ca="1">+ROUND(I22*(1-R22/100),0)</f>
        <v>9970</v>
      </c>
      <c r="K22" s="6">
        <f ca="1">+ROUND((I22-J22)/I22*100,1)</f>
        <v>0.4</v>
      </c>
      <c r="L22" s="200"/>
      <c r="M22" s="165"/>
      <c r="N22" s="165"/>
      <c r="O22" s="245"/>
      <c r="R22" s="26">
        <f ca="1">+R21-0.1+RAND()*0.2</f>
        <v>0.372936098126934</v>
      </c>
      <c r="S22" s="6"/>
    </row>
    <row r="23" spans="3:19">
      <c r="C23" s="185"/>
      <c r="D23" s="186">
        <v>23</v>
      </c>
      <c r="E23" s="186">
        <v>0.006</v>
      </c>
      <c r="H23" s="228" t="s">
        <v>126</v>
      </c>
      <c r="I23" s="18">
        <f ca="1">ROUND(10000+10*RAND(),0)</f>
        <v>10007</v>
      </c>
      <c r="J23" s="18">
        <f ca="1">+ROUND(I23*(1-R23/100),0)</f>
        <v>10005</v>
      </c>
      <c r="K23" s="6">
        <f ca="1">+ROUND((I23-J23)/I23*100,1)</f>
        <v>0</v>
      </c>
      <c r="L23" s="200" t="str">
        <f ca="1">+IF(LEN(AVERAGE(K23:K24))&gt;3,(IF(RIGHT(AVERAGE(K23:K24),1)="5",IF(MOD(LEFT(RIGHT(AVERAGE(K23:K24),2)),2)=0,LEFT(AVERAGE(K23:K24),3),ROUND(AVERAGE(K23:K24),1)),ROUND(AVERAGE(K23:K24),1))),AVERAGE(K23:K24))</f>
        <v>0.0</v>
      </c>
      <c r="M23" s="165"/>
      <c r="N23" s="165"/>
      <c r="O23" s="245"/>
      <c r="R23" s="26">
        <f ca="1">+R11*0.3+R17*0.7</f>
        <v>0.019326868220864</v>
      </c>
      <c r="S23" s="6">
        <f ca="1">+AVERAGE(R23:R24)</f>
        <v>0.0488320814894634</v>
      </c>
    </row>
    <row r="24" spans="3:19">
      <c r="C24" s="185"/>
      <c r="D24" s="186">
        <v>24</v>
      </c>
      <c r="E24" s="186">
        <v>0.007</v>
      </c>
      <c r="H24" s="224"/>
      <c r="I24" s="18">
        <f ca="1">+ROUND(I23-5+10*RAND(),0)</f>
        <v>10002</v>
      </c>
      <c r="J24" s="18">
        <f ca="1">+ROUND(I24*(1-R24/100),0)</f>
        <v>9994</v>
      </c>
      <c r="K24" s="6">
        <f ca="1">+ROUND((I24-J24)/I24*100,1)</f>
        <v>0.1</v>
      </c>
      <c r="L24" s="200"/>
      <c r="M24" s="165"/>
      <c r="N24" s="165"/>
      <c r="O24" s="245"/>
      <c r="R24" s="26">
        <f ca="1">+R12*0.3+R18*0.7</f>
        <v>0.0783372947580629</v>
      </c>
      <c r="S24" s="6"/>
    </row>
    <row r="25" spans="3:19">
      <c r="C25" s="185"/>
      <c r="D25" s="186">
        <v>25</v>
      </c>
      <c r="E25" s="186">
        <v>0.008</v>
      </c>
      <c r="H25" s="229" t="s">
        <v>158</v>
      </c>
      <c r="I25" s="216">
        <f ca="1">+ROUND(10000+10*RAND(),0)</f>
        <v>10009</v>
      </c>
      <c r="J25" s="216">
        <f ca="1">+I25*R25/100</f>
        <v>216.043368011136</v>
      </c>
      <c r="K25" s="216">
        <f ca="1">+ROUND(J25/I25*100,0)</f>
        <v>2</v>
      </c>
      <c r="L25" s="165"/>
      <c r="M25" s="165"/>
      <c r="N25" s="165"/>
      <c r="O25" s="245"/>
      <c r="R25" s="217">
        <f ca="1">2+RAND()*3</f>
        <v>2.158491038177</v>
      </c>
      <c r="S25" s="218"/>
    </row>
    <row r="26" spans="3:19">
      <c r="C26" s="185"/>
      <c r="D26" s="187"/>
      <c r="E26" s="187"/>
      <c r="H26" s="195" t="s">
        <v>161</v>
      </c>
      <c r="I26" s="196"/>
      <c r="J26" s="196"/>
      <c r="K26" s="196"/>
      <c r="L26" s="196"/>
      <c r="M26" s="196"/>
      <c r="N26" s="196"/>
      <c r="O26" s="196"/>
      <c r="P26" s="197"/>
      <c r="R26" s="208"/>
      <c r="S26" s="208"/>
    </row>
    <row r="27" spans="8:16">
      <c r="H27" s="230" t="s">
        <v>137</v>
      </c>
      <c r="I27" s="230">
        <v>26.5</v>
      </c>
      <c r="J27" s="230">
        <v>19</v>
      </c>
      <c r="K27" s="230">
        <v>16</v>
      </c>
      <c r="L27" s="230">
        <v>9.5</v>
      </c>
      <c r="M27" s="230">
        <v>4.75</v>
      </c>
      <c r="N27" s="230">
        <v>2.36</v>
      </c>
      <c r="O27" s="230" t="s">
        <v>138</v>
      </c>
      <c r="P27" s="230" t="s">
        <v>142</v>
      </c>
    </row>
    <row r="28" spans="8:16">
      <c r="H28" s="231" t="s">
        <v>180</v>
      </c>
      <c r="I28" s="234">
        <v>0</v>
      </c>
      <c r="J28" s="248">
        <f ca="1">+ROUND((J29-0.04+RAND()*0.08)*H29/100,0)</f>
        <v>82</v>
      </c>
      <c r="K28" s="234">
        <f ca="1">+ROUND((K29-0.04+RAND()*0.08)/100*H29,0)</f>
        <v>1062</v>
      </c>
      <c r="L28" s="248">
        <f ca="1">+ROUND((L29-0.04+RAND()*0.08)*H29/100,0)</f>
        <v>2369</v>
      </c>
      <c r="M28" s="234">
        <f ca="1">+H29-SUM(I28:L28,N28:O28,P28)</f>
        <v>1449</v>
      </c>
      <c r="N28" s="22">
        <f ca="1">+ROUND(25+RAND()*6,0)</f>
        <v>27</v>
      </c>
      <c r="O28" s="22">
        <f ca="1">+ROUND(7+RAND()*6,0)</f>
        <v>9</v>
      </c>
      <c r="P28" s="22">
        <f ca="1">+ROUND(RAND()*5,0)</f>
        <v>2</v>
      </c>
    </row>
    <row r="29" spans="8:16">
      <c r="H29" s="232">
        <v>5000</v>
      </c>
      <c r="I29" s="249">
        <v>0</v>
      </c>
      <c r="J29" s="249">
        <f ca="1">+ROUND(J30-0.4+RAND()*0.8,1)</f>
        <v>1.6</v>
      </c>
      <c r="K29" s="249">
        <f ca="1">+ROUND(K30-0.4+RAND()*0.8,1)</f>
        <v>21.2</v>
      </c>
      <c r="L29" s="249">
        <f ca="1">+ROUND(L30-0.4+RAND()*0.8,1)</f>
        <v>47.4</v>
      </c>
      <c r="M29" s="249">
        <f ca="1">+ROUND(M28/H29*100,1)</f>
        <v>29</v>
      </c>
      <c r="N29" s="22">
        <f ca="1">+ROUND(N28/H29*100,1)</f>
        <v>0.5</v>
      </c>
      <c r="O29" s="22">
        <f ca="1">+ROUND(O28/H29*100,1)</f>
        <v>0.2</v>
      </c>
      <c r="P29" s="22"/>
    </row>
    <row r="30" spans="8:16">
      <c r="H30" s="233" t="s">
        <v>181</v>
      </c>
      <c r="I30" s="250">
        <v>0</v>
      </c>
      <c r="J30" s="250">
        <f ca="1">+ROUND(RAND()*2+1,0)</f>
        <v>2</v>
      </c>
      <c r="K30" s="250">
        <f ca="1">+ROUND(20+RAND()*6,0)</f>
        <v>21</v>
      </c>
      <c r="L30" s="250">
        <f ca="1">+ROUND(RAND()*6+47,0)</f>
        <v>47</v>
      </c>
      <c r="M30" s="250"/>
      <c r="N30" s="164"/>
      <c r="O30" s="164"/>
      <c r="P30" s="164"/>
    </row>
    <row r="31" spans="8:16">
      <c r="H31" s="224" t="s">
        <v>182</v>
      </c>
      <c r="I31" s="251">
        <v>0</v>
      </c>
      <c r="J31" s="251">
        <f ca="1">+ROUND(J29,0)</f>
        <v>2</v>
      </c>
      <c r="K31" s="251">
        <f ca="1">+ROUND(SUM(J29:K29),0)</f>
        <v>23</v>
      </c>
      <c r="L31" s="251">
        <f ca="1">+ROUND(SUM(J30:L30),0)</f>
        <v>70</v>
      </c>
      <c r="M31" s="251">
        <f ca="1">+ROUND(SUM(I29:M29),0)</f>
        <v>99</v>
      </c>
      <c r="N31" s="252">
        <f ca="1">+ROUND(SUM(I29:N29),0)</f>
        <v>100</v>
      </c>
      <c r="O31" s="253">
        <f ca="1">+ROUND(SUM(I29:O29),0)</f>
        <v>100</v>
      </c>
      <c r="P31" s="22"/>
    </row>
    <row r="32" spans="8:19">
      <c r="H32" s="195" t="s">
        <v>178</v>
      </c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7"/>
    </row>
    <row r="33" ht="15" customHeight="1" spans="8:19">
      <c r="H33" s="234" t="s">
        <v>137</v>
      </c>
      <c r="I33" s="249">
        <v>37.5</v>
      </c>
      <c r="J33" s="249">
        <v>31.5</v>
      </c>
      <c r="K33" s="249">
        <v>26.5</v>
      </c>
      <c r="L33" s="249">
        <v>19</v>
      </c>
      <c r="M33" s="249">
        <v>16</v>
      </c>
      <c r="N33" s="249">
        <v>9.5</v>
      </c>
      <c r="O33" s="254">
        <v>4.75</v>
      </c>
      <c r="P33" s="254">
        <v>2.36</v>
      </c>
      <c r="R33" s="22" t="s">
        <v>138</v>
      </c>
      <c r="S33" s="22" t="s">
        <v>142</v>
      </c>
    </row>
    <row r="34" ht="15" customHeight="1" spans="8:19">
      <c r="H34" s="231" t="s">
        <v>180</v>
      </c>
      <c r="I34" s="234">
        <v>0</v>
      </c>
      <c r="J34" s="248">
        <f ca="1">+ABS(ROUND((J35-0.04+RAND()*0.08)*H35/100,0))</f>
        <v>81</v>
      </c>
      <c r="K34" s="234">
        <f ca="1">+ROUND((K35-0.04+RAND()*0.04)/100*H35,0)</f>
        <v>2226</v>
      </c>
      <c r="L34" s="234">
        <f ca="1">+ROUND((L35-0.04+RAND()*0.08)*H35/100,0)</f>
        <v>3330</v>
      </c>
      <c r="M34" s="234">
        <f ca="1">+H35-SUM(I34:L34,N34:S34)</f>
        <v>1680</v>
      </c>
      <c r="N34" s="22">
        <f ca="1">+ROUND(78+45*RAND(),)</f>
        <v>101</v>
      </c>
      <c r="O34" s="181">
        <f ca="1">+ROUND(24+16*RAND(),0)</f>
        <v>40</v>
      </c>
      <c r="P34" s="22">
        <f ca="1">+ROUND(15+RAND()*12,0)</f>
        <v>27</v>
      </c>
      <c r="Q34" s="4"/>
      <c r="R34" s="22">
        <f ca="1">+ROUND(7+RAND()*6,0)</f>
        <v>12</v>
      </c>
      <c r="S34" s="22">
        <f ca="1">+ROUND(RAND()*5,0)</f>
        <v>3</v>
      </c>
    </row>
    <row r="35" ht="15" customHeight="1" spans="8:19">
      <c r="H35" s="232">
        <v>7500</v>
      </c>
      <c r="I35" s="249">
        <v>0</v>
      </c>
      <c r="J35" s="249">
        <f ca="1">+ABS(ROUND(J36-0.4+RAND()*0.8,1))</f>
        <v>1.1</v>
      </c>
      <c r="K35" s="249">
        <f ca="1">+ROUND(K36-0.4+RAND()*0.8,1)</f>
        <v>29.7</v>
      </c>
      <c r="L35" s="249">
        <f ca="1">+ROUND(L36-0.4*RAND()*0.8,1)</f>
        <v>44.4</v>
      </c>
      <c r="M35" s="249">
        <f ca="1">+ROUND(M34/H35*100,1)</f>
        <v>22.4</v>
      </c>
      <c r="N35" s="249">
        <f ca="1">+ROUND(N34/H35*100,1)</f>
        <v>1.3</v>
      </c>
      <c r="O35" s="255">
        <f ca="1">+ROUND(O34/H35*100,1)</f>
        <v>0.5</v>
      </c>
      <c r="P35" s="22">
        <f ca="1">+ROUND(P34/H35*100,1)</f>
        <v>0.4</v>
      </c>
      <c r="Q35" s="4"/>
      <c r="R35" s="6">
        <f ca="1">+ROUND(R34/H35,1)</f>
        <v>0</v>
      </c>
      <c r="S35" s="22"/>
    </row>
    <row r="36" ht="15" customHeight="1" spans="8:19">
      <c r="H36" s="233" t="s">
        <v>181</v>
      </c>
      <c r="I36" s="250">
        <v>0</v>
      </c>
      <c r="J36" s="250">
        <f ca="1">+ROUND(RAND()+0.6,0)</f>
        <v>1</v>
      </c>
      <c r="K36" s="250">
        <f ca="1">+ROUND(RAND()*10+21,0)</f>
        <v>30</v>
      </c>
      <c r="L36" s="250">
        <f ca="1">+RAND()*12+43</f>
        <v>44.6314439013049</v>
      </c>
      <c r="M36" s="250"/>
      <c r="N36" s="164"/>
      <c r="O36" s="164"/>
      <c r="P36" s="164"/>
      <c r="Q36" s="233"/>
      <c r="R36" s="250"/>
      <c r="S36" s="250"/>
    </row>
    <row r="37" ht="15" customHeight="1" spans="8:19">
      <c r="H37" s="224" t="s">
        <v>182</v>
      </c>
      <c r="I37" s="256">
        <v>0</v>
      </c>
      <c r="J37" s="256">
        <f ca="1">+ROUND(J35,0)</f>
        <v>1</v>
      </c>
      <c r="K37" s="256">
        <f ca="1">+ROUND(SUM(J35:K35),0)</f>
        <v>31</v>
      </c>
      <c r="L37" s="256">
        <f ca="1">+ROUND(SUM(I35:L35),0)</f>
        <v>75</v>
      </c>
      <c r="M37" s="256">
        <f ca="1">+ROUND(SUM(I35:M35),0)</f>
        <v>98</v>
      </c>
      <c r="N37" s="253">
        <f ca="1">+ROUND(SUM(I35:N35),0)</f>
        <v>99</v>
      </c>
      <c r="O37" s="257">
        <f ca="1">+ROUND(SUM(I35:O35),0)</f>
        <v>99</v>
      </c>
      <c r="P37" s="253">
        <f ca="1">+ROUND(SUM(I35:P35),0)</f>
        <v>100</v>
      </c>
      <c r="Q37" s="4"/>
      <c r="R37" s="22" t="s">
        <v>183</v>
      </c>
      <c r="S37" s="22" t="s">
        <v>183</v>
      </c>
    </row>
    <row r="38" ht="15" customHeight="1" spans="8:15">
      <c r="H38" s="224"/>
      <c r="I38" s="258"/>
      <c r="J38" s="258"/>
      <c r="K38" s="258"/>
      <c r="L38" s="258"/>
      <c r="M38" s="259"/>
      <c r="N38" s="41"/>
      <c r="O38" s="260"/>
    </row>
    <row r="39" ht="15" customHeight="1" spans="8:15">
      <c r="H39" s="235" t="s">
        <v>165</v>
      </c>
      <c r="I39" s="195" t="s">
        <v>184</v>
      </c>
      <c r="J39" s="261"/>
      <c r="K39" s="261"/>
      <c r="L39" s="261"/>
      <c r="M39" s="262"/>
      <c r="N39" s="165"/>
      <c r="O39" s="245"/>
    </row>
    <row r="40" ht="15" customHeight="1" spans="8:19">
      <c r="H40" s="236"/>
      <c r="I40" s="256">
        <v>3000</v>
      </c>
      <c r="J40" s="256">
        <f ca="1">+ROUND((1-R40/100)*I40,0)</f>
        <v>2791</v>
      </c>
      <c r="K40" s="263">
        <f ca="1">+ROUND((I40-J40)/I40*100,1)</f>
        <v>7</v>
      </c>
      <c r="L40" s="251">
        <f ca="1">+ROUND(AVERAGE(K40:K42),0)</f>
        <v>6</v>
      </c>
      <c r="M40" s="262"/>
      <c r="N40" s="165"/>
      <c r="O40" s="245"/>
      <c r="R40" s="6">
        <f ca="1">+RAND()*3+5</f>
        <v>6.95772242095119</v>
      </c>
      <c r="S40" s="216">
        <f ca="1">+ROUND(AVERAGE(R40:R42),0)</f>
        <v>6</v>
      </c>
    </row>
    <row r="41" ht="15" customHeight="1" spans="8:19">
      <c r="H41" s="224"/>
      <c r="I41" s="256">
        <f>+I40</f>
        <v>3000</v>
      </c>
      <c r="J41" s="256">
        <f ca="1">+ROUND((1-R41/100)*I41,0)</f>
        <v>2832</v>
      </c>
      <c r="K41" s="263">
        <f ca="1">+ROUND((I41-J41)/I41*100,1)</f>
        <v>5.6</v>
      </c>
      <c r="L41" s="264"/>
      <c r="M41" s="262"/>
      <c r="N41" s="165"/>
      <c r="O41" s="245"/>
      <c r="R41" s="6">
        <f ca="1">+R40-1.5+3*RAND()</f>
        <v>5.58336169745639</v>
      </c>
      <c r="S41" s="272"/>
    </row>
    <row r="42" ht="15" customHeight="1" spans="8:19">
      <c r="H42" s="224"/>
      <c r="I42" s="256">
        <f>+I40</f>
        <v>3000</v>
      </c>
      <c r="J42" s="256">
        <f ca="1">+ROUND((1-R42/100)*I42,0)</f>
        <v>2818</v>
      </c>
      <c r="K42" s="263">
        <f ca="1">+ROUND((I42-J42)/I42*100,1)</f>
        <v>6.1</v>
      </c>
      <c r="L42" s="215"/>
      <c r="M42" s="262"/>
      <c r="N42" s="165"/>
      <c r="O42" s="245"/>
      <c r="R42" s="6">
        <f ca="1">+R40-2+RAND()*4</f>
        <v>6.06714375451491</v>
      </c>
      <c r="S42" s="273"/>
    </row>
    <row r="43" ht="15" customHeight="1" spans="6:15">
      <c r="F43" s="237"/>
      <c r="H43" s="224"/>
      <c r="I43" s="259"/>
      <c r="J43" s="259"/>
      <c r="K43" s="259"/>
      <c r="L43" s="259"/>
      <c r="M43" s="265"/>
      <c r="N43" s="165"/>
      <c r="O43" s="245"/>
    </row>
    <row r="44" ht="15" customHeight="1" spans="8:20">
      <c r="H44" s="238" t="s">
        <v>184</v>
      </c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74"/>
    </row>
    <row r="45" ht="15" customHeight="1" spans="8:20">
      <c r="H45" s="234" t="s">
        <v>137</v>
      </c>
      <c r="I45" s="249">
        <v>37.5</v>
      </c>
      <c r="J45" s="249">
        <v>31.5</v>
      </c>
      <c r="K45" s="249">
        <v>26.5</v>
      </c>
      <c r="L45" s="249">
        <v>19</v>
      </c>
      <c r="M45" s="249">
        <v>16</v>
      </c>
      <c r="N45" s="249">
        <v>9.5</v>
      </c>
      <c r="O45" s="254">
        <v>4.75</v>
      </c>
      <c r="P45" s="254">
        <v>2.36</v>
      </c>
      <c r="R45" s="22" t="s">
        <v>138</v>
      </c>
      <c r="S45" s="22" t="s">
        <v>142</v>
      </c>
      <c r="T45" s="274"/>
    </row>
    <row r="46" ht="15" customHeight="1" spans="3:19">
      <c r="C46" s="157" t="s">
        <v>185</v>
      </c>
      <c r="D46" s="239">
        <v>5</v>
      </c>
      <c r="H46" s="236" t="s">
        <v>180</v>
      </c>
      <c r="I46" s="266">
        <f>+ROUND(I34*D46/SUM(D46:D47),0)</f>
        <v>0</v>
      </c>
      <c r="J46" s="267">
        <f ca="1">+ROUND(J34*D46/10+RAND()*20+20,0)</f>
        <v>79</v>
      </c>
      <c r="K46" s="266">
        <f ca="1">+ROUND(109+RAND()*47,0)</f>
        <v>113</v>
      </c>
      <c r="L46" s="266">
        <f ca="1">+ROUND(2767+RAND()*179,0)</f>
        <v>2786</v>
      </c>
      <c r="M46" s="267">
        <f ca="1">+ROUND(1761+RAND()*452,0)</f>
        <v>2117</v>
      </c>
      <c r="N46" s="215">
        <f ca="1">+ROUND(1464+RAND()*46,0)</f>
        <v>1471</v>
      </c>
      <c r="O46" s="268">
        <f ca="1">+H47-SUM(I46:N46,P46:S46)</f>
        <v>892.811330514393</v>
      </c>
      <c r="P46" s="269">
        <f ca="1">23+RAND()*15</f>
        <v>31.1886694856068</v>
      </c>
      <c r="Q46" s="4"/>
      <c r="R46" s="22">
        <f ca="1">+ROUND(7+RAND()*14,0)</f>
        <v>8</v>
      </c>
      <c r="S46" s="22">
        <f ca="1">+ROUND(RAND()*5,0)</f>
        <v>2</v>
      </c>
    </row>
    <row r="47" ht="15" customHeight="1" spans="4:19">
      <c r="D47" s="239">
        <v>5</v>
      </c>
      <c r="H47" s="232">
        <v>7500</v>
      </c>
      <c r="I47" s="249">
        <v>0</v>
      </c>
      <c r="J47" s="249">
        <f ca="1">+ROUND(J46/H47*100,1)</f>
        <v>1.1</v>
      </c>
      <c r="K47" s="249">
        <f ca="1">+ROUND(K46/H47*100,1)</f>
        <v>1.5</v>
      </c>
      <c r="L47" s="249">
        <f ca="1">+ROUND(L46/H47*100,1)</f>
        <v>37.1</v>
      </c>
      <c r="M47" s="249">
        <f ca="1">+ROUND(M46/H47*100,1)</f>
        <v>28.2</v>
      </c>
      <c r="N47" s="249">
        <f ca="1">+ROUND(N46/H47*100,1)</f>
        <v>19.6</v>
      </c>
      <c r="O47" s="255">
        <f ca="1">+ROUND(O46/$H$47*100,1)</f>
        <v>11.9</v>
      </c>
      <c r="P47" s="255">
        <f ca="1">+ROUND(P46/$H$47*100,1)</f>
        <v>0.4</v>
      </c>
      <c r="Q47" s="255">
        <f>+ROUND(Q46/$H$47*100,1)</f>
        <v>0</v>
      </c>
      <c r="R47" s="255">
        <f ca="1">+ROUND(R46/$H$47*100,1)</f>
        <v>0.1</v>
      </c>
      <c r="S47" s="249">
        <f ca="1">+ROUND(S46/$H$47*100,1)</f>
        <v>0</v>
      </c>
    </row>
    <row r="48" ht="15" customHeight="1" spans="8:19">
      <c r="H48" s="224"/>
      <c r="I48" s="256">
        <v>0</v>
      </c>
      <c r="J48" s="256">
        <f ca="1">+ROUND(J47,0)</f>
        <v>1</v>
      </c>
      <c r="K48" s="256">
        <f ca="1">+ROUND(SUM(J47:K47),0)</f>
        <v>3</v>
      </c>
      <c r="L48" s="256">
        <f ca="1">+ROUND(SUM(I47:L47),0)</f>
        <v>40</v>
      </c>
      <c r="M48" s="256">
        <f ca="1">+ROUND(SUM(I47:M47),0)</f>
        <v>68</v>
      </c>
      <c r="N48" s="253">
        <f ca="1">+ROUND(SUM(I47:N47),0)</f>
        <v>88</v>
      </c>
      <c r="O48" s="257">
        <f ca="1">+ROUND(SUM(I47:O47),0)</f>
        <v>99</v>
      </c>
      <c r="P48" s="253">
        <f ca="1">+ROUND(SUM(I47:P47),0)</f>
        <v>100</v>
      </c>
      <c r="R48" s="22" t="s">
        <v>183</v>
      </c>
      <c r="S48" s="22" t="s">
        <v>183</v>
      </c>
    </row>
    <row r="49" spans="8:19">
      <c r="H49" s="224"/>
      <c r="I49" s="256"/>
      <c r="J49" s="256"/>
      <c r="K49" s="256"/>
      <c r="L49" s="256"/>
      <c r="M49" s="256"/>
      <c r="N49" s="22"/>
      <c r="O49" s="181"/>
      <c r="P49" s="24"/>
      <c r="R49" s="22"/>
      <c r="S49" s="22"/>
    </row>
    <row r="50" ht="15.15" spans="8:15">
      <c r="H50" s="240"/>
      <c r="I50" s="270"/>
      <c r="J50" s="270"/>
      <c r="K50" s="270"/>
      <c r="L50" s="270"/>
      <c r="M50" s="270"/>
      <c r="N50" s="270"/>
      <c r="O50" s="271"/>
    </row>
    <row r="51" spans="2:19">
      <c r="B51" s="157" t="s">
        <v>182</v>
      </c>
      <c r="C51" s="22"/>
      <c r="D51" s="22"/>
      <c r="E51" s="22"/>
      <c r="F51" s="22"/>
      <c r="G51" s="22"/>
      <c r="O51"/>
      <c r="Q51" s="4"/>
      <c r="S51"/>
    </row>
    <row r="52" spans="2:19">
      <c r="B52" s="157" t="s">
        <v>140</v>
      </c>
      <c r="C52" s="22"/>
      <c r="D52" s="22"/>
      <c r="E52" s="22"/>
      <c r="F52" s="22"/>
      <c r="G52" s="22"/>
      <c r="O52"/>
      <c r="Q52" s="4"/>
      <c r="S52"/>
    </row>
    <row r="53" spans="2:19">
      <c r="B53" s="157" t="s">
        <v>69</v>
      </c>
      <c r="C53" s="22"/>
      <c r="D53" s="22"/>
      <c r="E53" s="22"/>
      <c r="F53" s="22"/>
      <c r="G53" s="22"/>
      <c r="O53"/>
      <c r="Q53" s="4"/>
      <c r="S53"/>
    </row>
    <row r="54" spans="4:19">
      <c r="D54"/>
      <c r="O54"/>
      <c r="Q54" s="4"/>
      <c r="S54"/>
    </row>
    <row r="55" spans="4:19">
      <c r="D55"/>
      <c r="O55"/>
      <c r="Q55" s="4"/>
      <c r="S55"/>
    </row>
    <row r="56" spans="4:19">
      <c r="D56"/>
      <c r="O56"/>
      <c r="Q56" s="4"/>
      <c r="S56"/>
    </row>
    <row r="57" spans="4:19">
      <c r="D57"/>
      <c r="M57" s="4" t="s">
        <v>186</v>
      </c>
      <c r="O57"/>
      <c r="Q57" s="4"/>
      <c r="S57"/>
    </row>
    <row r="58" spans="4:19">
      <c r="D58"/>
      <c r="O58"/>
      <c r="Q58" s="4"/>
      <c r="S58"/>
    </row>
  </sheetData>
  <mergeCells count="35">
    <mergeCell ref="D1:E1"/>
    <mergeCell ref="R1:S1"/>
    <mergeCell ref="D2:E2"/>
    <mergeCell ref="D3:E3"/>
    <mergeCell ref="H8:L8"/>
    <mergeCell ref="C13:D13"/>
    <mergeCell ref="E13:F13"/>
    <mergeCell ref="R13:S13"/>
    <mergeCell ref="H14:L14"/>
    <mergeCell ref="R19:S19"/>
    <mergeCell ref="H20:L20"/>
    <mergeCell ref="R25:S25"/>
    <mergeCell ref="H26:P26"/>
    <mergeCell ref="H32:S32"/>
    <mergeCell ref="I39:L39"/>
    <mergeCell ref="H44:S44"/>
    <mergeCell ref="H39:H40"/>
    <mergeCell ref="L9:L10"/>
    <mergeCell ref="L11:L12"/>
    <mergeCell ref="L15:L16"/>
    <mergeCell ref="L17:L18"/>
    <mergeCell ref="L21:L22"/>
    <mergeCell ref="L23:L24"/>
    <mergeCell ref="L40:L42"/>
    <mergeCell ref="M5:M6"/>
    <mergeCell ref="O2:O3"/>
    <mergeCell ref="S2:S3"/>
    <mergeCell ref="S5:S6"/>
    <mergeCell ref="S9:S10"/>
    <mergeCell ref="S11:S12"/>
    <mergeCell ref="S15:S16"/>
    <mergeCell ref="S17:S18"/>
    <mergeCell ref="S21:S22"/>
    <mergeCell ref="S23:S24"/>
    <mergeCell ref="S40:S4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B1:V50"/>
  <sheetViews>
    <sheetView workbookViewId="0">
      <selection activeCell="G28" sqref="G28"/>
    </sheetView>
  </sheetViews>
  <sheetFormatPr defaultColWidth="9" defaultRowHeight="14.4"/>
  <cols>
    <col min="2" max="2" width="8.25" customWidth="1"/>
    <col min="3" max="3" width="11.1296296296296" customWidth="1"/>
    <col min="4" max="4" width="13.75" customWidth="1"/>
    <col min="5" max="5" width="13.1296296296296" customWidth="1"/>
    <col min="6" max="6" width="11.75" customWidth="1"/>
    <col min="7" max="7" width="10.25" customWidth="1"/>
  </cols>
  <sheetData>
    <row r="1" ht="15.15"/>
    <row r="2" spans="3:20">
      <c r="C2" s="156" t="s">
        <v>146</v>
      </c>
      <c r="D2" s="17" t="s">
        <v>147</v>
      </c>
      <c r="E2" s="169"/>
      <c r="H2" s="170"/>
      <c r="I2" s="192"/>
      <c r="J2" s="192"/>
      <c r="K2" s="192"/>
      <c r="L2" s="192"/>
      <c r="M2" s="192"/>
      <c r="N2" s="192"/>
      <c r="O2" s="192"/>
      <c r="P2" s="192"/>
      <c r="Q2" s="210"/>
      <c r="S2" s="211" t="s">
        <v>148</v>
      </c>
      <c r="T2" s="212"/>
    </row>
    <row r="3" spans="3:20">
      <c r="C3" s="156" t="s">
        <v>149</v>
      </c>
      <c r="D3" s="17" t="s">
        <v>150</v>
      </c>
      <c r="E3" s="169"/>
      <c r="H3" s="171"/>
      <c r="I3" s="154" t="s">
        <v>131</v>
      </c>
      <c r="J3" s="22">
        <f ca="1">+ROUND((2000+RAND()*30)/5,0)*5</f>
        <v>2005</v>
      </c>
      <c r="K3" s="22">
        <v>150</v>
      </c>
      <c r="L3" s="22">
        <f ca="1">+ROUND((J3+K3-J3/(S3/1000+N3))/5,0)*5</f>
        <v>1420</v>
      </c>
      <c r="M3" s="22">
        <v>20</v>
      </c>
      <c r="N3" s="22">
        <f>+LOOKUP(M3,D16:E26)</f>
        <v>0.005</v>
      </c>
      <c r="O3" s="22">
        <f ca="1">+ROUND((J3/(J3+K3-L3)-N3)*100,0)*10</f>
        <v>2720</v>
      </c>
      <c r="P3" s="193">
        <f ca="1">+IF(RIGHT(AVERAGE(O3:O4),1)="5",IF(MOD(LEFT(RIGHT(AVERAGE(O3:O4),2)),2)=0,LEFT(AVERAGE(O3:O4),3)*10,ROUND(AVERAGE(O3:O4)/10,0)*10),ROUND(AVERAGE(O3:O4)/10,0)*10)</f>
        <v>2720</v>
      </c>
      <c r="Q3" s="213"/>
      <c r="S3" s="18">
        <f ca="1">+(RAND()*25+2700)</f>
        <v>2724.79315914779</v>
      </c>
      <c r="T3" s="214">
        <f ca="1">+AVERAGE(S3:S4)</f>
        <v>2731.68188315011</v>
      </c>
    </row>
    <row r="4" ht="17.4" spans="3:20">
      <c r="C4" s="172" t="s">
        <v>124</v>
      </c>
      <c r="D4" s="173" t="s">
        <v>151</v>
      </c>
      <c r="E4" s="174"/>
      <c r="H4" s="171"/>
      <c r="I4" s="165"/>
      <c r="J4" s="22">
        <f ca="1">+ROUND((J3-10+RAND()*20)/5,0)*5</f>
        <v>2000</v>
      </c>
      <c r="K4" s="22">
        <f>+K3</f>
        <v>150</v>
      </c>
      <c r="L4" s="22">
        <f ca="1">+ROUND((J4+K4-J4/(S4/1000+N4))/5,0)*5</f>
        <v>1420</v>
      </c>
      <c r="M4" s="22">
        <f>+M3</f>
        <v>20</v>
      </c>
      <c r="N4" s="22">
        <f>+LOOKUP(M4,D17:E28)</f>
        <v>0.005</v>
      </c>
      <c r="O4" s="22">
        <f ca="1">+ROUND((J4/(J4+K4-L4)-N4)*100,0)*10</f>
        <v>2730</v>
      </c>
      <c r="P4" s="193"/>
      <c r="Q4" s="213"/>
      <c r="S4" s="18">
        <f ca="1">+S3-20+RAND()*40</f>
        <v>2738.57060715242</v>
      </c>
      <c r="T4" s="215"/>
    </row>
    <row r="5" spans="3:20">
      <c r="C5" s="22"/>
      <c r="D5" s="175" t="s">
        <v>113</v>
      </c>
      <c r="E5" s="175" t="s">
        <v>114</v>
      </c>
      <c r="F5" s="175" t="s">
        <v>152</v>
      </c>
      <c r="H5" s="171"/>
      <c r="I5" s="165"/>
      <c r="J5" s="165"/>
      <c r="K5" s="165"/>
      <c r="L5" s="165"/>
      <c r="M5" s="165"/>
      <c r="N5" s="165"/>
      <c r="O5" s="165"/>
      <c r="P5" s="165"/>
      <c r="Q5" s="213"/>
      <c r="S5" s="4"/>
      <c r="T5" s="4"/>
    </row>
    <row r="6" spans="3:20">
      <c r="C6" s="176" t="s">
        <v>153</v>
      </c>
      <c r="D6" s="177" t="s">
        <v>119</v>
      </c>
      <c r="E6" s="177" t="s">
        <v>120</v>
      </c>
      <c r="F6" s="177" t="s">
        <v>154</v>
      </c>
      <c r="H6" s="171"/>
      <c r="I6" s="194" t="s">
        <v>155</v>
      </c>
      <c r="J6" s="22">
        <v>1290</v>
      </c>
      <c r="K6" s="22">
        <f ca="1">+ROUND((S6*10+J6)/10,0)*10</f>
        <v>17690</v>
      </c>
      <c r="L6" s="22">
        <v>10</v>
      </c>
      <c r="M6" s="22">
        <f ca="1">+ROUND((K6-J6)/L6/10,0)*10</f>
        <v>1640</v>
      </c>
      <c r="N6" s="193">
        <f ca="1">+IF(RIGHT(AVERAGE(M6:M7),1)="5",IF(MOD(LEFT(RIGHT(AVERAGE(M6:M7),2)),2)=0,LEFT(AVERAGE(M6:M7),3)*10,ROUND(AVERAGE(M6:M7)/10,0)*10),ROUND(AVERAGE(M6:M7)/10,0)*10)</f>
        <v>1640</v>
      </c>
      <c r="O6" s="165"/>
      <c r="P6" s="165"/>
      <c r="Q6" s="213"/>
      <c r="S6" s="18">
        <f ca="1">1640+RAND()*30</f>
        <v>1640.32322759006</v>
      </c>
      <c r="T6" s="216">
        <f ca="1">+AVERAGE(S6:S7)</f>
        <v>1635.69197653755</v>
      </c>
    </row>
    <row r="7" spans="3:20">
      <c r="C7" s="176" t="s">
        <v>124</v>
      </c>
      <c r="D7" s="177" t="s">
        <v>156</v>
      </c>
      <c r="E7" s="177" t="s">
        <v>157</v>
      </c>
      <c r="F7" s="177" t="s">
        <v>119</v>
      </c>
      <c r="H7" s="171"/>
      <c r="I7" s="165"/>
      <c r="J7" s="22">
        <f>+J6</f>
        <v>1290</v>
      </c>
      <c r="K7" s="22">
        <f ca="1">+ROUND((S7*10+J7)/10,0)*10</f>
        <v>17600</v>
      </c>
      <c r="L7" s="22">
        <f>+L6</f>
        <v>10</v>
      </c>
      <c r="M7" s="22">
        <f ca="1">+ROUND((K7-J7)/L7/10,0)*10</f>
        <v>1630</v>
      </c>
      <c r="N7" s="193"/>
      <c r="O7" s="165"/>
      <c r="P7" s="165"/>
      <c r="Q7" s="213"/>
      <c r="S7" s="18">
        <f ca="1">+RAND()*20-10+S6</f>
        <v>1631.06072548504</v>
      </c>
      <c r="T7" s="215"/>
    </row>
    <row r="8" spans="3:20">
      <c r="C8" s="176" t="s">
        <v>158</v>
      </c>
      <c r="D8" s="177" t="s">
        <v>20</v>
      </c>
      <c r="E8" s="177" t="s">
        <v>123</v>
      </c>
      <c r="F8" s="177" t="s">
        <v>159</v>
      </c>
      <c r="H8" s="171"/>
      <c r="I8" s="165"/>
      <c r="J8" s="165"/>
      <c r="K8" s="165"/>
      <c r="L8" s="165"/>
      <c r="M8" s="165"/>
      <c r="N8" s="165"/>
      <c r="O8" s="194" t="s">
        <v>135</v>
      </c>
      <c r="P8" s="18">
        <f ca="1">+(1-N6/P3)*100</f>
        <v>39.7058823529412</v>
      </c>
      <c r="Q8" s="213"/>
      <c r="S8" s="208"/>
      <c r="T8" s="165"/>
    </row>
    <row r="9" spans="3:20">
      <c r="C9" s="176" t="s">
        <v>160</v>
      </c>
      <c r="D9" s="177" t="s">
        <v>119</v>
      </c>
      <c r="E9" s="177" t="s">
        <v>120</v>
      </c>
      <c r="F9" s="177" t="s">
        <v>120</v>
      </c>
      <c r="H9" s="171"/>
      <c r="I9" s="195" t="s">
        <v>187</v>
      </c>
      <c r="J9" s="196"/>
      <c r="K9" s="196"/>
      <c r="L9" s="196"/>
      <c r="M9" s="197"/>
      <c r="N9" s="165"/>
      <c r="O9" s="198"/>
      <c r="P9" s="198"/>
      <c r="Q9" s="213"/>
      <c r="S9" s="4"/>
      <c r="T9" s="4"/>
    </row>
    <row r="10" ht="21.6" spans="3:20">
      <c r="C10" s="178" t="s">
        <v>162</v>
      </c>
      <c r="D10" s="177" t="s">
        <v>20</v>
      </c>
      <c r="E10" s="177" t="s">
        <v>163</v>
      </c>
      <c r="F10" s="177" t="s">
        <v>164</v>
      </c>
      <c r="H10" s="171"/>
      <c r="I10" s="199" t="s">
        <v>121</v>
      </c>
      <c r="J10" s="18">
        <f ca="1">ROUND(2002+RAND()*5,0)</f>
        <v>2003</v>
      </c>
      <c r="K10" s="18">
        <f ca="1">+ROUND((1-S10/100)*J10,0)</f>
        <v>2001</v>
      </c>
      <c r="L10" s="22">
        <f ca="1">+ROUND((J10-K10)/J10*100,1)</f>
        <v>0.1</v>
      </c>
      <c r="M10" s="200" t="str">
        <f ca="1">+IF(RIGHT(AVERAGE(L10:L11),1)="5",IF(MOD(LEFT(RIGHT(AVERAGE(L10:L11),2)),2)=0,LEFT(AVERAGE(L10:L11),3),ROUND(AVERAGE(L10:L11),1)),ROUND(AVERAGE(L10:L11),1))</f>
        <v>0.0</v>
      </c>
      <c r="N10" s="165"/>
      <c r="O10" s="198"/>
      <c r="P10" s="198"/>
      <c r="Q10" s="213"/>
      <c r="S10" s="26">
        <f ca="1">+RAND()*0.3+0.1</f>
        <v>0.114410124874518</v>
      </c>
      <c r="T10" s="6">
        <f ca="1">+AVERAGE(S10:S11)</f>
        <v>0.0685609695122305</v>
      </c>
    </row>
    <row r="11" spans="3:20">
      <c r="C11" s="176" t="s">
        <v>165</v>
      </c>
      <c r="D11" s="177" t="s">
        <v>123</v>
      </c>
      <c r="E11" s="177" t="s">
        <v>166</v>
      </c>
      <c r="F11" s="177" t="s">
        <v>167</v>
      </c>
      <c r="H11" s="171"/>
      <c r="I11" s="165"/>
      <c r="J11" s="18">
        <f ca="1">+ROUND(J10-4+RAND()*8,0)</f>
        <v>2000</v>
      </c>
      <c r="K11" s="18">
        <f ca="1">+ROUND((1-S11/100)*J11,0)</f>
        <v>2000</v>
      </c>
      <c r="L11" s="6">
        <f ca="1">+ROUND((J11-K11)/J11*100,1)</f>
        <v>0</v>
      </c>
      <c r="M11" s="200"/>
      <c r="N11" s="165"/>
      <c r="O11" s="165"/>
      <c r="P11" s="165"/>
      <c r="Q11" s="213"/>
      <c r="S11" s="26">
        <f ca="1">+S10-0.1+RAND()*0.2</f>
        <v>0.0227118141499432</v>
      </c>
      <c r="T11" s="6"/>
    </row>
    <row r="12" spans="3:20">
      <c r="C12" s="176" t="s">
        <v>168</v>
      </c>
      <c r="D12" s="177" t="s">
        <v>169</v>
      </c>
      <c r="E12" s="177" t="s">
        <v>170</v>
      </c>
      <c r="F12" s="177" t="s">
        <v>171</v>
      </c>
      <c r="H12" s="171"/>
      <c r="I12" s="199" t="s">
        <v>126</v>
      </c>
      <c r="J12" s="18">
        <f ca="1">ROUND(2000+RAND()*4,0)</f>
        <v>2004</v>
      </c>
      <c r="K12" s="18">
        <f ca="1">+ROUND((1-S12/100)*J12,0)</f>
        <v>2003</v>
      </c>
      <c r="L12" s="6">
        <f ca="1">+ROUND((J12-K12)/J12*100,1)</f>
        <v>0</v>
      </c>
      <c r="M12" s="200" t="str">
        <f ca="1">+IF(RIGHT(AVERAGE(L12:L13),1)="5",IF(MOD(LEFT(RIGHT(AVERAGE(L12:L13),2)),2)=0,LEFT(AVERAGE(L12:L13),3),ROUND(AVERAGE(L12:L13),1)),ROUND(AVERAGE(L12:L13),1))</f>
        <v>0.0</v>
      </c>
      <c r="N12" s="165"/>
      <c r="O12" s="165"/>
      <c r="P12" s="165"/>
      <c r="Q12" s="213"/>
      <c r="S12" s="26">
        <f ca="1">+RAND()*0.2</f>
        <v>0.0505800017392834</v>
      </c>
      <c r="T12" s="6">
        <f ca="1">+AVERAGE(S12:S13)</f>
        <v>0.0916284692558917</v>
      </c>
    </row>
    <row r="13" spans="3:20">
      <c r="C13" s="176" t="s">
        <v>172</v>
      </c>
      <c r="D13" s="177" t="s">
        <v>120</v>
      </c>
      <c r="E13" s="177" t="s">
        <v>128</v>
      </c>
      <c r="F13" s="177" t="s">
        <v>128</v>
      </c>
      <c r="H13" s="171"/>
      <c r="I13" s="165"/>
      <c r="J13" s="18">
        <f ca="1">+ROUND(J12-2+RAND()*4,0)</f>
        <v>2004</v>
      </c>
      <c r="K13" s="18">
        <f ca="1">+ROUND((1-S13/100)*J13,0)</f>
        <v>2001</v>
      </c>
      <c r="L13" s="6">
        <f ca="1">+ROUND((J13-K13)/J13*100,1)</f>
        <v>0.1</v>
      </c>
      <c r="M13" s="200"/>
      <c r="N13" s="165"/>
      <c r="O13" s="165"/>
      <c r="P13" s="165"/>
      <c r="Q13" s="213"/>
      <c r="S13" s="26">
        <f ca="1">+ABS(S12-0.2+RAND()*0.2)</f>
        <v>0.1326769367725</v>
      </c>
      <c r="T13" s="6"/>
    </row>
    <row r="14" spans="3:20">
      <c r="C14" s="179" t="s">
        <v>173</v>
      </c>
      <c r="D14" s="180"/>
      <c r="E14" s="181" t="s">
        <v>174</v>
      </c>
      <c r="F14" s="182"/>
      <c r="H14" s="171"/>
      <c r="I14" s="199" t="s">
        <v>158</v>
      </c>
      <c r="J14" s="18">
        <f ca="1">ROUND((300+RAND()*5),0)</f>
        <v>301</v>
      </c>
      <c r="K14" s="18">
        <f ca="1">+J14*S14/100</f>
        <v>12.9597948928649</v>
      </c>
      <c r="L14" s="18">
        <f ca="1">+ROUND(K14/J14*100,0)</f>
        <v>4</v>
      </c>
      <c r="M14" s="165"/>
      <c r="N14" s="165"/>
      <c r="O14" s="165"/>
      <c r="P14" s="165"/>
      <c r="Q14" s="213"/>
      <c r="S14" s="217">
        <f ca="1">RAND()*5</f>
        <v>4.30557969862621</v>
      </c>
      <c r="T14" s="218"/>
    </row>
    <row r="15" spans="3:20">
      <c r="C15" s="183" t="s">
        <v>175</v>
      </c>
      <c r="D15" s="183" t="s">
        <v>176</v>
      </c>
      <c r="E15" s="184" t="s">
        <v>177</v>
      </c>
      <c r="H15" s="171"/>
      <c r="I15" s="165"/>
      <c r="J15" s="165"/>
      <c r="K15" s="165"/>
      <c r="L15" s="165"/>
      <c r="M15" s="165"/>
      <c r="N15" s="165"/>
      <c r="O15" s="165"/>
      <c r="P15" s="165"/>
      <c r="Q15" s="213"/>
      <c r="S15" s="4"/>
      <c r="T15" s="4"/>
    </row>
    <row r="16" spans="3:20">
      <c r="C16" s="185"/>
      <c r="D16" s="186">
        <v>15</v>
      </c>
      <c r="E16" s="186">
        <v>0.002</v>
      </c>
      <c r="H16" s="171"/>
      <c r="I16" s="165"/>
      <c r="J16" s="165"/>
      <c r="K16" s="165"/>
      <c r="L16" s="165"/>
      <c r="M16" s="165"/>
      <c r="N16" s="165"/>
      <c r="O16" s="165"/>
      <c r="P16" s="165"/>
      <c r="Q16" s="213"/>
      <c r="R16" s="4"/>
      <c r="S16" s="4"/>
      <c r="T16" s="4"/>
    </row>
    <row r="17" ht="15" customHeight="1" spans="3:20">
      <c r="C17" s="185"/>
      <c r="D17" s="186">
        <v>16</v>
      </c>
      <c r="E17" s="186">
        <v>0.003</v>
      </c>
      <c r="H17" s="171"/>
      <c r="I17" s="201" t="s">
        <v>188</v>
      </c>
      <c r="J17" s="202"/>
      <c r="K17" s="202"/>
      <c r="L17" s="202"/>
      <c r="M17" s="203"/>
      <c r="N17" s="201"/>
      <c r="O17" s="165"/>
      <c r="P17" s="165"/>
      <c r="Q17" s="213"/>
      <c r="R17" s="4"/>
      <c r="S17" s="4"/>
      <c r="T17" s="4"/>
    </row>
    <row r="18" ht="15" customHeight="1" spans="3:20">
      <c r="C18" s="185"/>
      <c r="D18" s="186">
        <v>17</v>
      </c>
      <c r="E18" s="186">
        <v>0.003</v>
      </c>
      <c r="H18" s="171"/>
      <c r="I18" s="204"/>
      <c r="J18" s="205"/>
      <c r="K18" s="205"/>
      <c r="L18" s="205"/>
      <c r="M18" s="206"/>
      <c r="N18" s="204"/>
      <c r="O18" s="165"/>
      <c r="P18" s="165"/>
      <c r="Q18" s="213"/>
      <c r="R18" s="4"/>
      <c r="S18" s="4"/>
      <c r="T18" s="4"/>
    </row>
    <row r="19" ht="15" customHeight="1" spans="3:22">
      <c r="C19" s="185"/>
      <c r="D19" s="186">
        <v>18</v>
      </c>
      <c r="E19" s="186">
        <v>0.004</v>
      </c>
      <c r="H19" s="171"/>
      <c r="I19" s="161" t="s">
        <v>69</v>
      </c>
      <c r="J19" s="161">
        <v>16</v>
      </c>
      <c r="K19" s="161">
        <v>9.5</v>
      </c>
      <c r="L19" s="161">
        <v>4.75</v>
      </c>
      <c r="M19" s="161">
        <v>2.36</v>
      </c>
      <c r="N19" s="161" t="s">
        <v>138</v>
      </c>
      <c r="O19" s="165"/>
      <c r="P19" s="165"/>
      <c r="Q19" s="213"/>
      <c r="R19" s="182"/>
      <c r="S19" s="207">
        <v>9.5</v>
      </c>
      <c r="T19" s="207">
        <v>4.75</v>
      </c>
      <c r="U19" s="207">
        <v>2.36</v>
      </c>
      <c r="V19" s="219" t="s">
        <v>138</v>
      </c>
    </row>
    <row r="20" ht="15" customHeight="1" spans="3:22">
      <c r="C20" s="185"/>
      <c r="D20" s="186">
        <v>19</v>
      </c>
      <c r="E20" s="186">
        <v>0.004</v>
      </c>
      <c r="H20" s="171"/>
      <c r="I20" s="207">
        <f ca="1">+RANDBETWEEN(2000,2010)</f>
        <v>2007</v>
      </c>
      <c r="J20" s="22">
        <v>0</v>
      </c>
      <c r="K20" s="22">
        <f ca="1">+ROUND(S20*I20/100,0)</f>
        <v>103</v>
      </c>
      <c r="L20" s="22">
        <f ca="1">+ROUND(I20*T20/100,0)</f>
        <v>1721</v>
      </c>
      <c r="M20" s="22">
        <f ca="1">+ROUND(U20*I20/100,0)</f>
        <v>124</v>
      </c>
      <c r="N20" s="22">
        <f ca="1">+I20-SUM(J20:M20,M23)</f>
        <v>54</v>
      </c>
      <c r="O20" s="165"/>
      <c r="P20" s="165"/>
      <c r="Q20" s="213"/>
      <c r="R20" s="180" t="s">
        <v>140</v>
      </c>
      <c r="S20" s="22">
        <f ca="1">+RAND()*4+5</f>
        <v>5.15399315792161</v>
      </c>
      <c r="T20" s="22">
        <f ca="1">+RAND()*5+88-S20</f>
        <v>85.7283091694046</v>
      </c>
      <c r="U20" s="24">
        <f ca="1">95+RAND()*4-SUM(S20:T20)</f>
        <v>6.18588567831547</v>
      </c>
      <c r="V20" s="24">
        <f ca="1">100-SUM(S20:U20,U23)</f>
        <v>2.70291508058597</v>
      </c>
    </row>
    <row r="21" ht="15" customHeight="1" spans="3:22">
      <c r="C21" s="185"/>
      <c r="D21" s="186">
        <v>20</v>
      </c>
      <c r="E21" s="186">
        <v>0.005</v>
      </c>
      <c r="H21" s="171"/>
      <c r="I21" s="165"/>
      <c r="J21" s="6">
        <v>0</v>
      </c>
      <c r="K21" s="22">
        <f ca="1">+ROUND(K20/$I$20*100,1)</f>
        <v>5.1</v>
      </c>
      <c r="L21" s="22">
        <f ca="1">+ROUND(L20/$I$20*100,1)</f>
        <v>85.7</v>
      </c>
      <c r="M21" s="22">
        <f ca="1">+ROUND(M20/$I$20*100,1)</f>
        <v>6.2</v>
      </c>
      <c r="N21" s="165"/>
      <c r="O21" s="165"/>
      <c r="P21" s="165"/>
      <c r="Q21" s="213"/>
      <c r="R21" s="180" t="s">
        <v>182</v>
      </c>
      <c r="S21" s="22">
        <f ca="1">+ROUND(S20,0)</f>
        <v>5</v>
      </c>
      <c r="T21" s="22">
        <f ca="1">+ROUND(T20+S20,0)</f>
        <v>91</v>
      </c>
      <c r="U21" s="24">
        <f ca="1">+ROUND(SUM(S20:U20),0)</f>
        <v>97</v>
      </c>
      <c r="V21" s="24"/>
    </row>
    <row r="22" ht="15" customHeight="1" spans="3:22">
      <c r="C22" s="185"/>
      <c r="D22" s="186">
        <v>21</v>
      </c>
      <c r="E22" s="186">
        <v>0.005</v>
      </c>
      <c r="H22" s="171"/>
      <c r="I22" s="165"/>
      <c r="J22" s="22">
        <v>0</v>
      </c>
      <c r="K22" s="22">
        <f ca="1">+ROUND(K21,0)</f>
        <v>5</v>
      </c>
      <c r="L22" s="22">
        <f ca="1">+ROUND(SUM(K21:L21),0)</f>
        <v>91</v>
      </c>
      <c r="M22" s="22">
        <f ca="1">+ROUND(SUM(K21:M21),0)</f>
        <v>97</v>
      </c>
      <c r="N22" s="208"/>
      <c r="O22" s="165"/>
      <c r="P22" s="165"/>
      <c r="Q22" s="213"/>
      <c r="R22" s="182"/>
      <c r="S22" s="22"/>
      <c r="T22" s="22"/>
      <c r="U22" s="24"/>
      <c r="V22" s="24"/>
    </row>
    <row r="23" ht="15" customHeight="1" spans="3:22">
      <c r="C23" s="185"/>
      <c r="D23" s="186">
        <v>22</v>
      </c>
      <c r="E23" s="186">
        <v>0.006</v>
      </c>
      <c r="H23" s="171"/>
      <c r="I23" s="165"/>
      <c r="J23" s="165"/>
      <c r="K23" s="165"/>
      <c r="L23" s="155" t="s">
        <v>142</v>
      </c>
      <c r="M23" s="22">
        <f ca="1">+ROUND(U23*I20/100,0)</f>
        <v>5</v>
      </c>
      <c r="N23" s="165"/>
      <c r="O23" s="165"/>
      <c r="P23" s="165"/>
      <c r="Q23" s="213"/>
      <c r="R23" s="182"/>
      <c r="S23" s="22"/>
      <c r="T23" s="220" t="s">
        <v>142</v>
      </c>
      <c r="U23" s="24">
        <f ca="1">+RAND()*0.3</f>
        <v>0.228896913772377</v>
      </c>
      <c r="V23" s="24"/>
    </row>
    <row r="24" ht="15" customHeight="1" spans="3:20">
      <c r="C24" s="185"/>
      <c r="D24" s="186">
        <v>23</v>
      </c>
      <c r="E24" s="186">
        <v>0.006</v>
      </c>
      <c r="H24" s="171"/>
      <c r="I24" s="165"/>
      <c r="J24" s="165"/>
      <c r="K24" s="165"/>
      <c r="L24" s="165"/>
      <c r="M24" s="165"/>
      <c r="N24" s="165"/>
      <c r="O24" s="165"/>
      <c r="P24" s="165"/>
      <c r="Q24" s="213"/>
      <c r="R24" s="4"/>
      <c r="S24" s="4"/>
      <c r="T24" s="4"/>
    </row>
    <row r="25" ht="15" customHeight="1" spans="3:20">
      <c r="C25" s="185"/>
      <c r="D25" s="186">
        <v>24</v>
      </c>
      <c r="E25" s="186">
        <v>0.007</v>
      </c>
      <c r="H25" s="171"/>
      <c r="I25" s="165"/>
      <c r="J25" s="165"/>
      <c r="K25" s="165"/>
      <c r="L25" s="165"/>
      <c r="M25" s="165"/>
      <c r="N25" s="165"/>
      <c r="O25" s="165"/>
      <c r="P25" s="165"/>
      <c r="Q25" s="213"/>
      <c r="R25" s="4"/>
      <c r="S25" s="4"/>
      <c r="T25" s="4"/>
    </row>
    <row r="26" ht="15" customHeight="1" spans="3:20">
      <c r="C26" s="185"/>
      <c r="D26" s="186">
        <v>25</v>
      </c>
      <c r="E26" s="186">
        <v>0.008</v>
      </c>
      <c r="H26" s="171"/>
      <c r="I26" s="165"/>
      <c r="J26" s="165"/>
      <c r="K26" s="165"/>
      <c r="L26" s="165"/>
      <c r="M26" s="165"/>
      <c r="N26" s="165"/>
      <c r="O26" s="165"/>
      <c r="P26" s="165"/>
      <c r="Q26" s="213"/>
      <c r="R26" s="4"/>
      <c r="S26" s="4"/>
      <c r="T26" s="4"/>
    </row>
    <row r="27" spans="3:20">
      <c r="C27" s="185"/>
      <c r="D27" s="187"/>
      <c r="E27" s="187"/>
      <c r="H27" s="171"/>
      <c r="I27" s="165"/>
      <c r="J27" s="165"/>
      <c r="K27" s="165"/>
      <c r="L27" s="165"/>
      <c r="M27" s="165"/>
      <c r="N27" s="165"/>
      <c r="O27" s="165"/>
      <c r="P27" s="165"/>
      <c r="Q27" s="213"/>
      <c r="R27" s="4"/>
      <c r="S27" s="4"/>
      <c r="T27" s="4"/>
    </row>
    <row r="28" spans="2:20">
      <c r="B28" s="188" t="s">
        <v>189</v>
      </c>
      <c r="C28" s="189"/>
      <c r="D28" s="22">
        <v>16</v>
      </c>
      <c r="E28" s="22">
        <v>9.5</v>
      </c>
      <c r="F28" s="22">
        <v>4.75</v>
      </c>
      <c r="G28" s="181">
        <v>2.36</v>
      </c>
      <c r="H28" s="171"/>
      <c r="I28" s="165"/>
      <c r="J28" s="165"/>
      <c r="K28" s="165"/>
      <c r="L28" s="165"/>
      <c r="M28" s="165"/>
      <c r="N28" s="165"/>
      <c r="O28" s="165"/>
      <c r="P28" s="165"/>
      <c r="Q28" s="213"/>
      <c r="S28" s="4"/>
      <c r="T28" s="4"/>
    </row>
    <row r="29" spans="4:20">
      <c r="D29" s="156">
        <v>0</v>
      </c>
      <c r="E29" s="156" t="s">
        <v>190</v>
      </c>
      <c r="F29" s="156" t="s">
        <v>191</v>
      </c>
      <c r="G29" s="179" t="s">
        <v>192</v>
      </c>
      <c r="H29" s="171"/>
      <c r="I29" s="165"/>
      <c r="J29" s="165"/>
      <c r="K29" s="165"/>
      <c r="L29" s="165"/>
      <c r="M29" s="165"/>
      <c r="N29" s="165"/>
      <c r="O29" s="165"/>
      <c r="P29" s="165"/>
      <c r="Q29" s="213"/>
      <c r="S29" s="4"/>
      <c r="T29" s="4"/>
    </row>
    <row r="30" spans="4:20">
      <c r="D30" s="190">
        <v>0</v>
      </c>
      <c r="E30" s="190">
        <v>0</v>
      </c>
      <c r="F30" s="22">
        <v>80</v>
      </c>
      <c r="G30" s="181">
        <v>95</v>
      </c>
      <c r="H30" s="171"/>
      <c r="I30" s="165"/>
      <c r="J30" s="165"/>
      <c r="K30" s="165"/>
      <c r="L30" s="165"/>
      <c r="M30" s="165"/>
      <c r="N30" s="165"/>
      <c r="O30" s="165"/>
      <c r="P30" s="165"/>
      <c r="Q30" s="213"/>
      <c r="S30" s="4"/>
      <c r="T30" s="4"/>
    </row>
    <row r="31" spans="4:20">
      <c r="D31" s="190">
        <v>0</v>
      </c>
      <c r="E31" s="190">
        <v>15</v>
      </c>
      <c r="F31" s="22">
        <v>100</v>
      </c>
      <c r="G31" s="181">
        <v>100</v>
      </c>
      <c r="H31" s="171"/>
      <c r="I31" s="165"/>
      <c r="J31" s="165"/>
      <c r="K31" s="165"/>
      <c r="L31" s="165"/>
      <c r="M31" s="165"/>
      <c r="N31" s="165"/>
      <c r="O31" s="165"/>
      <c r="P31" s="165"/>
      <c r="Q31" s="213"/>
      <c r="S31" s="4"/>
      <c r="T31" s="4"/>
    </row>
    <row r="32" spans="8:20">
      <c r="H32" s="171"/>
      <c r="I32" s="165"/>
      <c r="J32" s="165"/>
      <c r="K32" s="165"/>
      <c r="L32" s="165"/>
      <c r="M32" s="165"/>
      <c r="N32" s="165"/>
      <c r="O32" s="165"/>
      <c r="P32" s="165"/>
      <c r="Q32" s="213"/>
      <c r="S32" s="4"/>
      <c r="T32" s="4"/>
    </row>
    <row r="33" spans="8:20">
      <c r="H33" s="171"/>
      <c r="I33" s="165"/>
      <c r="J33" s="165"/>
      <c r="K33" s="165"/>
      <c r="L33" s="165"/>
      <c r="M33" s="165"/>
      <c r="N33" s="165"/>
      <c r="O33" s="165"/>
      <c r="P33" s="165"/>
      <c r="Q33" s="213"/>
      <c r="S33" s="4"/>
      <c r="T33" s="4"/>
    </row>
    <row r="34" spans="8:20">
      <c r="H34" s="171"/>
      <c r="I34" s="165"/>
      <c r="J34" s="165"/>
      <c r="K34" s="165"/>
      <c r="L34" s="165"/>
      <c r="M34" s="165"/>
      <c r="N34" s="165"/>
      <c r="O34" s="165"/>
      <c r="P34" s="165"/>
      <c r="Q34" s="213"/>
      <c r="S34" s="4"/>
      <c r="T34" s="4"/>
    </row>
    <row r="35" spans="8:20">
      <c r="H35" s="171"/>
      <c r="I35" s="165"/>
      <c r="J35" s="165"/>
      <c r="K35" s="165"/>
      <c r="L35" s="165"/>
      <c r="M35" s="165"/>
      <c r="N35" s="165"/>
      <c r="O35" s="165"/>
      <c r="P35" s="165"/>
      <c r="Q35" s="213"/>
      <c r="S35" s="4"/>
      <c r="T35" s="4"/>
    </row>
    <row r="36" spans="8:20">
      <c r="H36" s="171"/>
      <c r="I36" s="165"/>
      <c r="J36" s="165"/>
      <c r="K36" s="165"/>
      <c r="L36" s="165"/>
      <c r="M36" s="165"/>
      <c r="N36" s="165"/>
      <c r="O36" s="165"/>
      <c r="P36" s="165"/>
      <c r="Q36" s="213"/>
      <c r="S36" s="4"/>
      <c r="T36" s="4"/>
    </row>
    <row r="37" spans="8:17">
      <c r="H37" s="171"/>
      <c r="I37" s="165"/>
      <c r="J37" s="165"/>
      <c r="K37" s="165"/>
      <c r="L37" s="165"/>
      <c r="M37" s="165"/>
      <c r="N37" s="165"/>
      <c r="O37" s="165"/>
      <c r="P37" s="165"/>
      <c r="Q37" s="213"/>
    </row>
    <row r="38" spans="8:17">
      <c r="H38" s="171"/>
      <c r="I38" s="165"/>
      <c r="J38" s="165"/>
      <c r="K38" s="165"/>
      <c r="L38" s="165"/>
      <c r="M38" s="165"/>
      <c r="N38" s="165"/>
      <c r="O38" s="165"/>
      <c r="P38" s="165"/>
      <c r="Q38" s="213"/>
    </row>
    <row r="39" spans="8:17">
      <c r="H39" s="171"/>
      <c r="I39" s="165"/>
      <c r="J39" s="165"/>
      <c r="K39" s="165"/>
      <c r="L39" s="165"/>
      <c r="M39" s="165"/>
      <c r="N39" s="165"/>
      <c r="O39" s="165"/>
      <c r="P39" s="165"/>
      <c r="Q39" s="213"/>
    </row>
    <row r="40" spans="8:17">
      <c r="H40" s="171"/>
      <c r="I40" s="165"/>
      <c r="J40" s="165"/>
      <c r="K40" s="165"/>
      <c r="L40" s="165"/>
      <c r="M40" s="165"/>
      <c r="N40" s="165"/>
      <c r="O40" s="165"/>
      <c r="P40" s="165"/>
      <c r="Q40" s="213"/>
    </row>
    <row r="41" spans="8:17">
      <c r="H41" s="171"/>
      <c r="I41" s="165"/>
      <c r="J41" s="165"/>
      <c r="K41" s="165"/>
      <c r="L41" s="165"/>
      <c r="M41" s="165"/>
      <c r="N41" s="165"/>
      <c r="O41" s="165"/>
      <c r="P41" s="165"/>
      <c r="Q41" s="213"/>
    </row>
    <row r="42" ht="15.15" spans="8:17">
      <c r="H42" s="191"/>
      <c r="I42" s="209"/>
      <c r="J42" s="209"/>
      <c r="K42" s="209"/>
      <c r="L42" s="209"/>
      <c r="M42" s="209"/>
      <c r="N42" s="209"/>
      <c r="O42" s="209"/>
      <c r="P42" s="209"/>
      <c r="Q42" s="221"/>
    </row>
    <row r="43" spans="9:16">
      <c r="I43" s="4"/>
      <c r="J43" s="4"/>
      <c r="K43" s="4"/>
      <c r="L43" s="4"/>
      <c r="M43" s="4"/>
      <c r="N43" s="4"/>
      <c r="O43" s="4"/>
      <c r="P43" s="4"/>
    </row>
    <row r="44" spans="9:16">
      <c r="I44" s="4"/>
      <c r="J44" s="4"/>
      <c r="K44" s="4"/>
      <c r="L44" s="4"/>
      <c r="M44" s="4"/>
      <c r="N44" s="4"/>
      <c r="O44" s="4"/>
      <c r="P44" s="4"/>
    </row>
    <row r="45" spans="9:16">
      <c r="I45" s="4"/>
      <c r="J45" s="4"/>
      <c r="K45" s="4"/>
      <c r="L45" s="4"/>
      <c r="M45" s="4"/>
      <c r="N45" s="4"/>
      <c r="O45" s="4"/>
      <c r="P45" s="4"/>
    </row>
    <row r="46" spans="9:20">
      <c r="I46" s="4"/>
      <c r="J46" s="4"/>
      <c r="K46" s="4"/>
      <c r="L46" s="4"/>
      <c r="M46" s="4"/>
      <c r="N46" s="4"/>
      <c r="O46" s="4"/>
      <c r="P46" s="4"/>
      <c r="S46" s="4"/>
      <c r="T46" s="4"/>
    </row>
    <row r="47" spans="9:20">
      <c r="I47" s="4"/>
      <c r="J47" s="4"/>
      <c r="K47" s="4"/>
      <c r="L47" s="4"/>
      <c r="M47" s="4"/>
      <c r="N47" s="4"/>
      <c r="O47" s="4"/>
      <c r="P47" s="4"/>
      <c r="S47" s="4"/>
      <c r="T47" s="4"/>
    </row>
    <row r="48" spans="9:20">
      <c r="I48" s="4"/>
      <c r="J48" s="4"/>
      <c r="K48" s="4"/>
      <c r="L48" s="4"/>
      <c r="M48" s="4"/>
      <c r="N48" s="4"/>
      <c r="O48" s="4"/>
      <c r="P48" s="4"/>
      <c r="S48" s="4"/>
      <c r="T48" s="4"/>
    </row>
    <row r="49" spans="9:20">
      <c r="I49" s="4"/>
      <c r="J49" s="4"/>
      <c r="K49" s="4"/>
      <c r="L49" s="4"/>
      <c r="M49" s="4"/>
      <c r="N49" s="4"/>
      <c r="O49" s="4"/>
      <c r="P49" s="4"/>
      <c r="S49" s="4"/>
      <c r="T49" s="4"/>
    </row>
    <row r="50" spans="9:19">
      <c r="I50" s="4"/>
      <c r="J50" s="4"/>
      <c r="K50" s="4"/>
      <c r="L50" s="4"/>
      <c r="M50" s="4"/>
      <c r="N50" s="4"/>
      <c r="O50" s="4"/>
      <c r="R50" s="4"/>
      <c r="S50" s="4"/>
    </row>
  </sheetData>
  <mergeCells count="19">
    <mergeCell ref="D2:E2"/>
    <mergeCell ref="S2:T2"/>
    <mergeCell ref="D3:E3"/>
    <mergeCell ref="D4:E4"/>
    <mergeCell ref="I9:M9"/>
    <mergeCell ref="C14:D14"/>
    <mergeCell ref="E14:F14"/>
    <mergeCell ref="S14:T14"/>
    <mergeCell ref="B28:C28"/>
    <mergeCell ref="M10:M11"/>
    <mergeCell ref="M12:M13"/>
    <mergeCell ref="N6:N7"/>
    <mergeCell ref="N17:N18"/>
    <mergeCell ref="P3:P4"/>
    <mergeCell ref="T3:T4"/>
    <mergeCell ref="T6:T7"/>
    <mergeCell ref="T10:T11"/>
    <mergeCell ref="T12:T13"/>
    <mergeCell ref="I17:M18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C3:L22"/>
  <sheetViews>
    <sheetView topLeftCell="A10" workbookViewId="0">
      <selection activeCell="H20" sqref="H20"/>
    </sheetView>
  </sheetViews>
  <sheetFormatPr defaultColWidth="9" defaultRowHeight="14.4"/>
  <cols>
    <col min="3" max="3" width="12.3796296296296" customWidth="1"/>
    <col min="4" max="4" width="10.5" style="4" customWidth="1"/>
    <col min="5" max="6" width="9" style="4"/>
  </cols>
  <sheetData>
    <row r="3" spans="4:4">
      <c r="D3" s="154" t="s">
        <v>193</v>
      </c>
    </row>
    <row r="4" spans="6:6">
      <c r="F4" s="155" t="s">
        <v>194</v>
      </c>
    </row>
    <row r="5" spans="3:6">
      <c r="C5" s="156" t="s">
        <v>195</v>
      </c>
      <c r="D5" s="157">
        <v>20</v>
      </c>
      <c r="F5" s="22">
        <v>3.141593</v>
      </c>
    </row>
    <row r="7" spans="3:4">
      <c r="C7" s="158" t="s">
        <v>196</v>
      </c>
      <c r="D7" s="159" t="s">
        <v>197</v>
      </c>
    </row>
    <row r="8" ht="24" spans="3:5">
      <c r="C8" s="160" t="s">
        <v>198</v>
      </c>
      <c r="D8" s="155">
        <v>1</v>
      </c>
      <c r="E8" s="155">
        <v>2</v>
      </c>
    </row>
    <row r="9" spans="3:5">
      <c r="C9" s="4"/>
      <c r="D9" s="161">
        <v>615</v>
      </c>
      <c r="E9" s="161">
        <v>620</v>
      </c>
    </row>
    <row r="10" spans="4:4">
      <c r="D10"/>
    </row>
    <row r="11" spans="4:6">
      <c r="D11" s="155">
        <v>1</v>
      </c>
      <c r="E11" s="155">
        <v>2</v>
      </c>
      <c r="F11" s="155">
        <v>3</v>
      </c>
    </row>
    <row r="12" spans="3:6">
      <c r="C12" s="162" t="s">
        <v>199</v>
      </c>
      <c r="D12" s="22">
        <f ca="1">+IF(D7="单面搭接焊",RANDBETWEEN(D5*10,D5*10+15),D5*5+RANDBETWEEN(1,10))</f>
        <v>207</v>
      </c>
      <c r="E12" s="22">
        <f ca="1">+D12+RANDBETWEEN(0,4)</f>
        <v>210</v>
      </c>
      <c r="F12" s="22">
        <f ca="1">+ROUND(E12-4+RAND()*8,0)</f>
        <v>212</v>
      </c>
    </row>
    <row r="14" spans="3:4">
      <c r="C14" s="163" t="s">
        <v>200</v>
      </c>
      <c r="D14" s="22">
        <f>+ROUND(D5^2*F5/4,1)</f>
        <v>314.2</v>
      </c>
    </row>
    <row r="15" spans="3:3">
      <c r="C15" s="4"/>
    </row>
    <row r="16" spans="3:6">
      <c r="C16" s="164" t="s">
        <v>201</v>
      </c>
      <c r="D16" s="155">
        <v>1</v>
      </c>
      <c r="E16" s="155">
        <v>2</v>
      </c>
      <c r="F16" s="155">
        <v>3</v>
      </c>
    </row>
    <row r="17" spans="4:12">
      <c r="D17" s="26">
        <f ca="1">+ROUND(J18*$D$14/1000,2)</f>
        <v>198.55</v>
      </c>
      <c r="E17" s="26">
        <f ca="1">+ROUND(K18*$D$14/1000,2)</f>
        <v>199.56</v>
      </c>
      <c r="F17" s="26">
        <f ca="1" t="shared" ref="F17" si="0">+ROUND(L18*$D$14/1000,2)</f>
        <v>198.99</v>
      </c>
      <c r="J17" s="166" t="s">
        <v>202</v>
      </c>
      <c r="K17" s="167"/>
      <c r="L17" s="168"/>
    </row>
    <row r="18" spans="4:12">
      <c r="D18" s="165"/>
      <c r="E18" s="165"/>
      <c r="F18" s="165"/>
      <c r="J18" s="24">
        <f ca="1">+AVERAGE($D$9:$E$9)-5+RAND()*20</f>
        <v>631.916196804115</v>
      </c>
      <c r="K18" s="24">
        <f ca="1">+J18-5+RAND()*10</f>
        <v>635.134348616636</v>
      </c>
      <c r="L18" s="24">
        <f ca="1">+K18-4+RAND()*8</f>
        <v>633.316959563633</v>
      </c>
    </row>
    <row r="19" spans="3:6">
      <c r="C19" s="156" t="s">
        <v>203</v>
      </c>
      <c r="D19" s="22">
        <f ca="1">+(ROUND((D17*1000/$D$14)*0.2,0)-(MOD(D17*1000/$D$14*2,20)=5))/0.2</f>
        <v>630</v>
      </c>
      <c r="E19" s="22">
        <f ca="1">+(ROUND((E17*1000/$D$14)*0.2,0)-(MOD(E17*1000/$D$14*2,20)=5))/0.2</f>
        <v>635</v>
      </c>
      <c r="F19" s="22">
        <f ca="1" t="shared" ref="F19" si="1">+(ROUND((F17*1000/$D$14)*0.2,0)-(MOD(F17*1000/$D$14*2,20)=5))/0.2</f>
        <v>635</v>
      </c>
    </row>
    <row r="21" spans="3:6">
      <c r="C21" s="156" t="s">
        <v>204</v>
      </c>
      <c r="D21" s="155">
        <v>1</v>
      </c>
      <c r="E21" s="155">
        <v>2</v>
      </c>
      <c r="F21" s="155">
        <v>3</v>
      </c>
    </row>
    <row r="22" spans="4:6">
      <c r="D22" s="22">
        <f ca="1">+RANDBETWEEN(36,48)</f>
        <v>45</v>
      </c>
      <c r="E22" s="22">
        <f ca="1">+D22-4+RANDBETWEEN(0,8)</f>
        <v>41</v>
      </c>
      <c r="F22" s="22">
        <f ca="1">+E22-2+RANDBETWEEN(0,4)</f>
        <v>39</v>
      </c>
    </row>
  </sheetData>
  <mergeCells count="1">
    <mergeCell ref="J17:L17"/>
  </mergeCells>
  <dataValidations count="2">
    <dataValidation type="list" allowBlank="1" showInputMessage="1" showErrorMessage="1" sqref="D7 D10">
      <formula1>"单面搭接焊,双面搭接焊"</formula1>
    </dataValidation>
    <dataValidation type="list" allowBlank="1" showInputMessage="1" showErrorMessage="1" sqref="D5:D6">
      <formula1>"16,18,20,22,25"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499984740745262"/>
  </sheetPr>
  <dimension ref="A1:L40"/>
  <sheetViews>
    <sheetView workbookViewId="0">
      <selection activeCell="G20" sqref="G20"/>
    </sheetView>
  </sheetViews>
  <sheetFormatPr defaultColWidth="10.6296296296296" defaultRowHeight="14.4"/>
  <cols>
    <col min="1" max="1" width="16.6296296296296" style="137" customWidth="1"/>
    <col min="2" max="4" width="12.6296296296296" style="137" customWidth="1"/>
    <col min="5" max="16384" width="10.6296296296296" style="137"/>
  </cols>
  <sheetData>
    <row r="1" ht="18" customHeight="1" spans="4:4">
      <c r="D1" s="138" t="s">
        <v>205</v>
      </c>
    </row>
    <row r="2" ht="18" customHeight="1" spans="1:9">
      <c r="A2" s="137" t="s">
        <v>206</v>
      </c>
      <c r="B2" s="137" t="s">
        <v>207</v>
      </c>
      <c r="D2" s="139" t="s">
        <v>208</v>
      </c>
      <c r="E2" s="137" t="s">
        <v>209</v>
      </c>
      <c r="H2" s="137" t="s">
        <v>176</v>
      </c>
      <c r="I2" s="137" t="s">
        <v>84</v>
      </c>
    </row>
    <row r="3" ht="18" customHeight="1" spans="1:9">
      <c r="A3" s="137" t="s">
        <v>210</v>
      </c>
      <c r="B3" s="137">
        <v>1</v>
      </c>
      <c r="C3" s="137">
        <v>2</v>
      </c>
      <c r="D3" s="140"/>
      <c r="E3" s="137">
        <v>1</v>
      </c>
      <c r="F3" s="137">
        <v>2</v>
      </c>
      <c r="G3" s="137">
        <v>3</v>
      </c>
      <c r="H3" s="137">
        <f ca="1">ROUND(18+RAND()*5,0)</f>
        <v>21</v>
      </c>
      <c r="I3" s="137">
        <f ca="1">ROUND(55+RAND()*10,0)</f>
        <v>58</v>
      </c>
    </row>
    <row r="4" ht="18" customHeight="1" spans="1:8">
      <c r="A4" s="137" t="s">
        <v>211</v>
      </c>
      <c r="B4" s="141">
        <f>D4</f>
        <v>22</v>
      </c>
      <c r="C4" s="141"/>
      <c r="D4" s="139">
        <v>22</v>
      </c>
      <c r="E4" s="142">
        <f>D4</f>
        <v>22</v>
      </c>
      <c r="F4" s="142"/>
      <c r="G4" s="142"/>
      <c r="H4" s="137" t="s">
        <v>212</v>
      </c>
    </row>
    <row r="5" ht="18" customHeight="1" spans="1:8">
      <c r="A5" s="137" t="s">
        <v>200</v>
      </c>
      <c r="B5" s="141">
        <f>IF(B4&gt;10,ROUND(PI()*(B4/2)^2,1),ROUND(PI()*(B4/2)^2,2))</f>
        <v>380.1</v>
      </c>
      <c r="C5" s="141">
        <f>IF(B4&gt;10,ROUND(PI()*(B4/2)^2,1),ROUND(PI()*(B4/2)^2,2))</f>
        <v>380.1</v>
      </c>
      <c r="D5" s="140"/>
      <c r="E5" s="142">
        <f>IF(E4&gt;10,ROUND(PI()*(E4/2)^2,1),ROUND(PI()*(E4/2)^2,2))</f>
        <v>380.1</v>
      </c>
      <c r="F5" s="142">
        <f>IF(E4&gt;10,ROUND(PI()*(E4/2)^2,1),ROUND(PI()*(E4/2)^2,2))</f>
        <v>380.1</v>
      </c>
      <c r="G5" s="137">
        <f>IF(E4&gt;10,ROUND(PI()*(E4/2)^2,1),ROUND(PI()*(E4/2)^2,2))</f>
        <v>380.1</v>
      </c>
      <c r="H5" s="137" t="str">
        <f>IF(LEFT(D2,3)="HPB","GB1499.1-2008","GB1499.2-2007")</f>
        <v>GB1499.2-2007</v>
      </c>
    </row>
    <row r="6" ht="18" customHeight="1" spans="1:4">
      <c r="A6" s="137" t="s">
        <v>213</v>
      </c>
      <c r="B6" s="143">
        <f ca="1">IF(B4&lt;11,ROUND((2.5+RAND()*0.005)*B4,0)*2,ROUND((2.5+RAND()*0.005)*B4,0)*2)</f>
        <v>110</v>
      </c>
      <c r="C6" s="143">
        <f ca="1">IF(B4&lt;11,ROUND((2.5+RAND()*0.005)*B4,0)*2,ROUND((2.5+RAND()*0.005)*B4,0)*2)</f>
        <v>110</v>
      </c>
      <c r="D6" s="140"/>
    </row>
    <row r="7" ht="18" customHeight="1" spans="1:4">
      <c r="A7" s="137" t="s">
        <v>214</v>
      </c>
      <c r="B7" s="144">
        <f ca="1">ROUND(B6*(1+(D12-0.8+RAND()*1.5)/100)/2,2)*2</f>
        <v>137.14</v>
      </c>
      <c r="C7" s="144">
        <f ca="1">ROUND(C6*(1+(D12-0.8+RAND()*1.5)/100)/2,2)*2</f>
        <v>136.7</v>
      </c>
      <c r="D7" s="140"/>
    </row>
    <row r="8" ht="18" customHeight="1" spans="1:4">
      <c r="A8" s="137" t="s">
        <v>215</v>
      </c>
      <c r="B8" s="144">
        <f ca="1">ROUND(D8*(0.985+0.03*RAND()),2)</f>
        <v>186.44</v>
      </c>
      <c r="C8" s="144">
        <f ca="1">ROUND(D8*(0.985+0.03*RAND()),2)</f>
        <v>188.14</v>
      </c>
      <c r="D8" s="145">
        <f>ROUND(D9*B5/1000,2)</f>
        <v>186.25</v>
      </c>
    </row>
    <row r="9" ht="18" customHeight="1" spans="1:4">
      <c r="A9" s="137" t="s">
        <v>216</v>
      </c>
      <c r="B9" s="146">
        <f ca="1">ROUND(B8*1000*0.2/B5,0)*5</f>
        <v>490</v>
      </c>
      <c r="C9" s="146">
        <f ca="1">ROUND(C8*1000*0.2/C5,0)*5</f>
        <v>495</v>
      </c>
      <c r="D9" s="139">
        <v>490</v>
      </c>
    </row>
    <row r="10" ht="18" customHeight="1" spans="1:7">
      <c r="A10" s="137" t="s">
        <v>217</v>
      </c>
      <c r="B10" s="144">
        <f ca="1">ROUND(D10*(0.985+0.03*RAND()),2)</f>
        <v>223.12</v>
      </c>
      <c r="C10" s="144">
        <f ca="1">ROUND(D10*(0.985+0.03*RAND()),2)</f>
        <v>227.56</v>
      </c>
      <c r="D10" s="145">
        <f>ROUND(D11*B5/1000,2)</f>
        <v>226.16</v>
      </c>
      <c r="E10" s="147">
        <f ca="1">ROUND(D10*(0.985+0.03*RAND()),2)</f>
        <v>226.98</v>
      </c>
      <c r="F10" s="147">
        <f ca="1">ROUND(D10*(0.985+0.03*RAND()),2)</f>
        <v>227.84</v>
      </c>
      <c r="G10" s="147">
        <f ca="1">ROUND(D10*(0.985+0.03*RAND()),2)</f>
        <v>223.28</v>
      </c>
    </row>
    <row r="11" ht="18" customHeight="1" spans="1:7">
      <c r="A11" s="137" t="s">
        <v>218</v>
      </c>
      <c r="B11" s="146">
        <f ca="1">ROUND(B10*1000*0.2/B5,0)*5</f>
        <v>585</v>
      </c>
      <c r="C11" s="146">
        <f ca="1">ROUND(C10*1000*0.2/C5,0)*5</f>
        <v>600</v>
      </c>
      <c r="D11" s="139">
        <v>595</v>
      </c>
      <c r="E11" s="148">
        <f ca="1">ROUND(E10*1000/(E5*5),0)*5</f>
        <v>595</v>
      </c>
      <c r="F11" s="148">
        <f ca="1">ROUND(F10*1000/(F5*5),0)*5</f>
        <v>600</v>
      </c>
      <c r="G11" s="148">
        <f ca="1">ROUND(G10*1000/(G5*5),0)*5</f>
        <v>585</v>
      </c>
    </row>
    <row r="12" ht="18" customHeight="1" spans="1:4">
      <c r="A12" s="137" t="s">
        <v>219</v>
      </c>
      <c r="B12" s="149">
        <f ca="1">ROUND((B7-B6)*100/(B6*5),1)*5</f>
        <v>24.5</v>
      </c>
      <c r="C12" s="149">
        <f ca="1">ROUND((C7-C6)*100/(C6*5),1)*5</f>
        <v>24.5</v>
      </c>
      <c r="D12" s="139">
        <v>24</v>
      </c>
    </row>
    <row r="13" ht="18" customHeight="1" spans="1:3">
      <c r="A13" s="137" t="s">
        <v>220</v>
      </c>
      <c r="B13" s="150">
        <f>IF(RIGHT(D2,3)="235",D4,IF(AND(RIGHT(D2,3)="335",D4&lt;26),3*D4,IF(AND(RIGHT(D2,3)="400",D4&gt;26),5*D4,4*D4)))</f>
        <v>88</v>
      </c>
      <c r="C13" s="150"/>
    </row>
    <row r="14" ht="18" customHeight="1" spans="1:12">
      <c r="A14" s="137" t="s">
        <v>211</v>
      </c>
      <c r="B14" s="137" t="s">
        <v>221</v>
      </c>
      <c r="C14" s="137" t="s">
        <v>222</v>
      </c>
      <c r="E14" s="137">
        <v>5</v>
      </c>
      <c r="F14" s="137">
        <v>6</v>
      </c>
      <c r="G14" s="137">
        <v>7</v>
      </c>
      <c r="H14" s="137">
        <v>8</v>
      </c>
      <c r="I14" s="137">
        <v>9</v>
      </c>
      <c r="K14" s="137" t="s">
        <v>223</v>
      </c>
      <c r="L14" s="137" t="s">
        <v>224</v>
      </c>
    </row>
    <row r="15" ht="18" customHeight="1" spans="1:12">
      <c r="A15" s="137">
        <v>6</v>
      </c>
      <c r="B15" s="151">
        <v>5.8</v>
      </c>
      <c r="C15" s="152">
        <v>0.222</v>
      </c>
      <c r="E15" s="151">
        <f>IF(LEFT(D2,3)="HRB",LOOKUP(B4,A15:B29),B4)</f>
        <v>21.3</v>
      </c>
      <c r="F15" s="151">
        <f>E15</f>
        <v>21.3</v>
      </c>
      <c r="G15" s="151">
        <f>F15</f>
        <v>21.3</v>
      </c>
      <c r="H15" s="151">
        <f>G15</f>
        <v>21.3</v>
      </c>
      <c r="I15" s="151">
        <f>H15</f>
        <v>21.3</v>
      </c>
      <c r="K15" s="137">
        <v>0.3</v>
      </c>
      <c r="L15" s="137">
        <v>7</v>
      </c>
    </row>
    <row r="16" ht="18" customHeight="1" spans="1:12">
      <c r="A16" s="137">
        <v>8</v>
      </c>
      <c r="B16" s="151">
        <v>7.7</v>
      </c>
      <c r="C16" s="152">
        <v>0.395</v>
      </c>
      <c r="E16" s="151">
        <f ca="1">IF(LEFT(D2,3)="HRB",E15-ROUND(LOOKUP(B4,A15:A29,K15:K29)*RAND(),1),E15-ROUND(LOOKUP(B4,A31:A40,K31:K40)*RAND(),1))</f>
        <v>20.9</v>
      </c>
      <c r="F16" s="151">
        <f ca="1">IF(LEFT(D2,3)="HRB",E15-ROUND(LOOKUP(B4,A15:A29,K15:K29)*RAND(),1),E15-ROUND(LOOKUP(B4,A31:A40,K31:K40)*RAND(),1))</f>
        <v>21.2</v>
      </c>
      <c r="G16" s="151">
        <f ca="1">IF(LEFT(D2,3)="HRB",E15-ROUND(LOOKUP(B4,A15:A29,K15:K29)*RAND(),1),E15-ROUND(LOOKUP(B4,A31:A40,K31:K40)*RAND(),1))</f>
        <v>21</v>
      </c>
      <c r="H16" s="151">
        <f ca="1">IF(LEFT(D2,3)="HRB",E15-ROUND(LOOKUP(B4,A15:A29,K15:K29)*RAND(),1),E15-ROUND(LOOKUP(B4,A31:A40,K31:K40)*RAND(),1))</f>
        <v>21</v>
      </c>
      <c r="I16" s="151">
        <f ca="1">IF(LEFT(D2,3)="HRB",E15-ROUND(LOOKUP(B4,A15:A29,K15:K29)*RAND(),1),E15-ROUND(LOOKUP(B4,A31:A40,K31:K40)*RAND(),1))</f>
        <v>20.9</v>
      </c>
      <c r="K16" s="137">
        <v>0.4</v>
      </c>
      <c r="L16" s="137">
        <v>7</v>
      </c>
    </row>
    <row r="17" ht="18" customHeight="1" spans="1:12">
      <c r="A17" s="137">
        <v>10</v>
      </c>
      <c r="B17" s="151">
        <v>9.6</v>
      </c>
      <c r="C17" s="152">
        <v>0.617</v>
      </c>
      <c r="E17" s="151">
        <f ca="1">E16-E15</f>
        <v>-0.399999999999999</v>
      </c>
      <c r="F17" s="151">
        <f ca="1">F16-F15</f>
        <v>-0.100000000000001</v>
      </c>
      <c r="G17" s="151">
        <f ca="1">G16-G15</f>
        <v>-0.300000000000001</v>
      </c>
      <c r="H17" s="151">
        <f ca="1">H16-H15</f>
        <v>-0.300000000000001</v>
      </c>
      <c r="I17" s="151">
        <f ca="1">I16-I15</f>
        <v>-0.399999999999999</v>
      </c>
      <c r="K17" s="137">
        <v>0.4</v>
      </c>
      <c r="L17" s="137">
        <v>7</v>
      </c>
    </row>
    <row r="18" ht="18" customHeight="1" spans="1:12">
      <c r="A18" s="137">
        <v>12</v>
      </c>
      <c r="B18" s="151">
        <v>11.5</v>
      </c>
      <c r="C18" s="152">
        <v>0.888</v>
      </c>
      <c r="E18" s="137">
        <v>1000</v>
      </c>
      <c r="F18" s="137">
        <v>1000</v>
      </c>
      <c r="G18" s="137">
        <v>1000</v>
      </c>
      <c r="H18" s="137">
        <v>1000</v>
      </c>
      <c r="I18" s="137">
        <v>1000</v>
      </c>
      <c r="K18" s="137">
        <v>0.4</v>
      </c>
      <c r="L18" s="137">
        <v>7</v>
      </c>
    </row>
    <row r="19" ht="18" customHeight="1" spans="1:12">
      <c r="A19" s="137">
        <v>14</v>
      </c>
      <c r="B19" s="151">
        <v>13.4</v>
      </c>
      <c r="C19" s="153">
        <v>1.21</v>
      </c>
      <c r="E19" s="142">
        <f ca="1">IF(B4&gt;13,ROUND(E20*(100-(LOOKUP(B4,A15:A29,L15:L29)-4.5+4*RAND()))/100,2),ROUND(E20*(100-(LOOKUP(B4,A15:A29,L15:L29)-6+5*RAND()))/100,4))</f>
        <v>2.89</v>
      </c>
      <c r="F19" s="142">
        <f ca="1">IF(B4&gt;13,ROUND(E20*(100-(LOOKUP(B4,A15:A29,L15:L29)-4.5+4*RAND()))/100,2),ROUND(E20*(100-(LOOKUP(B4,A15:A29,L15:L29)-6+5*RAND()))/100,3))</f>
        <v>2.91</v>
      </c>
      <c r="G19" s="142">
        <f ca="1">IF(B4&gt;13,ROUND(E20*(100-(LOOKUP(B4,A15:A29,L15:L29)-4.5+4*RAND()))/100,2),ROUND(E20*(100-(LOOKUP(B4,A15:A29,L15:L29)-6+5*RAND()))/100,3))</f>
        <v>2.93</v>
      </c>
      <c r="H19" s="142">
        <f ca="1">IF(B4&gt;13,ROUND(E20*(100-(LOOKUP(B4,A15:A29,L15:L29)-4.5+4*RAND()))/100,2),ROUND(E20*(100-(LOOKUP(B4,A15:A29,L15:L29)-6+5*RAND()))/100,3))</f>
        <v>2.9</v>
      </c>
      <c r="I19" s="142">
        <f ca="1">IF(B4&gt;13,ROUND(E20*(100-(LOOKUP(B4,A15:A29,L15:L29)-4.5+4*RAND()))/100,2),ROUND(E20*(100-(LOOKUP(B4,A15:A29,L15:L29)-6+5*RAND()))/100,3))</f>
        <v>2.88</v>
      </c>
      <c r="K19" s="137">
        <v>0.4</v>
      </c>
      <c r="L19" s="137">
        <v>5</v>
      </c>
    </row>
    <row r="20" ht="18" customHeight="1" spans="1:12">
      <c r="A20" s="137">
        <v>16</v>
      </c>
      <c r="B20" s="151">
        <v>15.4</v>
      </c>
      <c r="C20" s="153">
        <v>1.58</v>
      </c>
      <c r="E20" s="142">
        <f>IF(LEFT(D2,3)="HRB",LOOKUP(B4,A15:A29,C15:C29),LOOKUP(B4,A31:A40,C31:C40))</f>
        <v>2.98</v>
      </c>
      <c r="F20" s="142">
        <f>E20</f>
        <v>2.98</v>
      </c>
      <c r="G20" s="142">
        <f>F20</f>
        <v>2.98</v>
      </c>
      <c r="H20" s="142">
        <f>G20</f>
        <v>2.98</v>
      </c>
      <c r="I20" s="142">
        <f>H20</f>
        <v>2.98</v>
      </c>
      <c r="K20" s="137">
        <v>0.4</v>
      </c>
      <c r="L20" s="137">
        <v>5</v>
      </c>
    </row>
    <row r="21" ht="18" customHeight="1" spans="1:12">
      <c r="A21" s="137">
        <v>18</v>
      </c>
      <c r="B21" s="151">
        <v>17.3</v>
      </c>
      <c r="C21" s="153">
        <v>2</v>
      </c>
      <c r="E21" s="137">
        <f ca="1">ROUND((E19-E20)/E20,3)*100</f>
        <v>-3</v>
      </c>
      <c r="F21" s="137">
        <f ca="1">ROUND((F19-F20)/F20,3)*100</f>
        <v>-2.3</v>
      </c>
      <c r="G21" s="137">
        <f ca="1">ROUND((G19-G20)/G20,3)*100</f>
        <v>-1.7</v>
      </c>
      <c r="H21" s="137">
        <f ca="1">ROUND((H19-H20)/H20,3)*100</f>
        <v>-2.7</v>
      </c>
      <c r="I21" s="137">
        <f ca="1">ROUND((I19-I20)/I20,3)*100</f>
        <v>-3.4</v>
      </c>
      <c r="K21" s="137">
        <v>0.4</v>
      </c>
      <c r="L21" s="137">
        <v>5</v>
      </c>
    </row>
    <row r="22" ht="18" customHeight="1" spans="1:12">
      <c r="A22" s="137">
        <v>20</v>
      </c>
      <c r="B22" s="151">
        <v>19.3</v>
      </c>
      <c r="C22" s="153">
        <v>2.47</v>
      </c>
      <c r="K22" s="137">
        <v>0.5</v>
      </c>
      <c r="L22" s="137">
        <v>5</v>
      </c>
    </row>
    <row r="23" ht="18" customHeight="1" spans="1:12">
      <c r="A23" s="137">
        <v>22</v>
      </c>
      <c r="B23" s="151">
        <v>21.3</v>
      </c>
      <c r="C23" s="153">
        <v>2.98</v>
      </c>
      <c r="K23" s="137">
        <v>0.5</v>
      </c>
      <c r="L23" s="137">
        <v>4</v>
      </c>
    </row>
    <row r="24" ht="18" customHeight="1" spans="1:12">
      <c r="A24" s="137">
        <v>25</v>
      </c>
      <c r="B24" s="151">
        <v>24.2</v>
      </c>
      <c r="C24" s="153">
        <v>3.85</v>
      </c>
      <c r="K24" s="137">
        <v>0.5</v>
      </c>
      <c r="L24" s="137">
        <v>4</v>
      </c>
    </row>
    <row r="25" ht="18" customHeight="1" spans="1:12">
      <c r="A25" s="137">
        <v>28</v>
      </c>
      <c r="B25" s="151">
        <v>27.2</v>
      </c>
      <c r="C25" s="153">
        <v>4.83</v>
      </c>
      <c r="K25" s="137">
        <v>0.6</v>
      </c>
      <c r="L25" s="137">
        <v>4</v>
      </c>
    </row>
    <row r="26" ht="18" customHeight="1" spans="1:12">
      <c r="A26" s="137">
        <v>32</v>
      </c>
      <c r="B26" s="151">
        <v>31</v>
      </c>
      <c r="C26" s="153">
        <v>6.31</v>
      </c>
      <c r="K26" s="137">
        <v>0.6</v>
      </c>
      <c r="L26" s="137">
        <v>4</v>
      </c>
    </row>
    <row r="27" ht="18" customHeight="1" spans="1:12">
      <c r="A27" s="137">
        <v>36</v>
      </c>
      <c r="B27" s="151">
        <v>35</v>
      </c>
      <c r="C27" s="153">
        <v>7.99</v>
      </c>
      <c r="K27" s="137">
        <v>0.6</v>
      </c>
      <c r="L27" s="137">
        <v>4</v>
      </c>
    </row>
    <row r="28" ht="18" customHeight="1" spans="1:12">
      <c r="A28" s="137">
        <v>40</v>
      </c>
      <c r="B28" s="151">
        <v>38.7</v>
      </c>
      <c r="C28" s="153">
        <v>9.87</v>
      </c>
      <c r="K28" s="137">
        <v>0.7</v>
      </c>
      <c r="L28" s="137">
        <v>4</v>
      </c>
    </row>
    <row r="29" ht="18" customHeight="1" spans="1:12">
      <c r="A29" s="137">
        <v>50</v>
      </c>
      <c r="B29" s="151">
        <v>48.5</v>
      </c>
      <c r="C29" s="153">
        <v>15.42</v>
      </c>
      <c r="K29" s="137">
        <v>0.8</v>
      </c>
      <c r="L29" s="137">
        <v>4</v>
      </c>
    </row>
    <row r="30" ht="18" customHeight="1" spans="11:12">
      <c r="K30" s="137" t="s">
        <v>225</v>
      </c>
      <c r="L30" s="137" t="s">
        <v>226</v>
      </c>
    </row>
    <row r="31" ht="18" customHeight="1" spans="1:12">
      <c r="A31" s="137">
        <v>6</v>
      </c>
      <c r="C31" s="152">
        <v>0.222</v>
      </c>
      <c r="K31" s="137">
        <v>0.3</v>
      </c>
      <c r="L31" s="137">
        <v>7</v>
      </c>
    </row>
    <row r="32" ht="18" customHeight="1" spans="1:12">
      <c r="A32" s="137">
        <v>6.5</v>
      </c>
      <c r="C32" s="152">
        <v>0.26</v>
      </c>
      <c r="K32" s="137">
        <v>0.3</v>
      </c>
      <c r="L32" s="137">
        <v>7</v>
      </c>
    </row>
    <row r="33" ht="18" customHeight="1" spans="1:12">
      <c r="A33" s="137">
        <v>8</v>
      </c>
      <c r="C33" s="152">
        <v>0.395</v>
      </c>
      <c r="K33" s="137">
        <v>0.3</v>
      </c>
      <c r="L33" s="137">
        <v>7</v>
      </c>
    </row>
    <row r="34" ht="18" customHeight="1" spans="1:12">
      <c r="A34" s="137">
        <v>10</v>
      </c>
      <c r="C34" s="152">
        <v>0.617</v>
      </c>
      <c r="K34" s="137">
        <v>0.3</v>
      </c>
      <c r="L34" s="137">
        <v>7</v>
      </c>
    </row>
    <row r="35" ht="18" customHeight="1" spans="1:12">
      <c r="A35" s="137">
        <v>12</v>
      </c>
      <c r="C35" s="152">
        <v>0.888</v>
      </c>
      <c r="K35" s="137">
        <v>0.3</v>
      </c>
      <c r="L35" s="137">
        <v>7</v>
      </c>
    </row>
    <row r="36" ht="18" customHeight="1" spans="1:12">
      <c r="A36" s="137">
        <v>14</v>
      </c>
      <c r="C36" s="153">
        <v>1.21</v>
      </c>
      <c r="K36" s="137">
        <v>0.4</v>
      </c>
      <c r="L36" s="137">
        <v>5</v>
      </c>
    </row>
    <row r="37" ht="18" customHeight="1" spans="1:12">
      <c r="A37" s="137">
        <v>16</v>
      </c>
      <c r="C37" s="153">
        <v>1.58</v>
      </c>
      <c r="K37" s="137">
        <v>0.4</v>
      </c>
      <c r="L37" s="137">
        <v>5</v>
      </c>
    </row>
    <row r="38" ht="18" customHeight="1" spans="1:12">
      <c r="A38" s="137">
        <v>18</v>
      </c>
      <c r="C38" s="153">
        <v>2</v>
      </c>
      <c r="K38" s="137">
        <v>0.4</v>
      </c>
      <c r="L38" s="137">
        <v>5</v>
      </c>
    </row>
    <row r="39" ht="18" customHeight="1" spans="1:12">
      <c r="A39" s="137">
        <v>20</v>
      </c>
      <c r="C39" s="153">
        <v>2.47</v>
      </c>
      <c r="K39" s="137">
        <v>0.4</v>
      </c>
      <c r="L39" s="137">
        <v>5</v>
      </c>
    </row>
    <row r="40" ht="18" customHeight="1" spans="1:12">
      <c r="A40" s="137">
        <v>22</v>
      </c>
      <c r="C40" s="153">
        <v>2.98</v>
      </c>
      <c r="K40" s="137">
        <v>0.4</v>
      </c>
      <c r="L40" s="137">
        <v>5</v>
      </c>
    </row>
  </sheetData>
  <mergeCells count="7">
    <mergeCell ref="B2:C2"/>
    <mergeCell ref="E2:G2"/>
    <mergeCell ref="B4:C4"/>
    <mergeCell ref="E4:G4"/>
    <mergeCell ref="H4:I4"/>
    <mergeCell ref="H5:I5"/>
    <mergeCell ref="B13:C1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75585192419"/>
  </sheetPr>
  <dimension ref="A1:Z57"/>
  <sheetViews>
    <sheetView topLeftCell="A22" workbookViewId="0">
      <selection activeCell="F31" sqref="F31:H36"/>
    </sheetView>
  </sheetViews>
  <sheetFormatPr defaultColWidth="9" defaultRowHeight="14.4"/>
  <cols>
    <col min="1" max="1" width="8.12962962962963" style="73" customWidth="1"/>
    <col min="2" max="2" width="4.25" style="73" customWidth="1"/>
    <col min="3" max="3" width="3" style="73" customWidth="1"/>
    <col min="4" max="4" width="5.37962962962963" style="73" customWidth="1"/>
    <col min="5" max="5" width="5.62962962962963" style="73" customWidth="1"/>
    <col min="6" max="6" width="6.25" style="73" customWidth="1"/>
    <col min="7" max="7" width="4.37962962962963" style="73" customWidth="1"/>
    <col min="8" max="8" width="1.87962962962963" style="73" customWidth="1"/>
    <col min="9" max="9" width="5.37962962962963" style="73" customWidth="1"/>
    <col min="10" max="10" width="4.37962962962963" style="73" customWidth="1"/>
    <col min="11" max="11" width="4.12962962962963" style="73" customWidth="1"/>
    <col min="12" max="15" width="5.62962962962963" style="73" customWidth="1"/>
    <col min="16" max="17" width="5.87962962962963" style="73" customWidth="1"/>
    <col min="18" max="20" width="5.62962962962963" style="73" customWidth="1"/>
    <col min="21" max="21" width="13.25" style="73" customWidth="1"/>
    <col min="22" max="22" width="7.87962962962963" style="73" customWidth="1"/>
    <col min="23" max="23" width="12.8796296296296" style="73" customWidth="1"/>
    <col min="24" max="25" width="9" style="73"/>
    <col min="26" max="26" width="12" style="73" customWidth="1"/>
    <col min="27" max="16384" width="9" style="73"/>
  </cols>
  <sheetData>
    <row r="1" ht="14.25" customHeight="1" spans="1:18">
      <c r="A1" s="74"/>
      <c r="B1" s="74"/>
      <c r="C1" s="74"/>
      <c r="D1" s="74"/>
      <c r="E1" s="75" t="s">
        <v>227</v>
      </c>
      <c r="F1" s="75"/>
      <c r="G1" s="75"/>
      <c r="H1" s="75"/>
      <c r="I1" s="75"/>
      <c r="J1" s="75"/>
      <c r="K1" s="75"/>
      <c r="L1" s="75"/>
      <c r="M1" s="75"/>
      <c r="N1" s="107" t="s">
        <v>228</v>
      </c>
      <c r="O1" s="107"/>
      <c r="P1" s="107"/>
      <c r="Q1" s="107"/>
      <c r="R1" s="116"/>
    </row>
    <row r="2" ht="12" customHeight="1" spans="1:18">
      <c r="A2" s="74" t="s">
        <v>229</v>
      </c>
      <c r="B2" s="74"/>
      <c r="C2" s="74"/>
      <c r="D2" s="74"/>
      <c r="E2" s="75"/>
      <c r="F2" s="75"/>
      <c r="G2" s="75"/>
      <c r="H2" s="75"/>
      <c r="I2" s="75"/>
      <c r="J2" s="75"/>
      <c r="K2" s="75"/>
      <c r="L2" s="75"/>
      <c r="M2" s="75"/>
      <c r="N2" s="107" t="s">
        <v>230</v>
      </c>
      <c r="O2" s="107"/>
      <c r="P2" s="107"/>
      <c r="Q2" s="107"/>
      <c r="R2" s="117"/>
    </row>
    <row r="3" spans="1:17">
      <c r="A3" s="76" t="s">
        <v>231</v>
      </c>
      <c r="B3" s="77"/>
      <c r="C3" s="77"/>
      <c r="D3" s="77"/>
      <c r="E3" s="77"/>
      <c r="F3" s="77"/>
      <c r="G3" s="77"/>
      <c r="H3" s="77"/>
      <c r="I3" s="77"/>
      <c r="J3" s="76" t="s">
        <v>232</v>
      </c>
      <c r="K3" s="76"/>
      <c r="L3" s="77"/>
      <c r="M3" s="77"/>
      <c r="N3" s="77"/>
      <c r="O3" s="77"/>
      <c r="P3" s="77"/>
      <c r="Q3" s="77"/>
    </row>
    <row r="4" spans="1:17">
      <c r="A4" s="76" t="s">
        <v>233</v>
      </c>
      <c r="B4" s="78"/>
      <c r="C4" s="78"/>
      <c r="D4" s="78"/>
      <c r="E4" s="78"/>
      <c r="F4" s="78"/>
      <c r="G4" s="78"/>
      <c r="H4" s="78"/>
      <c r="I4" s="78"/>
      <c r="J4" s="76" t="s">
        <v>234</v>
      </c>
      <c r="K4" s="76"/>
      <c r="L4" s="79"/>
      <c r="M4" s="79"/>
      <c r="N4" s="79"/>
      <c r="O4" s="79"/>
      <c r="P4" s="79"/>
      <c r="Q4" s="79"/>
    </row>
    <row r="5" spans="1:17">
      <c r="A5" s="76" t="s">
        <v>235</v>
      </c>
      <c r="B5" s="79"/>
      <c r="C5" s="79"/>
      <c r="D5" s="79"/>
      <c r="E5" s="79"/>
      <c r="F5" s="79"/>
      <c r="G5" s="79"/>
      <c r="H5" s="79"/>
      <c r="I5" s="79"/>
      <c r="J5" s="76" t="s">
        <v>236</v>
      </c>
      <c r="K5" s="76"/>
      <c r="L5" s="108"/>
      <c r="M5" s="108"/>
      <c r="N5" s="108"/>
      <c r="O5" s="108"/>
      <c r="P5" s="108"/>
      <c r="Q5" s="108"/>
    </row>
    <row r="6" spans="1:17">
      <c r="A6" s="76" t="s">
        <v>237</v>
      </c>
      <c r="B6" s="79"/>
      <c r="C6" s="79"/>
      <c r="D6" s="79"/>
      <c r="E6" s="79"/>
      <c r="F6" s="79"/>
      <c r="G6" s="79"/>
      <c r="H6" s="79"/>
      <c r="I6" s="79"/>
      <c r="J6" s="76" t="s">
        <v>238</v>
      </c>
      <c r="K6" s="76"/>
      <c r="L6" s="108"/>
      <c r="M6" s="108"/>
      <c r="N6" s="108"/>
      <c r="O6" s="108"/>
      <c r="P6" s="108"/>
      <c r="Q6" s="108"/>
    </row>
    <row r="7" ht="4.5" customHeight="1"/>
    <row r="8" ht="15.75" customHeight="1" spans="1:17">
      <c r="A8" s="80" t="s">
        <v>239</v>
      </c>
      <c r="B8" s="81"/>
      <c r="C8" s="81"/>
      <c r="D8" s="81" t="s">
        <v>240</v>
      </c>
      <c r="E8" s="81"/>
      <c r="F8" s="81"/>
      <c r="G8" s="81" t="s">
        <v>241</v>
      </c>
      <c r="H8" s="81"/>
      <c r="I8" s="81"/>
      <c r="J8" s="81"/>
      <c r="K8" s="81" t="s">
        <v>242</v>
      </c>
      <c r="L8" s="81"/>
      <c r="M8" s="81" t="s">
        <v>243</v>
      </c>
      <c r="N8" s="81"/>
      <c r="O8" s="81" t="s">
        <v>244</v>
      </c>
      <c r="P8" s="81" t="s">
        <v>245</v>
      </c>
      <c r="Q8" s="118" t="s">
        <v>246</v>
      </c>
    </row>
    <row r="9" ht="19.5" customHeight="1" spans="1:17">
      <c r="A9" s="82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119"/>
    </row>
    <row r="10" spans="1:17">
      <c r="A10" s="82"/>
      <c r="B10" s="37"/>
      <c r="C10" s="37"/>
      <c r="D10" s="37" t="s">
        <v>247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119"/>
    </row>
    <row r="11" ht="15" customHeight="1" spans="1:26">
      <c r="A11" s="82"/>
      <c r="B11" s="37"/>
      <c r="C11" s="37"/>
      <c r="D11" s="37" t="s">
        <v>248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119"/>
      <c r="X11" s="120"/>
      <c r="Y11" s="120"/>
      <c r="Z11" s="120"/>
    </row>
    <row r="12" spans="1:26">
      <c r="A12" s="82"/>
      <c r="B12" s="37"/>
      <c r="C12" s="37"/>
      <c r="D12" s="37" t="s">
        <v>249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119"/>
      <c r="X12" s="120"/>
      <c r="Y12" s="120"/>
      <c r="Z12" s="120"/>
    </row>
    <row r="13" ht="14.25" customHeight="1" spans="1:26">
      <c r="A13" s="82" t="s">
        <v>250</v>
      </c>
      <c r="B13" s="37"/>
      <c r="C13" s="37"/>
      <c r="D13" s="37"/>
      <c r="E13" s="37"/>
      <c r="F13" s="37"/>
      <c r="G13" s="37"/>
      <c r="H13" s="37"/>
      <c r="I13" s="37"/>
      <c r="J13" s="37"/>
      <c r="K13" s="37" t="s">
        <v>212</v>
      </c>
      <c r="L13" s="37"/>
      <c r="M13" s="109"/>
      <c r="N13" s="109"/>
      <c r="O13" s="109"/>
      <c r="P13" s="109"/>
      <c r="Q13" s="121"/>
      <c r="X13" s="120"/>
      <c r="Y13" s="120"/>
      <c r="Z13" s="120"/>
    </row>
    <row r="14" ht="16.5" customHeight="1" spans="1:26">
      <c r="A14" s="83" t="s">
        <v>251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122"/>
      <c r="X14" s="120"/>
      <c r="Y14" s="120"/>
      <c r="Z14" s="120"/>
    </row>
    <row r="15" ht="13.5" customHeight="1" spans="1:26">
      <c r="A15" s="82" t="s">
        <v>231</v>
      </c>
      <c r="B15" s="37" t="s">
        <v>252</v>
      </c>
      <c r="C15" s="37"/>
      <c r="D15" s="37"/>
      <c r="E15" s="37" t="s">
        <v>253</v>
      </c>
      <c r="F15" s="37"/>
      <c r="G15" s="48"/>
      <c r="H15" s="37" t="s">
        <v>254</v>
      </c>
      <c r="I15" s="37"/>
      <c r="J15" s="37"/>
      <c r="K15" s="37"/>
      <c r="L15" s="37"/>
      <c r="M15" s="37"/>
      <c r="N15" s="49" t="s">
        <v>255</v>
      </c>
      <c r="O15" s="37"/>
      <c r="P15" s="37"/>
      <c r="Q15" s="119"/>
      <c r="X15" s="120"/>
      <c r="Y15" s="120"/>
      <c r="Z15" s="120"/>
    </row>
    <row r="16" ht="13.5" customHeight="1" spans="1:26">
      <c r="A16" s="82"/>
      <c r="B16" s="37"/>
      <c r="C16" s="37"/>
      <c r="D16" s="37"/>
      <c r="E16" s="85"/>
      <c r="F16" s="85"/>
      <c r="G16" s="40"/>
      <c r="H16" s="37"/>
      <c r="I16" s="37"/>
      <c r="J16" s="37"/>
      <c r="K16" s="37"/>
      <c r="L16" s="37"/>
      <c r="M16" s="37"/>
      <c r="N16" s="49" t="s">
        <v>256</v>
      </c>
      <c r="O16" s="37"/>
      <c r="P16" s="37" t="s">
        <v>73</v>
      </c>
      <c r="Q16" s="119"/>
      <c r="X16" s="120"/>
      <c r="Y16" s="120"/>
      <c r="Z16" s="120"/>
    </row>
    <row r="17" spans="1:17">
      <c r="A17" s="86">
        <v>1</v>
      </c>
      <c r="B17" s="87">
        <v>109</v>
      </c>
      <c r="C17" s="87"/>
      <c r="D17" s="88"/>
      <c r="E17" s="89">
        <f ca="1">RAND()*(113-112)+112</f>
        <v>112.848632936788</v>
      </c>
      <c r="F17" s="89"/>
      <c r="G17" s="90"/>
      <c r="H17" s="89">
        <f ca="1">N17/100*(E17-B17)+B17</f>
        <v>110.425054556093</v>
      </c>
      <c r="I17" s="89"/>
      <c r="J17" s="89"/>
      <c r="K17" s="89"/>
      <c r="L17" s="89"/>
      <c r="M17" s="89"/>
      <c r="N17" s="110">
        <f ca="1">RAND()*(41-37)+37</f>
        <v>37.0275518475993</v>
      </c>
      <c r="O17" s="111"/>
      <c r="P17" s="112">
        <f ca="1">(N17+N18+N19)/3</f>
        <v>39.525605603498</v>
      </c>
      <c r="Q17" s="123"/>
    </row>
    <row r="18" ht="16.5" customHeight="1" spans="1:17">
      <c r="A18" s="86">
        <v>2</v>
      </c>
      <c r="B18" s="87">
        <v>109</v>
      </c>
      <c r="C18" s="87"/>
      <c r="D18" s="88"/>
      <c r="E18" s="89">
        <f ca="1">RAND()*(113-112)+112</f>
        <v>112.874832697494</v>
      </c>
      <c r="F18" s="89"/>
      <c r="G18" s="90"/>
      <c r="H18" s="89">
        <f ca="1">N18/100*(E18-B18)+B18</f>
        <v>110.579609797497</v>
      </c>
      <c r="I18" s="89"/>
      <c r="J18" s="89"/>
      <c r="K18" s="89"/>
      <c r="L18" s="89"/>
      <c r="M18" s="89"/>
      <c r="N18" s="110">
        <f ca="1">RAND()*(41-37)+37</f>
        <v>40.7658838669005</v>
      </c>
      <c r="O18" s="111"/>
      <c r="P18" s="112"/>
      <c r="Q18" s="123"/>
    </row>
    <row r="19" spans="1:21">
      <c r="A19" s="86">
        <v>3</v>
      </c>
      <c r="B19" s="87">
        <v>109</v>
      </c>
      <c r="C19" s="87"/>
      <c r="D19" s="88"/>
      <c r="E19" s="89">
        <f ca="1">RAND()*(113-112)+112</f>
        <v>112.9031715283</v>
      </c>
      <c r="F19" s="89"/>
      <c r="G19" s="90"/>
      <c r="H19" s="89">
        <f ca="1">N19/100*(E19-B19)+B19</f>
        <v>110.591845319217</v>
      </c>
      <c r="I19" s="89"/>
      <c r="J19" s="89"/>
      <c r="K19" s="89"/>
      <c r="L19" s="89"/>
      <c r="M19" s="89"/>
      <c r="N19" s="110">
        <f ca="1">RAND()*(41-37)+37</f>
        <v>40.7833810959943</v>
      </c>
      <c r="O19" s="111"/>
      <c r="P19" s="112"/>
      <c r="Q19" s="123"/>
      <c r="U19" s="124"/>
    </row>
    <row r="20" ht="14.25" customHeight="1" spans="1:23">
      <c r="A20" s="91" t="s">
        <v>257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125"/>
      <c r="W20" s="126"/>
    </row>
    <row r="21" ht="14.25" customHeight="1" spans="1:17">
      <c r="A21" s="82" t="s">
        <v>258</v>
      </c>
      <c r="B21" s="37" t="s">
        <v>259</v>
      </c>
      <c r="C21" s="37"/>
      <c r="D21" s="37"/>
      <c r="E21" s="37" t="s">
        <v>260</v>
      </c>
      <c r="F21" s="37"/>
      <c r="G21" s="37"/>
      <c r="H21" s="37"/>
      <c r="I21" s="37"/>
      <c r="J21" s="37"/>
      <c r="K21" s="37"/>
      <c r="L21" s="37"/>
      <c r="M21" s="37"/>
      <c r="N21" s="37" t="s">
        <v>261</v>
      </c>
      <c r="O21" s="37"/>
      <c r="P21" s="37"/>
      <c r="Q21" s="119"/>
    </row>
    <row r="22" spans="1:21">
      <c r="A22" s="82"/>
      <c r="B22" s="37"/>
      <c r="C22" s="37"/>
      <c r="D22" s="37"/>
      <c r="E22" s="37" t="s">
        <v>256</v>
      </c>
      <c r="F22" s="37"/>
      <c r="G22" s="37"/>
      <c r="H22" s="37" t="s">
        <v>73</v>
      </c>
      <c r="I22" s="37"/>
      <c r="J22" s="37"/>
      <c r="K22" s="37"/>
      <c r="L22" s="37"/>
      <c r="M22" s="37"/>
      <c r="N22" s="37" t="s">
        <v>256</v>
      </c>
      <c r="O22" s="37"/>
      <c r="P22" s="37" t="s">
        <v>73</v>
      </c>
      <c r="Q22" s="119"/>
      <c r="U22" s="126"/>
    </row>
    <row r="23" ht="13.5" customHeight="1" spans="1:23">
      <c r="A23" s="93"/>
      <c r="B23" s="37">
        <v>1</v>
      </c>
      <c r="C23" s="37"/>
      <c r="D23" s="37"/>
      <c r="E23" s="94">
        <f ca="1">U23+0</f>
        <v>0.00284722222222222</v>
      </c>
      <c r="F23" s="94"/>
      <c r="G23" s="94"/>
      <c r="H23" s="94">
        <f ca="1">(E23+E24)/2</f>
        <v>0.00280671296296296</v>
      </c>
      <c r="I23" s="94"/>
      <c r="J23" s="94"/>
      <c r="K23" s="94"/>
      <c r="L23" s="94"/>
      <c r="M23" s="94"/>
      <c r="N23" s="94">
        <f ca="1">W23+0</f>
        <v>0.00643518518518519</v>
      </c>
      <c r="O23" s="94"/>
      <c r="P23" s="94">
        <f ca="1">(N24+N23)/2</f>
        <v>0.00634259259259259</v>
      </c>
      <c r="Q23" s="127"/>
      <c r="U23" s="73" t="str">
        <f ca="1">TEXT(RAND()*(TIME(0,0,50)-TIME(0,0,1))+TIME(0,3,40),"hh:mm:ss")</f>
        <v>00:04:06</v>
      </c>
      <c r="W23" s="73" t="str">
        <f ca="1">TEXT(RAND()*(TIME(0,1,29)-TIME(0,0,1))+TIME(0,8,0),"hh:mm:ss")</f>
        <v>00:09:16</v>
      </c>
    </row>
    <row r="24" ht="13.5" customHeight="1" spans="1:17">
      <c r="A24" s="93"/>
      <c r="B24" s="37">
        <v>2</v>
      </c>
      <c r="C24" s="37"/>
      <c r="D24" s="37"/>
      <c r="E24" s="94">
        <f ca="1">IF(RAND()&gt;0.5,RANDBETWEEN(5,20)/24/60/60+E23,E23-RANDBETWEEN(5,20)/24/60/60)</f>
        <v>0.0027662037037037</v>
      </c>
      <c r="F24" s="94"/>
      <c r="G24" s="94"/>
      <c r="H24" s="94"/>
      <c r="I24" s="94"/>
      <c r="J24" s="94"/>
      <c r="K24" s="94"/>
      <c r="L24" s="94"/>
      <c r="M24" s="94"/>
      <c r="N24" s="94">
        <f ca="1">IF(E24&gt;E23,RANDBETWEEN(5,20)/24/60/60+N23,N23-RANDBETWEEN(5,20)/24/60/60)</f>
        <v>0.00625</v>
      </c>
      <c r="O24" s="94"/>
      <c r="P24" s="94"/>
      <c r="Q24" s="127"/>
    </row>
    <row r="25" ht="13.5" customHeight="1" spans="1:17">
      <c r="A25" s="95" t="s">
        <v>183</v>
      </c>
      <c r="B25" s="96" t="s">
        <v>183</v>
      </c>
      <c r="C25" s="96"/>
      <c r="D25" s="96"/>
      <c r="E25" s="96" t="s">
        <v>183</v>
      </c>
      <c r="F25" s="96"/>
      <c r="G25" s="96"/>
      <c r="H25" s="96" t="s">
        <v>183</v>
      </c>
      <c r="I25" s="96"/>
      <c r="J25" s="96"/>
      <c r="K25" s="96"/>
      <c r="L25" s="96"/>
      <c r="M25" s="96"/>
      <c r="N25" s="96" t="s">
        <v>183</v>
      </c>
      <c r="O25" s="96"/>
      <c r="P25" s="96" t="s">
        <v>183</v>
      </c>
      <c r="Q25" s="128"/>
    </row>
    <row r="26" ht="13.5" customHeight="1" spans="1:17">
      <c r="A26" s="95"/>
      <c r="B26" s="96" t="s">
        <v>183</v>
      </c>
      <c r="C26" s="96"/>
      <c r="D26" s="96"/>
      <c r="E26" s="96" t="s">
        <v>183</v>
      </c>
      <c r="F26" s="96"/>
      <c r="G26" s="96"/>
      <c r="H26" s="96"/>
      <c r="I26" s="96"/>
      <c r="J26" s="96"/>
      <c r="K26" s="96"/>
      <c r="L26" s="96"/>
      <c r="M26" s="96"/>
      <c r="N26" s="96" t="s">
        <v>183</v>
      </c>
      <c r="O26" s="96"/>
      <c r="P26" s="96"/>
      <c r="Q26" s="128"/>
    </row>
    <row r="27" ht="14.25" customHeight="1" spans="1:17">
      <c r="A27" s="97" t="s">
        <v>262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129"/>
    </row>
    <row r="28" ht="12" customHeight="1" spans="1:17">
      <c r="A28" s="82" t="s">
        <v>263</v>
      </c>
      <c r="B28" s="37"/>
      <c r="C28" s="37" t="s">
        <v>264</v>
      </c>
      <c r="D28" s="37"/>
      <c r="E28" s="37"/>
      <c r="F28" s="37" t="s">
        <v>238</v>
      </c>
      <c r="G28" s="37"/>
      <c r="H28" s="37"/>
      <c r="I28" s="37" t="s">
        <v>265</v>
      </c>
      <c r="J28" s="37"/>
      <c r="K28" s="37"/>
      <c r="L28" s="37" t="s">
        <v>266</v>
      </c>
      <c r="M28" s="37"/>
      <c r="N28" s="37"/>
      <c r="O28" s="37"/>
      <c r="P28" s="40" t="s">
        <v>267</v>
      </c>
      <c r="Q28" s="130"/>
    </row>
    <row r="29" ht="12" customHeight="1" spans="1:17">
      <c r="A29" s="82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113"/>
      <c r="Q29" s="131"/>
    </row>
    <row r="30" ht="14.25" customHeight="1" spans="1:17">
      <c r="A30" s="82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114" t="s">
        <v>268</v>
      </c>
      <c r="Q30" s="119" t="s">
        <v>269</v>
      </c>
    </row>
    <row r="31" spans="1:23">
      <c r="A31" s="93"/>
      <c r="B31" s="56"/>
      <c r="C31" s="99">
        <v>41528</v>
      </c>
      <c r="D31" s="99"/>
      <c r="E31" s="99"/>
      <c r="F31" s="99">
        <f>C31+1</f>
        <v>41529</v>
      </c>
      <c r="G31" s="99"/>
      <c r="H31" s="99"/>
      <c r="I31" s="37">
        <v>1600</v>
      </c>
      <c r="J31" s="37"/>
      <c r="K31" s="37"/>
      <c r="L31" s="115">
        <f ca="1" t="shared" ref="L31:L36" si="0">V31</f>
        <v>13.91</v>
      </c>
      <c r="M31" s="115"/>
      <c r="N31" s="115"/>
      <c r="O31" s="115"/>
      <c r="P31" s="56">
        <f ca="1" t="shared" ref="P31:P36" si="1">ROUND(W31,1)-(MOD(W31*10^2,20)=5)*10^(-1)</f>
        <v>8.7</v>
      </c>
      <c r="Q31" s="132">
        <f ca="1">ROUND((P31+P32+P33+P34+P35+P36)/6,1)-(MOD((P31+P32+P33+P34+P35+P36)/6*10^2,20)=5)*10^(-1)</f>
        <v>9.2</v>
      </c>
      <c r="R31" s="73">
        <f ca="1" t="shared" ref="R31:R36" si="2">S31/$Q$31*100</f>
        <v>5.43478260869565</v>
      </c>
      <c r="S31" s="133">
        <f ca="1" t="shared" ref="S31:S36" si="3">$Q$31-P31</f>
        <v>0.5</v>
      </c>
      <c r="T31" s="73">
        <f ca="1" t="shared" ref="T31:T36" si="4">L31/1.6</f>
        <v>8.69375</v>
      </c>
      <c r="U31" s="73">
        <f ca="1" t="shared" ref="U31:U36" si="5">ABS(R31)</f>
        <v>5.43478260869565</v>
      </c>
      <c r="V31" s="73">
        <f ca="1">ROUND((11.36+RAND()*(14-11.36)),2)</f>
        <v>13.91</v>
      </c>
      <c r="W31" s="73">
        <f ca="1" t="shared" ref="W31:W36" si="6">V31/1.6</f>
        <v>8.69375</v>
      </c>
    </row>
    <row r="32" spans="1:23">
      <c r="A32" s="93"/>
      <c r="B32" s="56"/>
      <c r="C32" s="99"/>
      <c r="D32" s="99"/>
      <c r="E32" s="99"/>
      <c r="F32" s="99"/>
      <c r="G32" s="99"/>
      <c r="H32" s="99"/>
      <c r="I32" s="37"/>
      <c r="J32" s="37"/>
      <c r="K32" s="37"/>
      <c r="L32" s="115">
        <f ca="1" t="shared" si="0"/>
        <v>14.34</v>
      </c>
      <c r="M32" s="115"/>
      <c r="N32" s="115"/>
      <c r="O32" s="115"/>
      <c r="P32" s="56">
        <f ca="1" t="shared" si="1"/>
        <v>9</v>
      </c>
      <c r="Q32" s="132"/>
      <c r="R32" s="73">
        <f ca="1" t="shared" si="2"/>
        <v>2.17391304347825</v>
      </c>
      <c r="S32" s="133">
        <f ca="1" t="shared" si="3"/>
        <v>0.199999999999999</v>
      </c>
      <c r="T32" s="73">
        <f ca="1" t="shared" si="4"/>
        <v>8.9625</v>
      </c>
      <c r="U32" s="73">
        <f ca="1" t="shared" si="5"/>
        <v>2.17391304347825</v>
      </c>
      <c r="V32" s="73">
        <f ca="1">IF(RAND()&gt;0.5,V31+ROUND(RAND()*0.35,2)+0.1,V31-ROUND(RAND()*0.35-0.1,2))</f>
        <v>14.34</v>
      </c>
      <c r="W32" s="73">
        <f ca="1" t="shared" si="6"/>
        <v>8.9625</v>
      </c>
    </row>
    <row r="33" spans="1:24">
      <c r="A33" s="93"/>
      <c r="B33" s="56"/>
      <c r="C33" s="99"/>
      <c r="D33" s="99"/>
      <c r="E33" s="99"/>
      <c r="F33" s="99"/>
      <c r="G33" s="99"/>
      <c r="H33" s="99"/>
      <c r="I33" s="37"/>
      <c r="J33" s="37"/>
      <c r="K33" s="37"/>
      <c r="L33" s="115">
        <f ca="1" t="shared" si="0"/>
        <v>14.825</v>
      </c>
      <c r="M33" s="115"/>
      <c r="N33" s="115"/>
      <c r="O33" s="115"/>
      <c r="P33" s="56">
        <f ca="1" t="shared" si="1"/>
        <v>9.3</v>
      </c>
      <c r="Q33" s="132"/>
      <c r="R33" s="73">
        <f ca="1" t="shared" si="2"/>
        <v>-1.08695652173915</v>
      </c>
      <c r="S33" s="133">
        <f ca="1" t="shared" si="3"/>
        <v>-0.100000000000001</v>
      </c>
      <c r="T33" s="73">
        <f ca="1" t="shared" si="4"/>
        <v>9.265625</v>
      </c>
      <c r="U33" s="73">
        <f ca="1" t="shared" si="5"/>
        <v>1.08695652173915</v>
      </c>
      <c r="V33" s="73">
        <f ca="1">ROUND(RAND()*0.5,2)+(V31+V32)/2+0.2</f>
        <v>14.825</v>
      </c>
      <c r="W33" s="73">
        <f ca="1" t="shared" si="6"/>
        <v>9.265625</v>
      </c>
      <c r="X33" s="73">
        <f ca="1">(P31+P32+P33+P34+P35+P36)/6</f>
        <v>9.2</v>
      </c>
    </row>
    <row r="34" spans="1:23">
      <c r="A34" s="93"/>
      <c r="B34" s="56"/>
      <c r="C34" s="99"/>
      <c r="D34" s="99"/>
      <c r="E34" s="99"/>
      <c r="F34" s="99"/>
      <c r="G34" s="99"/>
      <c r="H34" s="99"/>
      <c r="I34" s="37"/>
      <c r="J34" s="37"/>
      <c r="K34" s="37"/>
      <c r="L34" s="115">
        <f ca="1" t="shared" si="0"/>
        <v>14.825</v>
      </c>
      <c r="M34" s="115"/>
      <c r="N34" s="115"/>
      <c r="O34" s="115"/>
      <c r="P34" s="56">
        <f ca="1" t="shared" si="1"/>
        <v>9.3</v>
      </c>
      <c r="Q34" s="132"/>
      <c r="R34" s="73">
        <f ca="1" t="shared" si="2"/>
        <v>-1.08695652173915</v>
      </c>
      <c r="S34" s="133">
        <f ca="1" t="shared" si="3"/>
        <v>-0.100000000000001</v>
      </c>
      <c r="T34" s="73">
        <f ca="1" t="shared" si="4"/>
        <v>9.265625</v>
      </c>
      <c r="U34" s="73">
        <f ca="1" t="shared" si="5"/>
        <v>1.08695652173915</v>
      </c>
      <c r="V34" s="73">
        <f ca="1">IF(RAND()&gt;0.5,V33+ROUND(RAND()*0.35+0.1,2),V33-ROUND(RAND()*0.35-0.1,2))</f>
        <v>14.825</v>
      </c>
      <c r="W34" s="73">
        <f ca="1" t="shared" si="6"/>
        <v>9.265625</v>
      </c>
    </row>
    <row r="35" spans="1:23">
      <c r="A35" s="93"/>
      <c r="B35" s="56"/>
      <c r="C35" s="99"/>
      <c r="D35" s="99"/>
      <c r="E35" s="99"/>
      <c r="F35" s="99"/>
      <c r="G35" s="99"/>
      <c r="H35" s="99"/>
      <c r="I35" s="37"/>
      <c r="J35" s="37"/>
      <c r="K35" s="37"/>
      <c r="L35" s="115">
        <f ca="1" t="shared" si="0"/>
        <v>15.0025</v>
      </c>
      <c r="M35" s="115"/>
      <c r="N35" s="115"/>
      <c r="O35" s="115"/>
      <c r="P35" s="56">
        <f ca="1" t="shared" si="1"/>
        <v>9.4</v>
      </c>
      <c r="Q35" s="132"/>
      <c r="R35" s="73">
        <f ca="1" t="shared" si="2"/>
        <v>-2.17391304347827</v>
      </c>
      <c r="S35" s="133">
        <f ca="1" t="shared" si="3"/>
        <v>-0.200000000000001</v>
      </c>
      <c r="T35" s="73">
        <f ca="1" t="shared" si="4"/>
        <v>9.3765625</v>
      </c>
      <c r="U35" s="73">
        <f ca="1" t="shared" si="5"/>
        <v>2.17391304347827</v>
      </c>
      <c r="V35" s="73">
        <f ca="1">ROUND(RAND()*0.5,2)+(V32+V34)/2+0.2</f>
        <v>15.0025</v>
      </c>
      <c r="W35" s="73">
        <f ca="1" t="shared" si="6"/>
        <v>9.3765625</v>
      </c>
    </row>
    <row r="36" spans="1:23">
      <c r="A36" s="93"/>
      <c r="B36" s="56"/>
      <c r="C36" s="99"/>
      <c r="D36" s="99"/>
      <c r="E36" s="99"/>
      <c r="F36" s="99"/>
      <c r="G36" s="99"/>
      <c r="H36" s="99"/>
      <c r="I36" s="37"/>
      <c r="J36" s="37"/>
      <c r="K36" s="37"/>
      <c r="L36" s="115">
        <f ca="1" t="shared" si="0"/>
        <v>15.2625</v>
      </c>
      <c r="M36" s="115"/>
      <c r="N36" s="115"/>
      <c r="O36" s="115"/>
      <c r="P36" s="56">
        <f ca="1" t="shared" si="1"/>
        <v>9.5</v>
      </c>
      <c r="Q36" s="132"/>
      <c r="R36" s="73">
        <f ca="1" t="shared" si="2"/>
        <v>-3.2608695652174</v>
      </c>
      <c r="S36" s="133">
        <f ca="1" t="shared" si="3"/>
        <v>-0.300000000000001</v>
      </c>
      <c r="T36" s="73">
        <f ca="1" t="shared" si="4"/>
        <v>9.5390625</v>
      </c>
      <c r="U36" s="73">
        <f ca="1" t="shared" si="5"/>
        <v>3.2608695652174</v>
      </c>
      <c r="V36" s="73">
        <f ca="1">IF(RAND()&gt;0.5,V35+ROUND(RAND()*0.35+0.1,2),V35-ROUND(RAND()*0.35-0.1,2))</f>
        <v>15.2625</v>
      </c>
      <c r="W36" s="73">
        <f ca="1" t="shared" si="6"/>
        <v>9.5390625</v>
      </c>
    </row>
    <row r="37" spans="1:17">
      <c r="A37" s="100" t="s">
        <v>270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34"/>
    </row>
    <row r="38" ht="11.25" customHeight="1" spans="1:17">
      <c r="A38" s="82" t="s">
        <v>271</v>
      </c>
      <c r="B38" s="37"/>
      <c r="C38" s="37" t="s">
        <v>264</v>
      </c>
      <c r="D38" s="37"/>
      <c r="E38" s="37"/>
      <c r="F38" s="37" t="s">
        <v>238</v>
      </c>
      <c r="G38" s="37"/>
      <c r="H38" s="37"/>
      <c r="I38" s="37"/>
      <c r="J38" s="37" t="s">
        <v>265</v>
      </c>
      <c r="K38" s="37"/>
      <c r="L38" s="37"/>
      <c r="M38" s="37" t="s">
        <v>272</v>
      </c>
      <c r="N38" s="37"/>
      <c r="O38" s="37"/>
      <c r="P38" s="40" t="s">
        <v>267</v>
      </c>
      <c r="Q38" s="130"/>
    </row>
    <row r="39" ht="11.25" customHeight="1" spans="1:17">
      <c r="A39" s="82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113"/>
      <c r="Q39" s="131"/>
    </row>
    <row r="40" ht="13.5" customHeight="1" spans="1:17">
      <c r="A40" s="82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114" t="s">
        <v>268</v>
      </c>
      <c r="Q40" s="119" t="s">
        <v>269</v>
      </c>
    </row>
    <row r="41" ht="12" customHeight="1" spans="1:23">
      <c r="A41" s="82" t="s">
        <v>273</v>
      </c>
      <c r="B41" s="37"/>
      <c r="C41" s="99">
        <f>C31</f>
        <v>41528</v>
      </c>
      <c r="D41" s="99"/>
      <c r="E41" s="99"/>
      <c r="F41" s="99">
        <f>C41+28</f>
        <v>41556</v>
      </c>
      <c r="G41" s="99"/>
      <c r="H41" s="99"/>
      <c r="I41" s="99"/>
      <c r="J41" s="37">
        <v>1600</v>
      </c>
      <c r="K41" s="37"/>
      <c r="L41" s="37"/>
      <c r="M41" s="115">
        <f ca="1" t="shared" ref="M41:M52" si="7">V41</f>
        <v>52.57</v>
      </c>
      <c r="N41" s="115"/>
      <c r="O41" s="115"/>
      <c r="P41" s="56">
        <f ca="1" t="shared" ref="P41:P52" si="8">ROUND(M41/1.6,1)-(MOD(M41/1.6*10^2,20)=5)*10^(-1)</f>
        <v>32.9</v>
      </c>
      <c r="Q41" s="132">
        <f ca="1">ROUND((P41+P42+P43+P44+P45+P46)/6,1)-(MOD((P41+P42+P43+P44+P45+P46)/6*10^2,20)=5)*10^(-1)</f>
        <v>33.9</v>
      </c>
      <c r="V41" s="73">
        <f ca="1">ROUND((51.2+RAND()*(57-51.2)),2)</f>
        <v>52.57</v>
      </c>
      <c r="W41" s="73">
        <f ca="1">V41/1.6</f>
        <v>32.85625</v>
      </c>
    </row>
    <row r="42" spans="1:23">
      <c r="A42" s="82"/>
      <c r="B42" s="37"/>
      <c r="C42" s="99"/>
      <c r="D42" s="99"/>
      <c r="E42" s="99"/>
      <c r="F42" s="99"/>
      <c r="G42" s="99"/>
      <c r="H42" s="99"/>
      <c r="I42" s="99"/>
      <c r="J42" s="37"/>
      <c r="K42" s="37"/>
      <c r="L42" s="37"/>
      <c r="M42" s="115">
        <f ca="1" t="shared" si="7"/>
        <v>55.99</v>
      </c>
      <c r="N42" s="115"/>
      <c r="O42" s="115"/>
      <c r="P42" s="56">
        <f ca="1" t="shared" si="8"/>
        <v>35</v>
      </c>
      <c r="Q42" s="132"/>
      <c r="V42" s="73">
        <f ca="1" t="shared" ref="V42:V46" si="9">ROUND((51.2+RAND()*(57-51.2)),2)</f>
        <v>55.99</v>
      </c>
      <c r="W42" s="73">
        <f ca="1" t="shared" ref="W42:W52" si="10">V42/1.6</f>
        <v>34.99375</v>
      </c>
    </row>
    <row r="43" spans="1:24">
      <c r="A43" s="82"/>
      <c r="B43" s="37"/>
      <c r="C43" s="99"/>
      <c r="D43" s="99"/>
      <c r="E43" s="99"/>
      <c r="F43" s="99"/>
      <c r="G43" s="99"/>
      <c r="H43" s="99"/>
      <c r="I43" s="99"/>
      <c r="J43" s="37"/>
      <c r="K43" s="37"/>
      <c r="L43" s="37"/>
      <c r="M43" s="115">
        <f ca="1" t="shared" si="7"/>
        <v>52.9</v>
      </c>
      <c r="N43" s="115"/>
      <c r="O43" s="115"/>
      <c r="P43" s="56">
        <f ca="1" t="shared" si="8"/>
        <v>33.1</v>
      </c>
      <c r="Q43" s="132"/>
      <c r="V43" s="73">
        <f ca="1" t="shared" si="9"/>
        <v>52.9</v>
      </c>
      <c r="W43" s="73">
        <f ca="1" t="shared" si="10"/>
        <v>33.0625</v>
      </c>
      <c r="X43" s="73">
        <f ca="1">(P41+P42+P43+P44+P45+P46)/6</f>
        <v>33.8666666666667</v>
      </c>
    </row>
    <row r="44" spans="1:23">
      <c r="A44" s="82"/>
      <c r="B44" s="37"/>
      <c r="C44" s="99"/>
      <c r="D44" s="99"/>
      <c r="E44" s="99"/>
      <c r="F44" s="99"/>
      <c r="G44" s="99"/>
      <c r="H44" s="99"/>
      <c r="I44" s="99"/>
      <c r="J44" s="37"/>
      <c r="K44" s="37"/>
      <c r="L44" s="37"/>
      <c r="M44" s="115">
        <f ca="1" t="shared" si="7"/>
        <v>53.32</v>
      </c>
      <c r="N44" s="115"/>
      <c r="O44" s="115"/>
      <c r="P44" s="56">
        <f ca="1" t="shared" si="8"/>
        <v>33.3</v>
      </c>
      <c r="Q44" s="132"/>
      <c r="V44" s="73">
        <f ca="1" t="shared" si="9"/>
        <v>53.32</v>
      </c>
      <c r="W44" s="73">
        <f ca="1" t="shared" si="10"/>
        <v>33.325</v>
      </c>
    </row>
    <row r="45" spans="1:23">
      <c r="A45" s="82"/>
      <c r="B45" s="37"/>
      <c r="C45" s="99"/>
      <c r="D45" s="99"/>
      <c r="E45" s="99"/>
      <c r="F45" s="99"/>
      <c r="G45" s="99"/>
      <c r="H45" s="99"/>
      <c r="I45" s="99"/>
      <c r="J45" s="37"/>
      <c r="K45" s="37"/>
      <c r="L45" s="37"/>
      <c r="M45" s="115">
        <f ca="1" t="shared" si="7"/>
        <v>53.31</v>
      </c>
      <c r="N45" s="115"/>
      <c r="O45" s="115"/>
      <c r="P45" s="56">
        <f ca="1" t="shared" si="8"/>
        <v>33.3</v>
      </c>
      <c r="Q45" s="132"/>
      <c r="V45" s="73">
        <f ca="1" t="shared" si="9"/>
        <v>53.31</v>
      </c>
      <c r="W45" s="73">
        <f ca="1" t="shared" si="10"/>
        <v>33.31875</v>
      </c>
    </row>
    <row r="46" spans="1:23">
      <c r="A46" s="82"/>
      <c r="B46" s="37"/>
      <c r="C46" s="99"/>
      <c r="D46" s="99"/>
      <c r="E46" s="99"/>
      <c r="F46" s="99"/>
      <c r="G46" s="99"/>
      <c r="H46" s="99"/>
      <c r="I46" s="99"/>
      <c r="J46" s="37"/>
      <c r="K46" s="37"/>
      <c r="L46" s="37"/>
      <c r="M46" s="115">
        <f ca="1" t="shared" si="7"/>
        <v>56.98</v>
      </c>
      <c r="N46" s="115"/>
      <c r="O46" s="115"/>
      <c r="P46" s="56">
        <f ca="1" t="shared" si="8"/>
        <v>35.6</v>
      </c>
      <c r="Q46" s="132"/>
      <c r="V46" s="73">
        <f ca="1" t="shared" si="9"/>
        <v>56.98</v>
      </c>
      <c r="W46" s="73">
        <f ca="1" t="shared" si="10"/>
        <v>35.6125</v>
      </c>
    </row>
    <row r="47" spans="1:23">
      <c r="A47" s="82" t="s">
        <v>274</v>
      </c>
      <c r="B47" s="37"/>
      <c r="C47" s="99">
        <f>C31</f>
        <v>41528</v>
      </c>
      <c r="D47" s="99"/>
      <c r="E47" s="99"/>
      <c r="F47" s="99">
        <f>F41</f>
        <v>41556</v>
      </c>
      <c r="G47" s="99"/>
      <c r="H47" s="99"/>
      <c r="I47" s="99"/>
      <c r="J47" s="37">
        <v>1600</v>
      </c>
      <c r="K47" s="37"/>
      <c r="L47" s="37"/>
      <c r="M47" s="115">
        <f ca="1" t="shared" si="7"/>
        <v>68.97</v>
      </c>
      <c r="N47" s="115"/>
      <c r="O47" s="115"/>
      <c r="P47" s="56">
        <f ca="1" t="shared" si="8"/>
        <v>43.1</v>
      </c>
      <c r="Q47" s="132">
        <f ca="1">ROUND((P47+P48+P49+P50+P51+P52)/6,1)-(MOD((P47+P48+P49+P50+P51+P52)/6*10^2,20)=5)*10^(-1)</f>
        <v>44</v>
      </c>
      <c r="V47" s="73">
        <f ca="1" t="shared" ref="V47:V52" si="11">ROUND((68+RAND()*(73-68)),2)</f>
        <v>68.97</v>
      </c>
      <c r="W47" s="73">
        <f ca="1" t="shared" si="10"/>
        <v>43.10625</v>
      </c>
    </row>
    <row r="48" spans="1:23">
      <c r="A48" s="82"/>
      <c r="B48" s="37"/>
      <c r="C48" s="99"/>
      <c r="D48" s="99"/>
      <c r="E48" s="99"/>
      <c r="F48" s="99"/>
      <c r="G48" s="99"/>
      <c r="H48" s="99"/>
      <c r="I48" s="99"/>
      <c r="J48" s="37"/>
      <c r="K48" s="37"/>
      <c r="L48" s="37"/>
      <c r="M48" s="115">
        <f ca="1" t="shared" si="7"/>
        <v>72.48</v>
      </c>
      <c r="N48" s="115"/>
      <c r="O48" s="115"/>
      <c r="P48" s="56">
        <f ca="1" t="shared" si="8"/>
        <v>45.3</v>
      </c>
      <c r="Q48" s="132"/>
      <c r="V48" s="73">
        <f ca="1" t="shared" si="11"/>
        <v>72.48</v>
      </c>
      <c r="W48" s="73">
        <f ca="1" t="shared" si="10"/>
        <v>45.3</v>
      </c>
    </row>
    <row r="49" spans="1:24">
      <c r="A49" s="82"/>
      <c r="B49" s="37"/>
      <c r="C49" s="99"/>
      <c r="D49" s="99"/>
      <c r="E49" s="99"/>
      <c r="F49" s="99"/>
      <c r="G49" s="99"/>
      <c r="H49" s="99"/>
      <c r="I49" s="99"/>
      <c r="J49" s="37"/>
      <c r="K49" s="37"/>
      <c r="L49" s="37"/>
      <c r="M49" s="115">
        <f ca="1" t="shared" si="7"/>
        <v>69.71</v>
      </c>
      <c r="N49" s="115"/>
      <c r="O49" s="115"/>
      <c r="P49" s="56">
        <f ca="1" t="shared" si="8"/>
        <v>43.6</v>
      </c>
      <c r="Q49" s="132"/>
      <c r="V49" s="73">
        <f ca="1" t="shared" si="11"/>
        <v>69.71</v>
      </c>
      <c r="W49" s="73">
        <f ca="1" t="shared" si="10"/>
        <v>43.56875</v>
      </c>
      <c r="X49" s="73">
        <f ca="1">(P47+P48+P50+P49+P51+P52)/6</f>
        <v>44.0333333333333</v>
      </c>
    </row>
    <row r="50" spans="1:23">
      <c r="A50" s="82"/>
      <c r="B50" s="37"/>
      <c r="C50" s="99"/>
      <c r="D50" s="99"/>
      <c r="E50" s="99"/>
      <c r="F50" s="99"/>
      <c r="G50" s="99"/>
      <c r="H50" s="99"/>
      <c r="I50" s="99"/>
      <c r="J50" s="37"/>
      <c r="K50" s="37"/>
      <c r="L50" s="37"/>
      <c r="M50" s="115">
        <f ca="1" t="shared" si="7"/>
        <v>72.46</v>
      </c>
      <c r="N50" s="115"/>
      <c r="O50" s="115"/>
      <c r="P50" s="56">
        <f ca="1" t="shared" si="8"/>
        <v>45.3</v>
      </c>
      <c r="Q50" s="132"/>
      <c r="V50" s="73">
        <f ca="1" t="shared" si="11"/>
        <v>72.46</v>
      </c>
      <c r="W50" s="73">
        <f ca="1" t="shared" si="10"/>
        <v>45.2875</v>
      </c>
    </row>
    <row r="51" spans="1:23">
      <c r="A51" s="82"/>
      <c r="B51" s="37"/>
      <c r="C51" s="99"/>
      <c r="D51" s="99"/>
      <c r="E51" s="99"/>
      <c r="F51" s="99"/>
      <c r="G51" s="99"/>
      <c r="H51" s="99"/>
      <c r="I51" s="99"/>
      <c r="J51" s="37"/>
      <c r="K51" s="37"/>
      <c r="L51" s="37"/>
      <c r="M51" s="115">
        <f ca="1" t="shared" si="7"/>
        <v>69.84</v>
      </c>
      <c r="N51" s="115"/>
      <c r="O51" s="115"/>
      <c r="P51" s="56">
        <f ca="1" t="shared" si="8"/>
        <v>43.6</v>
      </c>
      <c r="Q51" s="132"/>
      <c r="V51" s="73">
        <f ca="1" t="shared" si="11"/>
        <v>69.84</v>
      </c>
      <c r="W51" s="73">
        <f ca="1" t="shared" si="10"/>
        <v>43.65</v>
      </c>
    </row>
    <row r="52" spans="1:23">
      <c r="A52" s="82"/>
      <c r="B52" s="37"/>
      <c r="C52" s="99"/>
      <c r="D52" s="99"/>
      <c r="E52" s="99"/>
      <c r="F52" s="99"/>
      <c r="G52" s="99"/>
      <c r="H52" s="99"/>
      <c r="I52" s="99"/>
      <c r="J52" s="37"/>
      <c r="K52" s="37"/>
      <c r="L52" s="37"/>
      <c r="M52" s="115">
        <f ca="1" t="shared" si="7"/>
        <v>69.24</v>
      </c>
      <c r="N52" s="115"/>
      <c r="O52" s="115"/>
      <c r="P52" s="56">
        <f ca="1" t="shared" si="8"/>
        <v>43.3</v>
      </c>
      <c r="Q52" s="132"/>
      <c r="V52" s="73">
        <f ca="1" t="shared" si="11"/>
        <v>69.24</v>
      </c>
      <c r="W52" s="73">
        <f ca="1" t="shared" si="10"/>
        <v>43.275</v>
      </c>
    </row>
    <row r="53" spans="1:19">
      <c r="A53" s="82" t="s">
        <v>275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132">
        <f ca="1">ROUND(Q41/Q47*100,1)-(MOD(Q41/Q47*100*10^2,20)=5)*10^(-1)</f>
        <v>77</v>
      </c>
      <c r="S53" s="73">
        <f ca="1">Q41/Q47*100</f>
        <v>77.0454545454545</v>
      </c>
    </row>
    <row r="54" ht="18" customHeight="1" spans="1:17">
      <c r="A54" s="102" t="s">
        <v>276</v>
      </c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35"/>
    </row>
    <row r="55" ht="16.5" customHeight="1" spans="1:17">
      <c r="A55" s="104" t="s">
        <v>277</v>
      </c>
      <c r="B55" s="105"/>
      <c r="C55" s="105"/>
      <c r="D55" s="105" t="s">
        <v>278</v>
      </c>
      <c r="E55" s="106"/>
      <c r="F55" s="106"/>
      <c r="G55" s="104" t="s">
        <v>279</v>
      </c>
      <c r="H55" s="105"/>
      <c r="I55" s="105"/>
      <c r="J55" s="105" t="s">
        <v>278</v>
      </c>
      <c r="K55" s="106"/>
      <c r="L55" s="106"/>
      <c r="M55" s="104" t="s">
        <v>280</v>
      </c>
      <c r="N55" s="105"/>
      <c r="O55" s="105" t="s">
        <v>278</v>
      </c>
      <c r="P55" s="106"/>
      <c r="Q55" s="106"/>
    </row>
    <row r="57" spans="21:22">
      <c r="U57" s="136"/>
      <c r="V57" s="136"/>
    </row>
  </sheetData>
  <mergeCells count="141">
    <mergeCell ref="A1:D1"/>
    <mergeCell ref="N1:P1"/>
    <mergeCell ref="A2:D2"/>
    <mergeCell ref="N2:Q2"/>
    <mergeCell ref="B3:I3"/>
    <mergeCell ref="J3:K3"/>
    <mergeCell ref="L3:Q3"/>
    <mergeCell ref="B4:I4"/>
    <mergeCell ref="J4:K4"/>
    <mergeCell ref="L4:Q4"/>
    <mergeCell ref="B5:I5"/>
    <mergeCell ref="J5:K5"/>
    <mergeCell ref="L5:Q5"/>
    <mergeCell ref="B6:I6"/>
    <mergeCell ref="J6:K6"/>
    <mergeCell ref="L6:Q6"/>
    <mergeCell ref="D10:F10"/>
    <mergeCell ref="G10:J10"/>
    <mergeCell ref="K10:L10"/>
    <mergeCell ref="M10:N10"/>
    <mergeCell ref="D11:F11"/>
    <mergeCell ref="G11:J11"/>
    <mergeCell ref="K11:L11"/>
    <mergeCell ref="M11:N11"/>
    <mergeCell ref="D12:F12"/>
    <mergeCell ref="G12:J12"/>
    <mergeCell ref="K12:L12"/>
    <mergeCell ref="M12:N12"/>
    <mergeCell ref="A13:C13"/>
    <mergeCell ref="D13:J13"/>
    <mergeCell ref="K13:L13"/>
    <mergeCell ref="M13:Q13"/>
    <mergeCell ref="A14:Q14"/>
    <mergeCell ref="N15:Q15"/>
    <mergeCell ref="N16:O16"/>
    <mergeCell ref="P16:Q16"/>
    <mergeCell ref="B17:D17"/>
    <mergeCell ref="E17:G17"/>
    <mergeCell ref="H17:M17"/>
    <mergeCell ref="N17:O17"/>
    <mergeCell ref="B18:D18"/>
    <mergeCell ref="E18:G18"/>
    <mergeCell ref="H18:M18"/>
    <mergeCell ref="N18:O18"/>
    <mergeCell ref="B19:D19"/>
    <mergeCell ref="E19:G19"/>
    <mergeCell ref="H19:M19"/>
    <mergeCell ref="N19:O19"/>
    <mergeCell ref="A20:Q20"/>
    <mergeCell ref="E21:M21"/>
    <mergeCell ref="N21:Q21"/>
    <mergeCell ref="E22:G22"/>
    <mergeCell ref="H22:M22"/>
    <mergeCell ref="N22:O22"/>
    <mergeCell ref="P22:Q22"/>
    <mergeCell ref="B23:D23"/>
    <mergeCell ref="E23:G23"/>
    <mergeCell ref="N23:O23"/>
    <mergeCell ref="B24:D24"/>
    <mergeCell ref="E24:G24"/>
    <mergeCell ref="N24:O24"/>
    <mergeCell ref="B25:D25"/>
    <mergeCell ref="E25:G25"/>
    <mergeCell ref="N25:O25"/>
    <mergeCell ref="B26:D26"/>
    <mergeCell ref="E26:G26"/>
    <mergeCell ref="N26:O26"/>
    <mergeCell ref="A27:Q27"/>
    <mergeCell ref="L31:O31"/>
    <mergeCell ref="L32:O32"/>
    <mergeCell ref="L33:O33"/>
    <mergeCell ref="L34:O34"/>
    <mergeCell ref="L35:O35"/>
    <mergeCell ref="L36:O36"/>
    <mergeCell ref="A37:Q37"/>
    <mergeCell ref="M41:O41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51:O51"/>
    <mergeCell ref="M52:O52"/>
    <mergeCell ref="A53:P53"/>
    <mergeCell ref="A54:Q54"/>
    <mergeCell ref="A15:A16"/>
    <mergeCell ref="A21:A22"/>
    <mergeCell ref="A23:A24"/>
    <mergeCell ref="A25:A26"/>
    <mergeCell ref="O8:O9"/>
    <mergeCell ref="P8:P9"/>
    <mergeCell ref="P10:P12"/>
    <mergeCell ref="Q8:Q9"/>
    <mergeCell ref="Q10:Q12"/>
    <mergeCell ref="Q31:Q36"/>
    <mergeCell ref="Q41:Q46"/>
    <mergeCell ref="Q47:Q52"/>
    <mergeCell ref="K8:L9"/>
    <mergeCell ref="M8:N9"/>
    <mergeCell ref="E1:M2"/>
    <mergeCell ref="G8:J9"/>
    <mergeCell ref="X11:Z16"/>
    <mergeCell ref="B15:D16"/>
    <mergeCell ref="E15:G16"/>
    <mergeCell ref="H15:M16"/>
    <mergeCell ref="A8:C12"/>
    <mergeCell ref="D8:F9"/>
    <mergeCell ref="P17:Q19"/>
    <mergeCell ref="H23:M24"/>
    <mergeCell ref="B21:D22"/>
    <mergeCell ref="A28:B30"/>
    <mergeCell ref="C28:E30"/>
    <mergeCell ref="F28:H30"/>
    <mergeCell ref="I28:K30"/>
    <mergeCell ref="H25:M26"/>
    <mergeCell ref="A41:B46"/>
    <mergeCell ref="C41:E46"/>
    <mergeCell ref="F41:I46"/>
    <mergeCell ref="J41:L46"/>
    <mergeCell ref="P23:Q24"/>
    <mergeCell ref="L28:O30"/>
    <mergeCell ref="P28:Q29"/>
    <mergeCell ref="P25:Q26"/>
    <mergeCell ref="A38:B40"/>
    <mergeCell ref="C38:E40"/>
    <mergeCell ref="F38:I40"/>
    <mergeCell ref="J38:L40"/>
    <mergeCell ref="M38:O40"/>
    <mergeCell ref="P38:Q39"/>
    <mergeCell ref="A31:B36"/>
    <mergeCell ref="C31:E36"/>
    <mergeCell ref="F31:H36"/>
    <mergeCell ref="I31:K36"/>
    <mergeCell ref="A47:B52"/>
    <mergeCell ref="C47:E52"/>
    <mergeCell ref="F47:I52"/>
    <mergeCell ref="J47:L52"/>
  </mergeCells>
  <conditionalFormatting sqref="R31:R36">
    <cfRule type="cellIs" dxfId="0" priority="2" stopIfTrue="1" operator="notBetween">
      <formula>-9</formula>
      <formula>9</formula>
    </cfRule>
  </conditionalFormatting>
  <conditionalFormatting sqref="U27:U39">
    <cfRule type="cellIs" dxfId="0" priority="1" stopIfTrue="1" operator="greaterThan">
      <formula>9</formula>
    </cfRule>
  </conditionalFormatting>
  <pageMargins left="0.7" right="0.7" top="0.75" bottom="0.75" header="0.3" footer="0.3"/>
  <pageSetup paperSize="9" orientation="portrait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Z28"/>
  <sheetViews>
    <sheetView zoomScale="110" zoomScaleNormal="110" workbookViewId="0">
      <selection activeCell="L20" sqref="L20"/>
    </sheetView>
  </sheetViews>
  <sheetFormatPr defaultColWidth="9" defaultRowHeight="10.8"/>
  <cols>
    <col min="1" max="1" width="6.87962962962963" style="36" customWidth="1"/>
    <col min="2" max="7" width="3.12962962962963" style="36" customWidth="1"/>
    <col min="8" max="8" width="5.12962962962963" style="36" customWidth="1"/>
    <col min="9" max="10" width="2.87962962962963" style="36" customWidth="1"/>
    <col min="11" max="12" width="5.12962962962963" style="36" customWidth="1"/>
    <col min="13" max="16" width="2.87962962962963" style="36" customWidth="1"/>
    <col min="17" max="17" width="1.25" style="36" customWidth="1"/>
    <col min="18" max="18" width="3.62962962962963" style="36" customWidth="1"/>
    <col min="19" max="19" width="3.12962962962963" style="36" customWidth="1"/>
    <col min="20" max="20" width="10.25" style="36" customWidth="1"/>
    <col min="21" max="21" width="5.12962962962963" style="36" customWidth="1"/>
    <col min="22" max="22" width="4.5" style="36" customWidth="1"/>
    <col min="23" max="23" width="5.12962962962963" style="36" customWidth="1"/>
    <col min="24" max="24" width="9" style="36"/>
    <col min="25" max="26" width="10.1296296296296" style="36" customWidth="1"/>
    <col min="27" max="16384" width="9" style="36"/>
  </cols>
  <sheetData>
    <row r="1" spans="1:23">
      <c r="A1" s="37" t="s">
        <v>281</v>
      </c>
      <c r="B1" s="38"/>
      <c r="C1" s="38"/>
      <c r="D1" s="38"/>
      <c r="E1" s="38"/>
      <c r="F1" s="38"/>
      <c r="G1" s="38"/>
      <c r="H1" s="37" t="s">
        <v>282</v>
      </c>
      <c r="I1" s="37"/>
      <c r="J1" s="37"/>
      <c r="K1" s="37"/>
      <c r="L1" s="37"/>
      <c r="M1" s="37" t="s">
        <v>283</v>
      </c>
      <c r="N1" s="37"/>
      <c r="O1" s="37"/>
      <c r="P1" s="37"/>
      <c r="Q1" s="37"/>
      <c r="R1" s="37"/>
      <c r="S1" s="37"/>
      <c r="T1" s="37" t="s">
        <v>256</v>
      </c>
      <c r="U1" s="37"/>
      <c r="V1" s="37" t="s">
        <v>73</v>
      </c>
      <c r="W1" s="37"/>
    </row>
    <row r="2" spans="1:23">
      <c r="A2" s="38"/>
      <c r="B2" s="38"/>
      <c r="C2" s="38"/>
      <c r="D2" s="38"/>
      <c r="E2" s="38"/>
      <c r="F2" s="38"/>
      <c r="G2" s="38"/>
      <c r="H2" s="39">
        <f ca="1">INT(193+4*RAND())</f>
        <v>195</v>
      </c>
      <c r="I2" s="39"/>
      <c r="J2" s="39"/>
      <c r="K2" s="39"/>
      <c r="L2" s="39"/>
      <c r="M2" s="39">
        <f ca="1">143+INT(3*RAND())</f>
        <v>145</v>
      </c>
      <c r="N2" s="39"/>
      <c r="O2" s="39"/>
      <c r="P2" s="39"/>
      <c r="Q2" s="39"/>
      <c r="R2" s="39"/>
      <c r="S2" s="39"/>
      <c r="T2" s="56">
        <f ca="1">ROUND(100*(H2-M2)/H2,1)</f>
        <v>25.6</v>
      </c>
      <c r="U2" s="56"/>
      <c r="V2" s="56">
        <f ca="1">ROUND(AVERAGE(T2:U4),1)</f>
        <v>25.7</v>
      </c>
      <c r="W2" s="56"/>
    </row>
    <row r="3" spans="1:25">
      <c r="A3" s="38"/>
      <c r="B3" s="38"/>
      <c r="C3" s="38"/>
      <c r="D3" s="38"/>
      <c r="E3" s="38"/>
      <c r="F3" s="38"/>
      <c r="G3" s="38"/>
      <c r="H3" s="39">
        <f ca="1">INT(193+4*RAND())</f>
        <v>194</v>
      </c>
      <c r="I3" s="39"/>
      <c r="J3" s="39"/>
      <c r="K3" s="39"/>
      <c r="L3" s="39"/>
      <c r="M3" s="39">
        <f ca="1">143+INT(3*RAND())</f>
        <v>144</v>
      </c>
      <c r="N3" s="39"/>
      <c r="O3" s="39"/>
      <c r="P3" s="39"/>
      <c r="Q3" s="39"/>
      <c r="R3" s="39"/>
      <c r="S3" s="39"/>
      <c r="T3" s="56">
        <f ca="1">ROUND(100*(H3-M3)/H3,1)</f>
        <v>25.8</v>
      </c>
      <c r="U3" s="56"/>
      <c r="V3" s="56"/>
      <c r="W3" s="56"/>
      <c r="Y3" s="70"/>
    </row>
    <row r="4" spans="1:25">
      <c r="A4" s="38"/>
      <c r="B4" s="38"/>
      <c r="C4" s="38"/>
      <c r="D4" s="38"/>
      <c r="E4" s="38"/>
      <c r="F4" s="38"/>
      <c r="G4" s="38"/>
      <c r="H4" s="39">
        <f ca="1">INT(193+4*RAND())</f>
        <v>194</v>
      </c>
      <c r="I4" s="39"/>
      <c r="J4" s="39"/>
      <c r="K4" s="39"/>
      <c r="L4" s="39"/>
      <c r="M4" s="39">
        <f ca="1">143+INT(3*RAND())</f>
        <v>144</v>
      </c>
      <c r="N4" s="39"/>
      <c r="O4" s="39"/>
      <c r="P4" s="39"/>
      <c r="Q4" s="39"/>
      <c r="R4" s="39"/>
      <c r="S4" s="39"/>
      <c r="T4" s="56">
        <f ca="1">ROUND(100*(H4-M4)/H4,1)</f>
        <v>25.8</v>
      </c>
      <c r="U4" s="56"/>
      <c r="V4" s="56"/>
      <c r="W4" s="56"/>
      <c r="Y4" s="71"/>
    </row>
    <row r="5" ht="21.6" spans="1:25">
      <c r="A5" s="40" t="s">
        <v>284</v>
      </c>
      <c r="B5" s="41"/>
      <c r="C5" s="42"/>
      <c r="D5" s="37" t="s">
        <v>285</v>
      </c>
      <c r="E5" s="37"/>
      <c r="F5" s="43" t="s">
        <v>286</v>
      </c>
      <c r="G5" s="44"/>
      <c r="H5" s="45" t="s">
        <v>77</v>
      </c>
      <c r="I5" s="45"/>
      <c r="J5" s="45" t="s">
        <v>287</v>
      </c>
      <c r="K5" s="45"/>
      <c r="L5" s="45" t="s">
        <v>287</v>
      </c>
      <c r="M5" s="45" t="s">
        <v>288</v>
      </c>
      <c r="N5" s="45"/>
      <c r="O5" s="45"/>
      <c r="P5" s="45"/>
      <c r="Q5" s="45"/>
      <c r="R5" s="45"/>
      <c r="S5" s="45"/>
      <c r="T5" s="62" t="s">
        <v>289</v>
      </c>
      <c r="U5" s="62"/>
      <c r="V5" s="63" t="s">
        <v>290</v>
      </c>
      <c r="W5" s="63"/>
      <c r="Y5" s="72" t="str">
        <f ca="1">IF(AND(V2&gt;25,W8&lt;90,P17&lt;3,S21&gt;170,U21&gt;160,V21&gt;150,W21&gt;140),"数据合格","请按F9重新生成")</f>
        <v>请按F9重新生成</v>
      </c>
    </row>
    <row r="6" ht="21.6" spans="1:23">
      <c r="A6" s="46"/>
      <c r="B6" s="4"/>
      <c r="C6" s="47"/>
      <c r="D6" s="37"/>
      <c r="E6" s="37"/>
      <c r="F6" s="48" t="s">
        <v>291</v>
      </c>
      <c r="G6" s="49"/>
      <c r="H6" s="37" t="s">
        <v>292</v>
      </c>
      <c r="I6" s="37"/>
      <c r="J6" s="37" t="s">
        <v>87</v>
      </c>
      <c r="K6" s="37"/>
      <c r="L6" s="37" t="s">
        <v>293</v>
      </c>
      <c r="M6" s="37" t="s">
        <v>294</v>
      </c>
      <c r="N6" s="37"/>
      <c r="O6" s="37" t="s">
        <v>295</v>
      </c>
      <c r="P6" s="37"/>
      <c r="Q6" s="37"/>
      <c r="R6" s="37"/>
      <c r="S6" s="37"/>
      <c r="T6" s="62"/>
      <c r="U6" s="62"/>
      <c r="V6" s="64" t="s">
        <v>296</v>
      </c>
      <c r="W6" s="64"/>
    </row>
    <row r="7" ht="21.6" spans="1:23">
      <c r="A7" s="50"/>
      <c r="B7" s="51"/>
      <c r="C7" s="52"/>
      <c r="D7" s="37"/>
      <c r="E7" s="37"/>
      <c r="F7" s="48" t="s">
        <v>297</v>
      </c>
      <c r="G7" s="49"/>
      <c r="H7" s="37" t="s">
        <v>298</v>
      </c>
      <c r="I7" s="37"/>
      <c r="J7" s="37" t="s">
        <v>299</v>
      </c>
      <c r="K7" s="37"/>
      <c r="L7" s="37" t="s">
        <v>300</v>
      </c>
      <c r="M7" s="37" t="s">
        <v>301</v>
      </c>
      <c r="N7" s="37"/>
      <c r="O7" s="45" t="s">
        <v>302</v>
      </c>
      <c r="P7" s="45"/>
      <c r="Q7" s="45"/>
      <c r="R7" s="45" t="s">
        <v>303</v>
      </c>
      <c r="S7" s="45"/>
      <c r="T7" s="37" t="s">
        <v>304</v>
      </c>
      <c r="U7" s="37" t="s">
        <v>305</v>
      </c>
      <c r="V7" s="37" t="s">
        <v>306</v>
      </c>
      <c r="W7" s="37" t="s">
        <v>307</v>
      </c>
    </row>
    <row r="8" spans="1:26">
      <c r="A8" s="53" t="s">
        <v>308</v>
      </c>
      <c r="B8" s="37">
        <v>1</v>
      </c>
      <c r="C8" s="37"/>
      <c r="D8" s="48">
        <v>965</v>
      </c>
      <c r="E8" s="49"/>
      <c r="F8" s="37">
        <f ca="1" t="shared" ref="F8:F13" si="0">10770+INT(60*RAND())</f>
        <v>10804</v>
      </c>
      <c r="G8" s="37"/>
      <c r="H8" s="54">
        <f ca="1" t="shared" ref="H8:H13" si="1">F8-D8</f>
        <v>9839</v>
      </c>
      <c r="I8" s="54"/>
      <c r="J8" s="39">
        <f ca="1">H2*20</f>
        <v>3900</v>
      </c>
      <c r="K8" s="39"/>
      <c r="L8" s="59">
        <f ca="1">47460+INT(16*RAND())*5</f>
        <v>47490</v>
      </c>
      <c r="M8" s="37">
        <f ca="1">+ROUND(20+10*RAND(),0)</f>
        <v>27</v>
      </c>
      <c r="N8" s="37"/>
      <c r="O8" s="39">
        <f ca="1">9+INT(3*RAND())</f>
        <v>11</v>
      </c>
      <c r="P8" s="39"/>
      <c r="Q8" s="39"/>
      <c r="R8" s="39">
        <f ca="1">36+INT(6*RAND())</f>
        <v>36</v>
      </c>
      <c r="S8" s="39"/>
      <c r="T8" s="58">
        <f ca="1" t="shared" ref="T8:T13" si="2">+ROUND(M8/(J8/L8*H8)*100,1)</f>
        <v>3.3</v>
      </c>
      <c r="U8" s="56">
        <f ca="1">ROUND(AVERAGE(T8:T10),1)</f>
        <v>3.7</v>
      </c>
      <c r="V8" s="37">
        <f ca="1">+IF(ROUND(U11/U8*100,0)&gt;=20,"请重按F9",ROUND(U11/U8*100,0))</f>
        <v>11</v>
      </c>
      <c r="W8" s="39">
        <f ca="1">+IF(ROUND(Z11/Z8*100,0)&gt;=90,"请重按F9",ROUND(Z11/Z8*100,0))</f>
        <v>42</v>
      </c>
      <c r="Y8" s="36">
        <f ca="1" t="shared" ref="Y8:Y13" si="3">+ROUND(O8/R8*100,1)</f>
        <v>30.6</v>
      </c>
      <c r="Z8" s="72">
        <f ca="1">+ROUND(AVERAGE(Y8:Y10),1)</f>
        <v>32.2</v>
      </c>
    </row>
    <row r="9" spans="1:26">
      <c r="A9" s="53"/>
      <c r="B9" s="37">
        <v>2</v>
      </c>
      <c r="C9" s="37"/>
      <c r="D9" s="37">
        <v>965</v>
      </c>
      <c r="E9" s="37"/>
      <c r="F9" s="48">
        <f ca="1" t="shared" si="0"/>
        <v>10817</v>
      </c>
      <c r="G9" s="49"/>
      <c r="H9" s="54">
        <f ca="1" t="shared" si="1"/>
        <v>9852</v>
      </c>
      <c r="I9" s="54"/>
      <c r="J9" s="39">
        <f ca="1">H3*20</f>
        <v>3880</v>
      </c>
      <c r="K9" s="39"/>
      <c r="L9" s="59">
        <f ca="1">47460+INT(16*RAND())*5</f>
        <v>47480</v>
      </c>
      <c r="M9" s="37">
        <f ca="1">+ROUND(M8-2+RAND()*6,0)</f>
        <v>31</v>
      </c>
      <c r="N9" s="37"/>
      <c r="O9" s="39">
        <f ca="1">ROUND((O8*0.9+O8*0.1*RAND()),0)</f>
        <v>11</v>
      </c>
      <c r="P9" s="39"/>
      <c r="Q9" s="39"/>
      <c r="R9" s="39">
        <f ca="1">$R$8*0.9+INT(0.1*$R$8*RAND())</f>
        <v>34.4</v>
      </c>
      <c r="S9" s="39"/>
      <c r="T9" s="58">
        <f ca="1" t="shared" si="2"/>
        <v>3.9</v>
      </c>
      <c r="U9" s="37"/>
      <c r="V9" s="37"/>
      <c r="W9" s="39"/>
      <c r="Y9" s="36">
        <f ca="1" t="shared" si="3"/>
        <v>32</v>
      </c>
      <c r="Z9" s="72"/>
    </row>
    <row r="10" spans="1:26">
      <c r="A10" s="53"/>
      <c r="B10" s="37">
        <v>3</v>
      </c>
      <c r="C10" s="37"/>
      <c r="D10" s="37">
        <v>965</v>
      </c>
      <c r="E10" s="37"/>
      <c r="F10" s="48">
        <f ca="1" t="shared" si="0"/>
        <v>10814</v>
      </c>
      <c r="G10" s="49"/>
      <c r="H10" s="54">
        <f ca="1" t="shared" si="1"/>
        <v>9849</v>
      </c>
      <c r="I10" s="54"/>
      <c r="J10" s="39">
        <f ca="1">H4*20</f>
        <v>3880</v>
      </c>
      <c r="K10" s="39"/>
      <c r="L10" s="59">
        <f ca="1">47460+INT(16*RAND())*5</f>
        <v>47475</v>
      </c>
      <c r="M10" s="37">
        <f ca="1">+ROUND(M9-2+RAND()*4,0)</f>
        <v>32</v>
      </c>
      <c r="N10" s="37"/>
      <c r="O10" s="39">
        <f ca="1">ROUND((O8*0.9+O8*0.1*RAND()),0)</f>
        <v>11</v>
      </c>
      <c r="P10" s="39"/>
      <c r="Q10" s="39"/>
      <c r="R10" s="39">
        <f ca="1">$R$8*0.9+INT(0.1*$R$8*RAND())</f>
        <v>32.4</v>
      </c>
      <c r="S10" s="39"/>
      <c r="T10" s="58">
        <f ca="1" t="shared" si="2"/>
        <v>4</v>
      </c>
      <c r="U10" s="37"/>
      <c r="V10" s="37"/>
      <c r="W10" s="39"/>
      <c r="Y10" s="36">
        <f ca="1" t="shared" si="3"/>
        <v>34</v>
      </c>
      <c r="Z10" s="72"/>
    </row>
    <row r="11" spans="1:26">
      <c r="A11" s="37" t="s">
        <v>309</v>
      </c>
      <c r="B11" s="37">
        <v>1</v>
      </c>
      <c r="C11" s="37"/>
      <c r="D11" s="37">
        <v>965</v>
      </c>
      <c r="E11" s="37"/>
      <c r="F11" s="48">
        <f ca="1" t="shared" si="0"/>
        <v>10808</v>
      </c>
      <c r="G11" s="49"/>
      <c r="H11" s="54">
        <f ca="1" t="shared" si="1"/>
        <v>9843</v>
      </c>
      <c r="I11" s="54"/>
      <c r="J11" s="39">
        <f ca="1">M2*20</f>
        <v>2900</v>
      </c>
      <c r="K11" s="39"/>
      <c r="L11" s="59">
        <f ca="1">46360+INT(16*RAND())*5</f>
        <v>46420</v>
      </c>
      <c r="M11" s="37">
        <f ca="1">+RANDBETWEEN(1,3)</f>
        <v>3</v>
      </c>
      <c r="N11" s="37"/>
      <c r="O11" s="39">
        <f ca="1">3+ROUND(2*RAND(),0)</f>
        <v>3</v>
      </c>
      <c r="P11" s="39"/>
      <c r="Q11" s="39"/>
      <c r="R11" s="39">
        <f ca="1">23+INT(5*RAND())</f>
        <v>23</v>
      </c>
      <c r="S11" s="39"/>
      <c r="T11" s="58">
        <f ca="1" t="shared" si="2"/>
        <v>0.5</v>
      </c>
      <c r="U11" s="56">
        <f ca="1">ROUND(AVERAGE(T11:T13),1)</f>
        <v>0.4</v>
      </c>
      <c r="V11" s="37"/>
      <c r="W11" s="39"/>
      <c r="Y11" s="36">
        <f ca="1" t="shared" si="3"/>
        <v>13</v>
      </c>
      <c r="Z11" s="72">
        <f ca="1">+ROUND(AVERAGE(Y11:Y13),1)</f>
        <v>13.5</v>
      </c>
    </row>
    <row r="12" spans="1:26">
      <c r="A12" s="37"/>
      <c r="B12" s="37">
        <v>2</v>
      </c>
      <c r="C12" s="37"/>
      <c r="D12" s="37">
        <v>965</v>
      </c>
      <c r="E12" s="37"/>
      <c r="F12" s="48">
        <f ca="1" t="shared" si="0"/>
        <v>10812</v>
      </c>
      <c r="G12" s="49"/>
      <c r="H12" s="54">
        <f ca="1" t="shared" si="1"/>
        <v>9847</v>
      </c>
      <c r="I12" s="54"/>
      <c r="J12" s="39">
        <f ca="1">M3*20</f>
        <v>2880</v>
      </c>
      <c r="K12" s="39"/>
      <c r="L12" s="59">
        <f ca="1">46360+INT(16*RAND())*5</f>
        <v>46415</v>
      </c>
      <c r="M12" s="37">
        <f ca="1">+ROUND(M11-1+RAND(),0)</f>
        <v>2</v>
      </c>
      <c r="N12" s="37"/>
      <c r="O12" s="39">
        <f ca="1">ROUND((O11*0.9+0.1*O11*RAND()),0)</f>
        <v>3</v>
      </c>
      <c r="P12" s="39"/>
      <c r="Q12" s="39"/>
      <c r="R12" s="39">
        <f ca="1">$R$11*0.9+INT(0.1*$R$11*RAND())</f>
        <v>21.7</v>
      </c>
      <c r="S12" s="39"/>
      <c r="T12" s="58">
        <f ca="1" t="shared" si="2"/>
        <v>0.3</v>
      </c>
      <c r="U12" s="37"/>
      <c r="V12" s="37"/>
      <c r="W12" s="39"/>
      <c r="Y12" s="36">
        <f ca="1" t="shared" si="3"/>
        <v>13.8</v>
      </c>
      <c r="Z12" s="72"/>
    </row>
    <row r="13" spans="1:26">
      <c r="A13" s="37"/>
      <c r="B13" s="37">
        <v>3</v>
      </c>
      <c r="C13" s="37"/>
      <c r="D13" s="37">
        <v>965</v>
      </c>
      <c r="E13" s="37"/>
      <c r="F13" s="48">
        <f ca="1" t="shared" si="0"/>
        <v>10798</v>
      </c>
      <c r="G13" s="49"/>
      <c r="H13" s="54">
        <f ca="1" t="shared" si="1"/>
        <v>9833</v>
      </c>
      <c r="I13" s="54"/>
      <c r="J13" s="39">
        <f ca="1">M4*20</f>
        <v>2880</v>
      </c>
      <c r="K13" s="39"/>
      <c r="L13" s="59">
        <f ca="1">46360+INT(16*RAND())*5</f>
        <v>46415</v>
      </c>
      <c r="M13" s="37">
        <f ca="1">+ROUND(M11-1+RAND()*2,0)</f>
        <v>3</v>
      </c>
      <c r="N13" s="37"/>
      <c r="O13" s="39">
        <f ca="1">ROUND((O11*0.9+0.1*O11*RAND()),0)</f>
        <v>3</v>
      </c>
      <c r="P13" s="39"/>
      <c r="Q13" s="39"/>
      <c r="R13" s="39">
        <f ca="1">$R$11*0.9+INT(0.1*$R$11*RAND())</f>
        <v>21.7</v>
      </c>
      <c r="S13" s="39"/>
      <c r="T13" s="58">
        <f ca="1" t="shared" si="2"/>
        <v>0.5</v>
      </c>
      <c r="U13" s="37"/>
      <c r="V13" s="37"/>
      <c r="W13" s="39"/>
      <c r="Y13" s="36">
        <f ca="1" t="shared" si="3"/>
        <v>13.8</v>
      </c>
      <c r="Z13" s="72"/>
    </row>
    <row r="14" spans="1:23">
      <c r="A14" s="55" t="s">
        <v>310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</row>
    <row r="15" spans="1:23">
      <c r="A15" s="37" t="s">
        <v>311</v>
      </c>
      <c r="B15" s="37"/>
      <c r="C15" s="37"/>
      <c r="D15" s="37"/>
      <c r="E15" s="37"/>
      <c r="F15" s="37"/>
      <c r="G15" s="37"/>
      <c r="H15" s="37" t="s">
        <v>312</v>
      </c>
      <c r="I15" s="37"/>
      <c r="J15" s="37"/>
      <c r="K15" s="37"/>
      <c r="L15" s="37"/>
      <c r="M15" s="37"/>
      <c r="N15" s="37"/>
      <c r="O15" s="37"/>
      <c r="P15" s="37" t="s">
        <v>313</v>
      </c>
      <c r="Q15" s="37"/>
      <c r="R15" s="37"/>
      <c r="S15" s="37"/>
      <c r="T15" s="37"/>
      <c r="U15" s="37"/>
      <c r="V15" s="37"/>
      <c r="W15" s="37"/>
    </row>
    <row r="16" spans="1:23">
      <c r="A16" s="37"/>
      <c r="B16" s="37"/>
      <c r="C16" s="37"/>
      <c r="D16" s="37"/>
      <c r="E16" s="37"/>
      <c r="F16" s="37"/>
      <c r="G16" s="37"/>
      <c r="H16" s="37">
        <v>1</v>
      </c>
      <c r="I16" s="37"/>
      <c r="J16" s="37">
        <v>2</v>
      </c>
      <c r="K16" s="37"/>
      <c r="L16" s="37">
        <v>3</v>
      </c>
      <c r="M16" s="37"/>
      <c r="N16" s="37" t="s">
        <v>73</v>
      </c>
      <c r="O16" s="37"/>
      <c r="P16" s="37"/>
      <c r="Q16" s="37"/>
      <c r="R16" s="37"/>
      <c r="S16" s="37"/>
      <c r="T16" s="37"/>
      <c r="U16" s="37"/>
      <c r="V16" s="37"/>
      <c r="W16" s="37"/>
    </row>
    <row r="17" spans="1:23">
      <c r="A17" s="56">
        <v>0.6</v>
      </c>
      <c r="B17" s="56"/>
      <c r="C17" s="56"/>
      <c r="D17" s="56"/>
      <c r="E17" s="56"/>
      <c r="F17" s="56"/>
      <c r="G17" s="56"/>
      <c r="H17" s="57">
        <f ca="1">A17+2.5+ROUND(0.6*RAND(),1)</f>
        <v>3.5</v>
      </c>
      <c r="I17" s="57"/>
      <c r="J17" s="57">
        <f ca="1">H17-0.2+ROUND(0.4*RAND(),1)</f>
        <v>3.6</v>
      </c>
      <c r="K17" s="57"/>
      <c r="L17" s="57">
        <f ca="1">H17-0.2+ROUND(0.4*RAND(),1)</f>
        <v>3.5</v>
      </c>
      <c r="M17" s="57"/>
      <c r="N17" s="56">
        <f ca="1">AVERAGE(H17:M17)</f>
        <v>3.53333333333333</v>
      </c>
      <c r="O17" s="56"/>
      <c r="P17" s="56">
        <f ca="1">N17-A17</f>
        <v>2.93333333333333</v>
      </c>
      <c r="Q17" s="37"/>
      <c r="R17" s="37"/>
      <c r="S17" s="37"/>
      <c r="T17" s="37"/>
      <c r="U17" s="37"/>
      <c r="V17" s="37"/>
      <c r="W17" s="37"/>
    </row>
    <row r="18" spans="1:23">
      <c r="A18" s="55" t="s">
        <v>186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</row>
    <row r="19" spans="1:23">
      <c r="A19" s="37" t="s">
        <v>271</v>
      </c>
      <c r="B19" s="37" t="s">
        <v>314</v>
      </c>
      <c r="C19" s="37"/>
      <c r="D19" s="37" t="s">
        <v>315</v>
      </c>
      <c r="E19" s="37"/>
      <c r="F19" s="37" t="s">
        <v>316</v>
      </c>
      <c r="G19" s="37"/>
      <c r="H19" s="37" t="s">
        <v>317</v>
      </c>
      <c r="I19" s="37"/>
      <c r="J19" s="37"/>
      <c r="K19" s="37"/>
      <c r="L19" s="37" t="s">
        <v>318</v>
      </c>
      <c r="M19" s="37"/>
      <c r="N19" s="37"/>
      <c r="O19" s="37"/>
      <c r="P19" s="37"/>
      <c r="Q19" s="37"/>
      <c r="R19" s="37"/>
      <c r="S19" s="37" t="s">
        <v>319</v>
      </c>
      <c r="T19" s="37"/>
      <c r="U19" s="37"/>
      <c r="V19" s="37"/>
      <c r="W19" s="37"/>
    </row>
    <row r="20" spans="1:23">
      <c r="A20" s="37"/>
      <c r="B20" s="37"/>
      <c r="C20" s="37"/>
      <c r="D20" s="37"/>
      <c r="E20" s="37"/>
      <c r="F20" s="37"/>
      <c r="G20" s="37"/>
      <c r="H20" s="37">
        <v>1</v>
      </c>
      <c r="I20" s="37">
        <v>2</v>
      </c>
      <c r="J20" s="37"/>
      <c r="K20" s="37">
        <v>3</v>
      </c>
      <c r="L20" s="37">
        <v>1</v>
      </c>
      <c r="M20" s="37">
        <v>2</v>
      </c>
      <c r="N20" s="37"/>
      <c r="O20" s="37">
        <v>3</v>
      </c>
      <c r="P20" s="37"/>
      <c r="Q20" s="37" t="s">
        <v>269</v>
      </c>
      <c r="R20" s="37"/>
      <c r="S20" s="37" t="s">
        <v>320</v>
      </c>
      <c r="T20" s="37"/>
      <c r="U20" s="37" t="s">
        <v>95</v>
      </c>
      <c r="V20" s="65" t="s">
        <v>321</v>
      </c>
      <c r="W20" s="65" t="s">
        <v>96</v>
      </c>
    </row>
    <row r="21" spans="1:23">
      <c r="A21" s="37" t="s">
        <v>322</v>
      </c>
      <c r="B21" s="37"/>
      <c r="C21" s="37"/>
      <c r="D21" s="37">
        <v>1</v>
      </c>
      <c r="E21" s="37"/>
      <c r="F21" s="37" t="s">
        <v>323</v>
      </c>
      <c r="G21" s="37"/>
      <c r="H21" s="58">
        <f ca="1">353+ROUND(5*RAND(),1)</f>
        <v>355.7</v>
      </c>
      <c r="I21" s="58">
        <f ca="1">H21*0.9+ROUND(H21*0.1*RAND(),1)</f>
        <v>334.23</v>
      </c>
      <c r="J21" s="58"/>
      <c r="K21" s="58">
        <f ca="1">H21*0.9+ROUND(H21*0.1*RAND(),1)</f>
        <v>354.03</v>
      </c>
      <c r="L21" s="58">
        <f ca="1" t="shared" ref="L21:M28" si="4">ROUND(H21/22.5,1)</f>
        <v>15.8</v>
      </c>
      <c r="M21" s="60">
        <f ca="1" t="shared" si="4"/>
        <v>14.9</v>
      </c>
      <c r="N21" s="61"/>
      <c r="O21" s="60">
        <f ca="1" t="shared" ref="O21:O28" si="5">ROUND(K21/22.5,1)</f>
        <v>15.7</v>
      </c>
      <c r="P21" s="61"/>
      <c r="Q21" s="60">
        <f ca="1" t="shared" ref="Q21:Q28" si="6">ROUND(AVERAGE(L21:P21),1)</f>
        <v>15.5</v>
      </c>
      <c r="R21" s="61"/>
      <c r="S21" s="66">
        <f ca="1">ROUND(Q21*100/Q25,0)</f>
        <v>172</v>
      </c>
      <c r="T21" s="66"/>
      <c r="U21" s="67">
        <f ca="1">ROUND(Q22*100/Q26,0)</f>
        <v>163</v>
      </c>
      <c r="V21" s="68">
        <f ca="1">ROUND(Q23*100/Q27,0)</f>
        <v>155</v>
      </c>
      <c r="W21" s="69">
        <f ca="1">ROUND(Q24*100/Q28,0)</f>
        <v>140</v>
      </c>
    </row>
    <row r="22" spans="1:23">
      <c r="A22" s="37"/>
      <c r="B22" s="37"/>
      <c r="C22" s="37"/>
      <c r="D22" s="37">
        <v>3</v>
      </c>
      <c r="E22" s="37"/>
      <c r="F22" s="37"/>
      <c r="G22" s="37"/>
      <c r="H22" s="58">
        <f ca="1">605+ROUND(5*RAND(),1)</f>
        <v>607</v>
      </c>
      <c r="I22" s="58">
        <f ca="1" t="shared" ref="I22:I28" si="7">H22*0.9+ROUND(H22*0.1*RAND(),1)</f>
        <v>586.2</v>
      </c>
      <c r="J22" s="58"/>
      <c r="K22" s="58">
        <f ca="1" t="shared" ref="K22:K28" si="8">H22*0.9+ROUND(H22*0.1*RAND(),1)</f>
        <v>575.8</v>
      </c>
      <c r="L22" s="58">
        <f ca="1" t="shared" si="4"/>
        <v>27</v>
      </c>
      <c r="M22" s="60">
        <f ca="1" t="shared" si="4"/>
        <v>26.1</v>
      </c>
      <c r="N22" s="61"/>
      <c r="O22" s="60">
        <f ca="1" t="shared" si="5"/>
        <v>25.6</v>
      </c>
      <c r="P22" s="61"/>
      <c r="Q22" s="60">
        <f ca="1" t="shared" si="6"/>
        <v>26.2</v>
      </c>
      <c r="R22" s="61"/>
      <c r="S22" s="66"/>
      <c r="T22" s="66"/>
      <c r="U22" s="67"/>
      <c r="V22" s="68"/>
      <c r="W22" s="69"/>
    </row>
    <row r="23" spans="1:23">
      <c r="A23" s="37"/>
      <c r="B23" s="37"/>
      <c r="C23" s="37"/>
      <c r="D23" s="37">
        <v>7</v>
      </c>
      <c r="E23" s="37"/>
      <c r="F23" s="37"/>
      <c r="G23" s="37"/>
      <c r="H23" s="58">
        <f ca="1">850+ROUND(5*RAND(),1)</f>
        <v>854.9</v>
      </c>
      <c r="I23" s="58">
        <f ca="1" t="shared" si="7"/>
        <v>781.61</v>
      </c>
      <c r="J23" s="58"/>
      <c r="K23" s="58">
        <f ca="1" t="shared" si="8"/>
        <v>809.91</v>
      </c>
      <c r="L23" s="58">
        <f ca="1">ROUND(H23/22.5,1)</f>
        <v>38</v>
      </c>
      <c r="M23" s="60">
        <f ca="1" t="shared" si="4"/>
        <v>34.7</v>
      </c>
      <c r="N23" s="61"/>
      <c r="O23" s="60">
        <f ca="1" t="shared" si="5"/>
        <v>36</v>
      </c>
      <c r="P23" s="61"/>
      <c r="Q23" s="60">
        <f ca="1" t="shared" si="6"/>
        <v>36.2</v>
      </c>
      <c r="R23" s="61"/>
      <c r="S23" s="66"/>
      <c r="T23" s="66"/>
      <c r="U23" s="67"/>
      <c r="V23" s="68"/>
      <c r="W23" s="69"/>
    </row>
    <row r="24" spans="1:23">
      <c r="A24" s="37"/>
      <c r="B24" s="37"/>
      <c r="C24" s="37"/>
      <c r="D24" s="37">
        <v>28</v>
      </c>
      <c r="E24" s="37"/>
      <c r="F24" s="37"/>
      <c r="G24" s="37"/>
      <c r="H24" s="58">
        <f ca="1">1100+ROUND(5*RAND(),1)</f>
        <v>1103.3</v>
      </c>
      <c r="I24" s="58">
        <f ca="1" t="shared" si="7"/>
        <v>1073.17</v>
      </c>
      <c r="J24" s="58"/>
      <c r="K24" s="58">
        <f ca="1" t="shared" si="8"/>
        <v>1026.07</v>
      </c>
      <c r="L24" s="58">
        <f ca="1" t="shared" si="4"/>
        <v>49</v>
      </c>
      <c r="M24" s="60">
        <f ca="1" t="shared" si="4"/>
        <v>47.7</v>
      </c>
      <c r="N24" s="61"/>
      <c r="O24" s="60">
        <f ca="1" t="shared" si="5"/>
        <v>45.6</v>
      </c>
      <c r="P24" s="61"/>
      <c r="Q24" s="60">
        <f ca="1" t="shared" si="6"/>
        <v>47.4</v>
      </c>
      <c r="R24" s="61"/>
      <c r="S24" s="66"/>
      <c r="T24" s="66"/>
      <c r="U24" s="67"/>
      <c r="V24" s="68"/>
      <c r="W24" s="69"/>
    </row>
    <row r="25" spans="1:23">
      <c r="A25" s="37" t="s">
        <v>324</v>
      </c>
      <c r="B25" s="37"/>
      <c r="C25" s="37"/>
      <c r="D25" s="37">
        <v>1</v>
      </c>
      <c r="E25" s="37"/>
      <c r="F25" s="37" t="s">
        <v>323</v>
      </c>
      <c r="G25" s="37"/>
      <c r="H25" s="58">
        <f ca="1">206+ROUND(5*RAND(),1)</f>
        <v>210</v>
      </c>
      <c r="I25" s="58">
        <f ca="1" t="shared" si="7"/>
        <v>196.7</v>
      </c>
      <c r="J25" s="58"/>
      <c r="K25" s="58">
        <f ca="1" t="shared" si="8"/>
        <v>203.9</v>
      </c>
      <c r="L25" s="58">
        <f ca="1" t="shared" si="4"/>
        <v>9.3</v>
      </c>
      <c r="M25" s="60">
        <f ca="1" t="shared" si="4"/>
        <v>8.7</v>
      </c>
      <c r="N25" s="61"/>
      <c r="O25" s="60">
        <f ca="1" t="shared" si="5"/>
        <v>9.1</v>
      </c>
      <c r="P25" s="61"/>
      <c r="Q25" s="60">
        <f ca="1" t="shared" si="6"/>
        <v>9</v>
      </c>
      <c r="R25" s="61"/>
      <c r="S25" s="66"/>
      <c r="T25" s="66"/>
      <c r="U25" s="67"/>
      <c r="V25" s="68"/>
      <c r="W25" s="69"/>
    </row>
    <row r="26" spans="1:23">
      <c r="A26" s="37"/>
      <c r="B26" s="37"/>
      <c r="C26" s="37"/>
      <c r="D26" s="37">
        <v>3</v>
      </c>
      <c r="E26" s="37"/>
      <c r="F26" s="37"/>
      <c r="G26" s="37"/>
      <c r="H26" s="58">
        <f ca="1">370+ROUND(5*RAND(),1)</f>
        <v>373.9</v>
      </c>
      <c r="I26" s="58">
        <f ca="1" t="shared" si="7"/>
        <v>364.21</v>
      </c>
      <c r="J26" s="58"/>
      <c r="K26" s="58">
        <f ca="1" t="shared" si="8"/>
        <v>348.91</v>
      </c>
      <c r="L26" s="58">
        <f ca="1" t="shared" si="4"/>
        <v>16.6</v>
      </c>
      <c r="M26" s="60">
        <f ca="1" t="shared" si="4"/>
        <v>16.2</v>
      </c>
      <c r="N26" s="61"/>
      <c r="O26" s="60">
        <f ca="1" t="shared" si="5"/>
        <v>15.5</v>
      </c>
      <c r="P26" s="61"/>
      <c r="Q26" s="60">
        <f ca="1" t="shared" si="6"/>
        <v>16.1</v>
      </c>
      <c r="R26" s="61"/>
      <c r="S26" s="66"/>
      <c r="T26" s="66"/>
      <c r="U26" s="67"/>
      <c r="V26" s="68"/>
      <c r="W26" s="69"/>
    </row>
    <row r="27" spans="1:23">
      <c r="A27" s="37"/>
      <c r="B27" s="37"/>
      <c r="C27" s="37"/>
      <c r="D27" s="37">
        <v>7</v>
      </c>
      <c r="E27" s="37"/>
      <c r="F27" s="37"/>
      <c r="G27" s="37"/>
      <c r="H27" s="58">
        <f ca="1">560+ROUND(5*RAND(),1)</f>
        <v>562.1</v>
      </c>
      <c r="I27" s="58">
        <f ca="1" t="shared" si="7"/>
        <v>507.29</v>
      </c>
      <c r="J27" s="58"/>
      <c r="K27" s="58">
        <f ca="1" t="shared" si="8"/>
        <v>506.89</v>
      </c>
      <c r="L27" s="58">
        <f ca="1" t="shared" si="4"/>
        <v>25</v>
      </c>
      <c r="M27" s="60">
        <f ca="1" t="shared" si="4"/>
        <v>22.5</v>
      </c>
      <c r="N27" s="61"/>
      <c r="O27" s="60">
        <f ca="1" t="shared" si="5"/>
        <v>22.5</v>
      </c>
      <c r="P27" s="61"/>
      <c r="Q27" s="60">
        <f ca="1" t="shared" si="6"/>
        <v>23.3</v>
      </c>
      <c r="R27" s="61"/>
      <c r="S27" s="66"/>
      <c r="T27" s="66"/>
      <c r="U27" s="67"/>
      <c r="V27" s="68"/>
      <c r="W27" s="69"/>
    </row>
    <row r="28" spans="1:23">
      <c r="A28" s="37"/>
      <c r="B28" s="37"/>
      <c r="C28" s="37"/>
      <c r="D28" s="37">
        <v>28</v>
      </c>
      <c r="E28" s="37"/>
      <c r="F28" s="37"/>
      <c r="G28" s="37"/>
      <c r="H28" s="58">
        <f ca="1">780+ROUND(5*RAND(),1)</f>
        <v>784.4</v>
      </c>
      <c r="I28" s="58">
        <f ca="1" t="shared" si="7"/>
        <v>759.36</v>
      </c>
      <c r="J28" s="58"/>
      <c r="K28" s="58">
        <f ca="1" t="shared" si="8"/>
        <v>744.96</v>
      </c>
      <c r="L28" s="58">
        <f ca="1" t="shared" si="4"/>
        <v>34.9</v>
      </c>
      <c r="M28" s="60">
        <f ca="1" t="shared" si="4"/>
        <v>33.7</v>
      </c>
      <c r="N28" s="61"/>
      <c r="O28" s="60">
        <f ca="1" t="shared" si="5"/>
        <v>33.1</v>
      </c>
      <c r="P28" s="61"/>
      <c r="Q28" s="60">
        <f ca="1" t="shared" si="6"/>
        <v>33.9</v>
      </c>
      <c r="R28" s="61"/>
      <c r="S28" s="66"/>
      <c r="T28" s="66"/>
      <c r="U28" s="67"/>
      <c r="V28" s="68"/>
      <c r="W28" s="69"/>
    </row>
  </sheetData>
  <mergeCells count="168">
    <mergeCell ref="H1:L1"/>
    <mergeCell ref="M1:S1"/>
    <mergeCell ref="T1:U1"/>
    <mergeCell ref="V1:W1"/>
    <mergeCell ref="H2:L2"/>
    <mergeCell ref="M2:S2"/>
    <mergeCell ref="T2:U2"/>
    <mergeCell ref="H3:L3"/>
    <mergeCell ref="M3:S3"/>
    <mergeCell ref="T3:U3"/>
    <mergeCell ref="H4:L4"/>
    <mergeCell ref="M4:S4"/>
    <mergeCell ref="T4:U4"/>
    <mergeCell ref="F5:G5"/>
    <mergeCell ref="H5:I5"/>
    <mergeCell ref="J5:K5"/>
    <mergeCell ref="M5:S5"/>
    <mergeCell ref="V5:W5"/>
    <mergeCell ref="F6:G6"/>
    <mergeCell ref="H6:I6"/>
    <mergeCell ref="J6:K6"/>
    <mergeCell ref="M6:N6"/>
    <mergeCell ref="O6:S6"/>
    <mergeCell ref="V6:W6"/>
    <mergeCell ref="F7:G7"/>
    <mergeCell ref="H7:I7"/>
    <mergeCell ref="J7:K7"/>
    <mergeCell ref="M7:N7"/>
    <mergeCell ref="O7:Q7"/>
    <mergeCell ref="R7:S7"/>
    <mergeCell ref="B8:C8"/>
    <mergeCell ref="D8:E8"/>
    <mergeCell ref="F8:G8"/>
    <mergeCell ref="H8:I8"/>
    <mergeCell ref="J8:K8"/>
    <mergeCell ref="M8:N8"/>
    <mergeCell ref="O8:Q8"/>
    <mergeCell ref="R8:S8"/>
    <mergeCell ref="B9:C9"/>
    <mergeCell ref="D9:E9"/>
    <mergeCell ref="F9:G9"/>
    <mergeCell ref="H9:I9"/>
    <mergeCell ref="J9:K9"/>
    <mergeCell ref="M9:N9"/>
    <mergeCell ref="O9:Q9"/>
    <mergeCell ref="R9:S9"/>
    <mergeCell ref="B10:C10"/>
    <mergeCell ref="D10:E10"/>
    <mergeCell ref="F10:G10"/>
    <mergeCell ref="H10:I10"/>
    <mergeCell ref="J10:K10"/>
    <mergeCell ref="M10:N10"/>
    <mergeCell ref="O10:Q10"/>
    <mergeCell ref="R10:S10"/>
    <mergeCell ref="B11:C11"/>
    <mergeCell ref="D11:E11"/>
    <mergeCell ref="F11:G11"/>
    <mergeCell ref="H11:I11"/>
    <mergeCell ref="J11:K11"/>
    <mergeCell ref="M11:N11"/>
    <mergeCell ref="O11:Q11"/>
    <mergeCell ref="R11:S11"/>
    <mergeCell ref="B12:C12"/>
    <mergeCell ref="D12:E12"/>
    <mergeCell ref="F12:G12"/>
    <mergeCell ref="H12:I12"/>
    <mergeCell ref="J12:K12"/>
    <mergeCell ref="M12:N12"/>
    <mergeCell ref="O12:Q12"/>
    <mergeCell ref="R12:S12"/>
    <mergeCell ref="B13:C13"/>
    <mergeCell ref="D13:E13"/>
    <mergeCell ref="F13:G13"/>
    <mergeCell ref="H13:I13"/>
    <mergeCell ref="J13:K13"/>
    <mergeCell ref="M13:N13"/>
    <mergeCell ref="O13:Q13"/>
    <mergeCell ref="R13:S13"/>
    <mergeCell ref="A14:W14"/>
    <mergeCell ref="H15:O15"/>
    <mergeCell ref="H16:I16"/>
    <mergeCell ref="J16:K16"/>
    <mergeCell ref="L16:M16"/>
    <mergeCell ref="N16:O16"/>
    <mergeCell ref="A17:G17"/>
    <mergeCell ref="H17:I17"/>
    <mergeCell ref="J17:K17"/>
    <mergeCell ref="L17:M17"/>
    <mergeCell ref="N17:O17"/>
    <mergeCell ref="P17:W17"/>
    <mergeCell ref="A18:W18"/>
    <mergeCell ref="H19:K19"/>
    <mergeCell ref="L19:R19"/>
    <mergeCell ref="S19:W19"/>
    <mergeCell ref="I20:J20"/>
    <mergeCell ref="M20:N20"/>
    <mergeCell ref="O20:P20"/>
    <mergeCell ref="Q20:R20"/>
    <mergeCell ref="S20:T20"/>
    <mergeCell ref="D21:E21"/>
    <mergeCell ref="I21:J21"/>
    <mergeCell ref="M21:N21"/>
    <mergeCell ref="O21:P21"/>
    <mergeCell ref="Q21:R21"/>
    <mergeCell ref="D22:E22"/>
    <mergeCell ref="I22:J22"/>
    <mergeCell ref="M22:N22"/>
    <mergeCell ref="O22:P22"/>
    <mergeCell ref="Q22:R22"/>
    <mergeCell ref="D23:E23"/>
    <mergeCell ref="I23:J23"/>
    <mergeCell ref="M23:N23"/>
    <mergeCell ref="O23:P23"/>
    <mergeCell ref="Q23:R23"/>
    <mergeCell ref="D24:E24"/>
    <mergeCell ref="I24:J24"/>
    <mergeCell ref="M24:N24"/>
    <mergeCell ref="O24:P24"/>
    <mergeCell ref="Q24:R24"/>
    <mergeCell ref="D25:E25"/>
    <mergeCell ref="I25:J25"/>
    <mergeCell ref="M25:N25"/>
    <mergeCell ref="O25:P25"/>
    <mergeCell ref="Q25:R25"/>
    <mergeCell ref="D26:E26"/>
    <mergeCell ref="I26:J26"/>
    <mergeCell ref="M26:N26"/>
    <mergeCell ref="O26:P26"/>
    <mergeCell ref="Q26:R26"/>
    <mergeCell ref="D27:E27"/>
    <mergeCell ref="I27:J27"/>
    <mergeCell ref="M27:N27"/>
    <mergeCell ref="O27:P27"/>
    <mergeCell ref="Q27:R27"/>
    <mergeCell ref="D28:E28"/>
    <mergeCell ref="I28:J28"/>
    <mergeCell ref="M28:N28"/>
    <mergeCell ref="O28:P28"/>
    <mergeCell ref="Q28:R28"/>
    <mergeCell ref="A8:A10"/>
    <mergeCell ref="A11:A13"/>
    <mergeCell ref="A19:A20"/>
    <mergeCell ref="A21:A24"/>
    <mergeCell ref="A25:A28"/>
    <mergeCell ref="U8:U10"/>
    <mergeCell ref="U11:U13"/>
    <mergeCell ref="U21:U28"/>
    <mergeCell ref="V8:V13"/>
    <mergeCell ref="V21:V28"/>
    <mergeCell ref="W8:W13"/>
    <mergeCell ref="W21:W28"/>
    <mergeCell ref="Z8:Z10"/>
    <mergeCell ref="Z11:Z13"/>
    <mergeCell ref="V2:W4"/>
    <mergeCell ref="A5:C7"/>
    <mergeCell ref="D5:E7"/>
    <mergeCell ref="A1:G4"/>
    <mergeCell ref="T5:U6"/>
    <mergeCell ref="A15:G16"/>
    <mergeCell ref="P15:W16"/>
    <mergeCell ref="B21:C24"/>
    <mergeCell ref="F21:G24"/>
    <mergeCell ref="B19:C20"/>
    <mergeCell ref="D19:E20"/>
    <mergeCell ref="F19:G20"/>
    <mergeCell ref="B25:C28"/>
    <mergeCell ref="F25:G28"/>
    <mergeCell ref="S21:T28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8"/>
  <sheetViews>
    <sheetView workbookViewId="0">
      <selection activeCell="G19" sqref="G19"/>
    </sheetView>
  </sheetViews>
  <sheetFormatPr defaultColWidth="9" defaultRowHeight="18" customHeight="1" outlineLevelRow="7" outlineLevelCol="5"/>
  <cols>
    <col min="2" max="3" width="14.5" style="32" customWidth="1"/>
    <col min="4" max="4" width="41.8796296296296" style="32" customWidth="1"/>
    <col min="5" max="5" width="8.62962962962963" style="32" customWidth="1"/>
  </cols>
  <sheetData>
    <row r="1" customHeight="1" spans="2:5">
      <c r="B1" s="33" t="s">
        <v>325</v>
      </c>
      <c r="C1" s="33" t="s">
        <v>326</v>
      </c>
      <c r="D1" s="33" t="s">
        <v>327</v>
      </c>
      <c r="E1" s="33" t="s">
        <v>328</v>
      </c>
    </row>
    <row r="2" customHeight="1" spans="2:5">
      <c r="B2" s="33">
        <v>1</v>
      </c>
      <c r="C2" s="33">
        <v>144.5</v>
      </c>
      <c r="D2" s="33" t="s">
        <v>329</v>
      </c>
      <c r="E2" s="33">
        <f>+ROUND(C2,0)-(MOD(C2*10,20)=5)</f>
        <v>144</v>
      </c>
    </row>
    <row r="3" customHeight="1" spans="2:5">
      <c r="B3" s="33">
        <v>2</v>
      </c>
      <c r="C3" s="33">
        <v>252.5</v>
      </c>
      <c r="D3" s="33" t="s">
        <v>330</v>
      </c>
      <c r="E3" s="33">
        <f>+(ROUND(C3*0.5,0)-(MOD(C3*5,20)=5))/0.5</f>
        <v>252</v>
      </c>
    </row>
    <row r="4" customHeight="1" spans="2:5">
      <c r="B4" s="33">
        <v>5</v>
      </c>
      <c r="C4" s="33">
        <v>23.75</v>
      </c>
      <c r="D4" s="33" t="s">
        <v>331</v>
      </c>
      <c r="E4" s="33">
        <f>+(ROUND(C4*0.2,0)-(MOD(C4*2,20)=5))/0.2</f>
        <v>25</v>
      </c>
    </row>
    <row r="5" customHeight="1" spans="2:5">
      <c r="B5" s="33">
        <v>10</v>
      </c>
      <c r="C5" s="33">
        <v>175.5</v>
      </c>
      <c r="D5" s="33" t="s">
        <v>332</v>
      </c>
      <c r="E5" s="33">
        <f>+(ROUND(C5/10,0)-(MOD(C5,20)=5))*10</f>
        <v>180</v>
      </c>
    </row>
    <row r="6" customHeight="1" spans="2:6">
      <c r="B6" s="33">
        <v>0.1</v>
      </c>
      <c r="C6" s="34">
        <v>157.85</v>
      </c>
      <c r="D6" s="34" t="s">
        <v>333</v>
      </c>
      <c r="E6" s="35">
        <f>+(ROUND(C6*10,0)-(MOD(C6*100,20)=5))/10</f>
        <v>157.8</v>
      </c>
      <c r="F6">
        <f>+ROUND(C6,1)-(MOD(C6*100,20)=5)/10</f>
        <v>157.8</v>
      </c>
    </row>
    <row r="7" customHeight="1" spans="2:5">
      <c r="B7" s="33">
        <v>0.01</v>
      </c>
      <c r="C7" s="33">
        <v>154.465</v>
      </c>
      <c r="D7" s="33" t="s">
        <v>334</v>
      </c>
      <c r="E7" s="33">
        <f>+(ROUND(C7*100,0)-(MOD(C7*1000,20)=5))/100</f>
        <v>154.46</v>
      </c>
    </row>
    <row r="8" customHeight="1" spans="2:5">
      <c r="B8" s="33">
        <v>0.001</v>
      </c>
      <c r="C8" s="33">
        <v>166.7845</v>
      </c>
      <c r="D8" s="33" t="s">
        <v>335</v>
      </c>
      <c r="E8" s="33">
        <f>+(ROUND(C8*1000,0)-(MOD(C8*10000,20)=5))/1000</f>
        <v>166.784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499984740745262"/>
  </sheetPr>
  <dimension ref="A2:I28"/>
  <sheetViews>
    <sheetView tabSelected="1" workbookViewId="0">
      <selection activeCell="K16" sqref="K16"/>
    </sheetView>
  </sheetViews>
  <sheetFormatPr defaultColWidth="9" defaultRowHeight="14.4"/>
  <cols>
    <col min="1" max="1" width="10.75" customWidth="1"/>
    <col min="2" max="2" width="13.6296296296296" customWidth="1"/>
    <col min="3" max="3" width="10.6296296296296" style="2" customWidth="1"/>
    <col min="4" max="4" width="9.75" style="3" customWidth="1"/>
    <col min="5" max="5" width="10.3796296296296" style="3" customWidth="1"/>
    <col min="7" max="7" width="9" style="4"/>
    <col min="9" max="9" width="9" style="4"/>
  </cols>
  <sheetData>
    <row r="2" ht="36" spans="5:6">
      <c r="E2" s="5" t="s">
        <v>336</v>
      </c>
      <c r="F2" s="6">
        <f>+ROUND((D13+D26)/2,1)-(MOD((D13+D26)/2*100,20)=5)/10</f>
        <v>2.6</v>
      </c>
    </row>
    <row r="3" s="1" customFormat="1" ht="24" spans="1:5">
      <c r="A3" s="7" t="s">
        <v>337</v>
      </c>
      <c r="B3" s="8">
        <v>501.2</v>
      </c>
      <c r="C3" s="9"/>
      <c r="D3" s="9"/>
      <c r="E3" s="9"/>
    </row>
    <row r="4" spans="1:1">
      <c r="A4" s="10" t="s">
        <v>338</v>
      </c>
    </row>
    <row r="5" ht="28.8" spans="1:6">
      <c r="A5" s="11" t="s">
        <v>339</v>
      </c>
      <c r="B5" s="12" t="s">
        <v>340</v>
      </c>
      <c r="C5" s="13" t="s">
        <v>341</v>
      </c>
      <c r="D5" s="14" t="s">
        <v>342</v>
      </c>
      <c r="E5" s="14" t="s">
        <v>343</v>
      </c>
      <c r="F5" s="15" t="s">
        <v>344</v>
      </c>
    </row>
    <row r="6" spans="1:9">
      <c r="A6" s="16">
        <v>11.4</v>
      </c>
      <c r="B6" s="17">
        <f t="array" ref="B6:B12">+ROUND(A6:A12/B3*100,1)</f>
        <v>2.3</v>
      </c>
      <c r="C6" s="18">
        <f>+ROUND(B6,0)</f>
        <v>2</v>
      </c>
      <c r="D6" s="18">
        <v>0</v>
      </c>
      <c r="E6" s="18">
        <v>10</v>
      </c>
      <c r="F6" s="19" t="str">
        <f>+IF(C6&lt;=E6,"合格","不合格")</f>
        <v>合格</v>
      </c>
      <c r="G6" s="20">
        <v>4.75</v>
      </c>
      <c r="H6" s="21" t="s">
        <v>345</v>
      </c>
      <c r="I6" s="22">
        <v>0</v>
      </c>
    </row>
    <row r="7" spans="1:9">
      <c r="A7" s="16">
        <v>23.3</v>
      </c>
      <c r="B7" s="17">
        <v>4.6</v>
      </c>
      <c r="C7" s="18">
        <f>+ROUND(SUM(B6:B7),0)</f>
        <v>7</v>
      </c>
      <c r="D7" s="18">
        <v>0</v>
      </c>
      <c r="E7" s="18">
        <v>25</v>
      </c>
      <c r="F7" s="22" t="str">
        <f>IF(AND(C7&lt;=E7,C7&gt;=D7),"合格","不合格")</f>
        <v>合格</v>
      </c>
      <c r="G7" s="20">
        <v>2.36</v>
      </c>
      <c r="I7" s="22">
        <f>+IF(F7="不合格",(IF(C7&gt;E7,C7-E7,D7-C7)),0)</f>
        <v>0</v>
      </c>
    </row>
    <row r="8" spans="1:9">
      <c r="A8" s="16">
        <v>65.4</v>
      </c>
      <c r="B8" s="17">
        <v>13</v>
      </c>
      <c r="C8" s="18">
        <f>+ROUND(SUM(B6:B8),0)</f>
        <v>20</v>
      </c>
      <c r="D8" s="18">
        <v>10</v>
      </c>
      <c r="E8" s="18">
        <v>50</v>
      </c>
      <c r="F8" s="22" t="str">
        <f>IF(AND(C8&lt;=E8,C8&gt;=D8),"合格","不合格")</f>
        <v>合格</v>
      </c>
      <c r="G8" s="20">
        <v>1.18</v>
      </c>
      <c r="I8" s="22">
        <f>+IF(F8="不合格",(IF(C8&gt;E8,C8-E8,D8-C8)),0)</f>
        <v>0</v>
      </c>
    </row>
    <row r="9" spans="1:9">
      <c r="A9" s="16">
        <v>177.3</v>
      </c>
      <c r="B9" s="17">
        <v>35.4</v>
      </c>
      <c r="C9" s="18">
        <f>ROUND(SUM(B6:B9),0)</f>
        <v>55</v>
      </c>
      <c r="D9" s="18">
        <v>41</v>
      </c>
      <c r="E9" s="18">
        <v>70</v>
      </c>
      <c r="F9" s="23" t="str">
        <f>IF(AND(C9&lt;=E9,C9&gt;=D9),"合格","不合格")</f>
        <v>合格</v>
      </c>
      <c r="G9" s="20">
        <v>0.6</v>
      </c>
      <c r="H9" s="21" t="s">
        <v>345</v>
      </c>
      <c r="I9" s="22">
        <v>0</v>
      </c>
    </row>
    <row r="10" spans="1:9">
      <c r="A10" s="16">
        <v>141.5</v>
      </c>
      <c r="B10" s="17">
        <v>28.2</v>
      </c>
      <c r="C10" s="18">
        <f>+ROUND(SUM(B6:B10),0)</f>
        <v>84</v>
      </c>
      <c r="D10" s="18">
        <v>70</v>
      </c>
      <c r="E10" s="18">
        <v>92</v>
      </c>
      <c r="F10" s="22" t="str">
        <f>IF(AND(C10&lt;=E10,C10&gt;=D10),"合格","不合格")</f>
        <v>合格</v>
      </c>
      <c r="G10" s="20">
        <v>0.3</v>
      </c>
      <c r="I10" s="22">
        <f>+IF(F10="不合格",(IF(C10&gt;E10,C10-E10,D10-C10)),0)</f>
        <v>0</v>
      </c>
    </row>
    <row r="11" spans="1:9">
      <c r="A11" s="16">
        <v>74.9</v>
      </c>
      <c r="B11" s="17">
        <v>14.9</v>
      </c>
      <c r="C11" s="18">
        <f>+ROUND(SUM(B6:B11),0)</f>
        <v>98</v>
      </c>
      <c r="D11" s="18">
        <v>90</v>
      </c>
      <c r="E11" s="18">
        <v>100</v>
      </c>
      <c r="F11" s="22" t="str">
        <f>IF(AND(C11&lt;=E11,C11&gt;=D11),"合格","不合格")</f>
        <v>合格</v>
      </c>
      <c r="G11" s="20">
        <v>0.15</v>
      </c>
      <c r="I11" s="22">
        <f>+IF(F11="不合格",(IF(C11&gt;E11,C11-E11,D11-C11)),0)</f>
        <v>0</v>
      </c>
    </row>
    <row r="12" spans="1:6">
      <c r="A12" s="16">
        <v>3.9</v>
      </c>
      <c r="B12" s="17">
        <v>0.8</v>
      </c>
      <c r="C12" s="18"/>
      <c r="D12" s="6"/>
      <c r="E12" s="6"/>
      <c r="F12" s="24"/>
    </row>
    <row r="13" spans="1:9">
      <c r="A13" s="25" t="s">
        <v>346</v>
      </c>
      <c r="B13" s="6">
        <f>SUM(A6:A12)</f>
        <v>497.7</v>
      </c>
      <c r="C13" s="13" t="s">
        <v>347</v>
      </c>
      <c r="D13" s="26">
        <f>+ROUND((SUM(C7:C11)-C6*5)/(100-C6),2)</f>
        <v>2.59</v>
      </c>
      <c r="E13" s="26"/>
      <c r="F13" s="25" t="s">
        <v>348</v>
      </c>
      <c r="H13" s="22" t="s">
        <v>349</v>
      </c>
      <c r="I13" s="22">
        <f>+SUMIF(F6:F11,"不合格",I6:I11)</f>
        <v>0</v>
      </c>
    </row>
    <row r="14" spans="1:6">
      <c r="A14" s="25" t="s">
        <v>350</v>
      </c>
      <c r="B14" s="27">
        <f>+(500-B13)/500</f>
        <v>0.00459999999999991</v>
      </c>
      <c r="C14" s="18"/>
      <c r="D14" s="6"/>
      <c r="E14" s="6"/>
      <c r="F14" s="22" t="str">
        <f>+IF(COUNTIF(F6:F11,"合格")=6,"二区合格",IF(AND(F6="合格",F9="合格",I13&lt;=5),"二区合格","不合格"))</f>
        <v>二区合格</v>
      </c>
    </row>
    <row r="15" spans="2:3">
      <c r="B15" s="2"/>
      <c r="C15" s="28"/>
    </row>
    <row r="16" s="1" customFormat="1" ht="24" spans="1:5">
      <c r="A16" s="7" t="s">
        <v>337</v>
      </c>
      <c r="B16" s="8">
        <v>501.2</v>
      </c>
      <c r="C16" s="9"/>
      <c r="D16" s="9"/>
      <c r="E16" s="9"/>
    </row>
    <row r="17" spans="1:1">
      <c r="A17" s="10" t="s">
        <v>351</v>
      </c>
    </row>
    <row r="18" ht="28.8" spans="1:6">
      <c r="A18" s="11" t="s">
        <v>339</v>
      </c>
      <c r="B18" s="12" t="s">
        <v>340</v>
      </c>
      <c r="C18" s="13" t="s">
        <v>341</v>
      </c>
      <c r="D18" s="14" t="s">
        <v>342</v>
      </c>
      <c r="E18" s="14" t="s">
        <v>343</v>
      </c>
      <c r="F18" s="15" t="s">
        <v>344</v>
      </c>
    </row>
    <row r="19" spans="1:9">
      <c r="A19" s="16">
        <v>11.4</v>
      </c>
      <c r="B19" s="17">
        <f t="array" ref="B19:B25">+ROUND(A19:A25/B16*100,1)</f>
        <v>2.3</v>
      </c>
      <c r="C19" s="18">
        <f>+ROUND(B19,0)</f>
        <v>2</v>
      </c>
      <c r="D19" s="18">
        <v>0</v>
      </c>
      <c r="E19" s="18">
        <v>10</v>
      </c>
      <c r="F19" s="19" t="str">
        <f>+IF(C19&lt;=E19,"合格","不合格")</f>
        <v>合格</v>
      </c>
      <c r="G19" s="20">
        <v>4.75</v>
      </c>
      <c r="H19" s="21" t="s">
        <v>345</v>
      </c>
      <c r="I19" s="22">
        <v>0</v>
      </c>
    </row>
    <row r="20" spans="1:9">
      <c r="A20" s="16">
        <v>23.3</v>
      </c>
      <c r="B20" s="17">
        <v>4.6</v>
      </c>
      <c r="C20" s="18">
        <f>+ROUND(SUM(B19:B20),0)</f>
        <v>7</v>
      </c>
      <c r="D20" s="18">
        <v>0</v>
      </c>
      <c r="E20" s="18">
        <v>25</v>
      </c>
      <c r="F20" s="22" t="str">
        <f>IF(AND(C20&lt;=E20,C20&gt;=D20),"合格","不合格")</f>
        <v>合格</v>
      </c>
      <c r="G20" s="20">
        <v>2.36</v>
      </c>
      <c r="I20" s="22">
        <f>+IF(F20="不合格",(IF(C20&gt;E20,C20-E20,D20-C20)),0)</f>
        <v>0</v>
      </c>
    </row>
    <row r="21" spans="1:9">
      <c r="A21" s="16">
        <v>65.4</v>
      </c>
      <c r="B21" s="17">
        <v>13</v>
      </c>
      <c r="C21" s="18">
        <f>+ROUND(SUM(B19:B21),0)</f>
        <v>20</v>
      </c>
      <c r="D21" s="18">
        <v>10</v>
      </c>
      <c r="E21" s="18">
        <v>50</v>
      </c>
      <c r="F21" s="22" t="str">
        <f>IF(AND(C21&lt;=E21,C21&gt;=D21),"合格","不合格")</f>
        <v>合格</v>
      </c>
      <c r="G21" s="20">
        <v>1.18</v>
      </c>
      <c r="I21" s="22">
        <f>+IF(F21="不合格",(IF(C21&gt;E21,C21-E21,D21-C21)),0)</f>
        <v>0</v>
      </c>
    </row>
    <row r="22" spans="1:9">
      <c r="A22" s="16">
        <v>177.3</v>
      </c>
      <c r="B22" s="17">
        <v>35.4</v>
      </c>
      <c r="C22" s="18">
        <f>ROUND(SUM(B19:B22),0)</f>
        <v>55</v>
      </c>
      <c r="D22" s="18">
        <v>41</v>
      </c>
      <c r="E22" s="18">
        <v>70</v>
      </c>
      <c r="F22" s="23" t="str">
        <f>IF(AND(C22&lt;=E22,C22&gt;=D22),"合格","不合格")</f>
        <v>合格</v>
      </c>
      <c r="G22" s="20">
        <v>0.6</v>
      </c>
      <c r="H22" s="21" t="s">
        <v>345</v>
      </c>
      <c r="I22" s="22">
        <v>0</v>
      </c>
    </row>
    <row r="23" spans="1:9">
      <c r="A23" s="16">
        <v>141.5</v>
      </c>
      <c r="B23" s="17">
        <v>28.2</v>
      </c>
      <c r="C23" s="18">
        <f>+ROUND(SUM(B19:B23),0)</f>
        <v>84</v>
      </c>
      <c r="D23" s="18">
        <v>70</v>
      </c>
      <c r="E23" s="18">
        <v>92</v>
      </c>
      <c r="F23" s="22" t="str">
        <f>IF(AND(C23&lt;=E23,C23&gt;=D23),"合格","不合格")</f>
        <v>合格</v>
      </c>
      <c r="G23" s="20">
        <v>0.3</v>
      </c>
      <c r="I23" s="22">
        <f>+IF(F23="不合格",(IF(C23&gt;E23,C23-E23,D23-C23)),0)</f>
        <v>0</v>
      </c>
    </row>
    <row r="24" spans="1:9">
      <c r="A24" s="16">
        <v>74.9</v>
      </c>
      <c r="B24" s="17">
        <v>14.9</v>
      </c>
      <c r="C24" s="18">
        <f>+ROUND(SUM(B19:B24),0)</f>
        <v>98</v>
      </c>
      <c r="D24" s="18">
        <v>90</v>
      </c>
      <c r="E24" s="18">
        <v>100</v>
      </c>
      <c r="F24" s="22" t="str">
        <f>IF(AND(C24&lt;=E24,C24&gt;=D24),"合格","不合格")</f>
        <v>合格</v>
      </c>
      <c r="G24" s="20">
        <v>0.15</v>
      </c>
      <c r="I24" s="22">
        <f>+IF(F24="不合格",(IF(C24&gt;E24,C24-E24,D24-C24)),0)</f>
        <v>0</v>
      </c>
    </row>
    <row r="25" spans="1:6">
      <c r="A25" s="16">
        <v>3.9</v>
      </c>
      <c r="B25" s="17">
        <v>0.8</v>
      </c>
      <c r="C25" s="18"/>
      <c r="D25" s="6"/>
      <c r="E25" s="6"/>
      <c r="F25" s="24"/>
    </row>
    <row r="26" spans="1:9">
      <c r="A26" s="25" t="s">
        <v>346</v>
      </c>
      <c r="B26" s="6">
        <f>SUM(A19:A25)</f>
        <v>497.7</v>
      </c>
      <c r="C26" s="13" t="s">
        <v>347</v>
      </c>
      <c r="D26" s="26">
        <f>+ROUND((SUM(C20:C24)-C19*5)/(100-C19),2)</f>
        <v>2.59</v>
      </c>
      <c r="E26" s="29"/>
      <c r="F26" s="25" t="s">
        <v>348</v>
      </c>
      <c r="H26" s="22" t="s">
        <v>349</v>
      </c>
      <c r="I26" s="22">
        <f>+SUMIF(F19:F24,"不合格",I19:I24)</f>
        <v>0</v>
      </c>
    </row>
    <row r="27" spans="1:6">
      <c r="A27" s="25" t="s">
        <v>350</v>
      </c>
      <c r="B27" s="27">
        <f>+(500-B26)/500</f>
        <v>0.00459999999999991</v>
      </c>
      <c r="C27" s="18"/>
      <c r="D27" s="6"/>
      <c r="E27" s="30"/>
      <c r="F27" s="22" t="str">
        <f>+IF(COUNTIF(F19:F24,"合格")=6,"二区合格",IF(AND(F19="合格",F22="合格",I26&lt;=5),"二区合格","不合格"))</f>
        <v>二区合格</v>
      </c>
    </row>
    <row r="28" spans="5:7">
      <c r="E28" s="31"/>
      <c r="G28"/>
    </row>
  </sheetData>
  <conditionalFormatting sqref="F6:F11">
    <cfRule type="cellIs" dxfId="1" priority="2" operator="equal">
      <formula>$F$8</formula>
    </cfRule>
  </conditionalFormatting>
  <conditionalFormatting sqref="F19:F24">
    <cfRule type="cellIs" dxfId="1" priority="1" operator="equal">
      <formula>$F$8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水泥</vt:lpstr>
      <vt:lpstr>煤灰要求</vt:lpstr>
      <vt:lpstr>沙子</vt:lpstr>
      <vt:lpstr>5-31.5mm碎石</vt:lpstr>
      <vt:lpstr>5-10mm碎石</vt:lpstr>
      <vt:lpstr>钢筋焊接</vt:lpstr>
      <vt:lpstr>钢筋原材</vt:lpstr>
      <vt:lpstr>速凝剂</vt:lpstr>
      <vt:lpstr>减水剂</vt:lpstr>
      <vt:lpstr>数值修约</vt:lpstr>
      <vt:lpstr>筛后砂子计算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</dc:creator>
  <cp:lastModifiedBy>胡风</cp:lastModifiedBy>
  <dcterms:created xsi:type="dcterms:W3CDTF">2015-03-07T03:24:00Z</dcterms:created>
  <dcterms:modified xsi:type="dcterms:W3CDTF">2020-09-03T10:20:32Z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