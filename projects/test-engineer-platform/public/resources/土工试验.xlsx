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583" windowHeight="9840" firstSheet="3" activeTab="12"/>
  </bookViews>
  <sheets>
    <sheet name="土类判定" sheetId="14" state="hidden" r:id="rId1"/>
    <sheet name="报告" sheetId="1" r:id="rId2"/>
    <sheet name="颗粒分析" sheetId="2" r:id="rId3"/>
    <sheet name="含水量" sheetId="3" r:id="rId4"/>
    <sheet name="击实" sheetId="4" r:id="rId5"/>
    <sheet name="液塑限" sheetId="17" r:id="rId6"/>
    <sheet name="累计曲线" sheetId="18" r:id="rId7"/>
    <sheet name="膨胀率" sheetId="6" r:id="rId8"/>
    <sheet name="环刀压实度" sheetId="7" r:id="rId9"/>
    <sheet name="灌砂压实度 (2)" sheetId="19" r:id="rId10"/>
    <sheet name="灌砂" sheetId="9" r:id="rId11"/>
    <sheet name="铝盒" sheetId="10" r:id="rId12"/>
    <sheet name="环刀" sheetId="11" r:id="rId13"/>
  </sheets>
  <definedNames>
    <definedName name="_xlnm.Print_Area" localSheetId="1">报告!$A$1:$E$29</definedName>
    <definedName name="_xlnm.Print_Area" localSheetId="9">'灌砂压实度 (2)'!$A$1:$G$29</definedName>
    <definedName name="_xlnm.Print_Area" localSheetId="3">含水量!$A$1:$I$23</definedName>
    <definedName name="_xlnm.Print_Area" localSheetId="4">击实!$A$6:$L$54</definedName>
    <definedName name="_xlnm.Print_Area" localSheetId="2">颗粒分析!$A$1:$J$34</definedName>
    <definedName name="_xlnm.Print_Area" localSheetId="6">累计曲线!$A$1:$J$27</definedName>
    <definedName name="_xlnm.Print_Area" localSheetId="0">土类判定!$B$2:$F$7</definedName>
    <definedName name="_xlnm.Print_Area" localSheetId="5">液塑限!$A$1:$L$22</definedName>
  </definedNames>
  <calcPr calcId="144525"/>
</workbook>
</file>

<file path=xl/sharedStrings.xml><?xml version="1.0" encoding="utf-8"?>
<sst xmlns="http://schemas.openxmlformats.org/spreadsheetml/2006/main" count="550" uniqueCount="411">
  <si>
    <t>公路工程土类自动判定表</t>
  </si>
  <si>
    <t>判断过程</t>
  </si>
  <si>
    <t>土名对照表</t>
  </si>
  <si>
    <t>请输入土的试验数据</t>
  </si>
  <si>
    <t>粗粒土含量</t>
  </si>
  <si>
    <t>砾含量</t>
  </si>
  <si>
    <t>砂含量</t>
  </si>
  <si>
    <t>细粒土含量</t>
  </si>
  <si>
    <t>土样代号</t>
  </si>
  <si>
    <t>土样名称</t>
  </si>
  <si>
    <t>液限
（%）</t>
  </si>
  <si>
    <t>塑限
（%）</t>
  </si>
  <si>
    <r>
      <rPr>
        <sz val="12"/>
        <rFont val="宋体"/>
        <charset val="134"/>
      </rPr>
      <t>2mm筛通过率
（</t>
    </r>
    <r>
      <rPr>
        <sz val="12"/>
        <rFont val="宋体"/>
        <charset val="134"/>
      </rPr>
      <t>%）</t>
    </r>
  </si>
  <si>
    <r>
      <rPr>
        <sz val="12"/>
        <rFont val="宋体"/>
        <charset val="134"/>
      </rPr>
      <t>0.074mm筛通过率
（</t>
    </r>
    <r>
      <rPr>
        <sz val="12"/>
        <rFont val="宋体"/>
        <charset val="134"/>
      </rPr>
      <t>%）</t>
    </r>
  </si>
  <si>
    <t>是否有机质土？
（输入“是”或“否”）</t>
  </si>
  <si>
    <r>
      <rPr>
        <sz val="12"/>
        <rFont val="宋体"/>
        <charset val="134"/>
      </rPr>
      <t>G</t>
    </r>
    <r>
      <rPr>
        <sz val="12"/>
        <rFont val="宋体"/>
        <charset val="134"/>
      </rPr>
      <t>F</t>
    </r>
  </si>
  <si>
    <t>细粒土砾</t>
  </si>
  <si>
    <t>SF</t>
  </si>
  <si>
    <t>细粒土砂</t>
  </si>
  <si>
    <t>否</t>
  </si>
  <si>
    <t>液限</t>
  </si>
  <si>
    <t>塑限</t>
  </si>
  <si>
    <t>IP</t>
  </si>
  <si>
    <t>IP_线上</t>
  </si>
  <si>
    <r>
      <rPr>
        <sz val="12"/>
        <rFont val="宋体"/>
        <charset val="134"/>
      </rPr>
      <t>G</t>
    </r>
    <r>
      <rPr>
        <sz val="12"/>
        <rFont val="宋体"/>
        <charset val="134"/>
      </rPr>
      <t>W</t>
    </r>
  </si>
  <si>
    <t>级配良好砾</t>
  </si>
  <si>
    <t>MHS</t>
  </si>
  <si>
    <t>含砂高液限粉土</t>
  </si>
  <si>
    <t>土的工程分类</t>
  </si>
  <si>
    <r>
      <rPr>
        <sz val="12"/>
        <rFont val="宋体"/>
        <charset val="134"/>
      </rPr>
      <t>G</t>
    </r>
    <r>
      <rPr>
        <sz val="12"/>
        <rFont val="宋体"/>
        <charset val="134"/>
      </rPr>
      <t>P</t>
    </r>
  </si>
  <si>
    <t>级配不良砾</t>
  </si>
  <si>
    <t>MLS</t>
  </si>
  <si>
    <t>含砂低液限粉土</t>
  </si>
  <si>
    <t>粗粒土鉴别</t>
  </si>
  <si>
    <t>细粒土鉴别</t>
  </si>
  <si>
    <r>
      <rPr>
        <sz val="12"/>
        <rFont val="宋体"/>
        <charset val="134"/>
      </rPr>
      <t>G</t>
    </r>
    <r>
      <rPr>
        <sz val="12"/>
        <rFont val="宋体"/>
        <charset val="134"/>
      </rPr>
      <t>M</t>
    </r>
  </si>
  <si>
    <t>粉土质砾</t>
  </si>
  <si>
    <t>CH</t>
  </si>
  <si>
    <t>高液限粘土</t>
  </si>
  <si>
    <r>
      <rPr>
        <sz val="12"/>
        <rFont val="宋体"/>
        <charset val="134"/>
      </rPr>
      <t>G</t>
    </r>
    <r>
      <rPr>
        <sz val="12"/>
        <rFont val="宋体"/>
        <charset val="134"/>
      </rPr>
      <t>C</t>
    </r>
  </si>
  <si>
    <t>粘土质砾</t>
  </si>
  <si>
    <t>CL</t>
  </si>
  <si>
    <t>低液限粘土</t>
  </si>
  <si>
    <t>砾类土</t>
  </si>
  <si>
    <t>含粗粒的细粒土</t>
  </si>
  <si>
    <r>
      <rPr>
        <sz val="12"/>
        <rFont val="宋体"/>
        <charset val="134"/>
      </rPr>
      <t>S</t>
    </r>
    <r>
      <rPr>
        <sz val="12"/>
        <rFont val="宋体"/>
        <charset val="134"/>
      </rPr>
      <t>W</t>
    </r>
  </si>
  <si>
    <t>级配良好砂</t>
  </si>
  <si>
    <t>CHG</t>
  </si>
  <si>
    <t>含砾高液限粘土</t>
  </si>
  <si>
    <t>使用
说明</t>
  </si>
  <si>
    <r>
      <rPr>
        <sz val="12"/>
        <rFont val="宋体"/>
        <charset val="134"/>
      </rPr>
      <t>注意：1、只需在蓝色区域输入试验数据即可直接得出土的工程分类！
      2、本表适用于</t>
    </r>
    <r>
      <rPr>
        <sz val="12"/>
        <color indexed="10"/>
        <rFont val="宋体"/>
        <charset val="134"/>
      </rPr>
      <t>除特殊土和巨粒土以外</t>
    </r>
    <r>
      <rPr>
        <sz val="12"/>
        <color indexed="8"/>
        <rFont val="宋体"/>
        <charset val="134"/>
      </rPr>
      <t>的土类</t>
    </r>
    <r>
      <rPr>
        <sz val="12"/>
        <rFont val="宋体"/>
        <charset val="134"/>
      </rPr>
      <t>。</t>
    </r>
  </si>
  <si>
    <t>砂类土</t>
  </si>
  <si>
    <t>细粒土</t>
  </si>
  <si>
    <r>
      <rPr>
        <sz val="12"/>
        <rFont val="宋体"/>
        <charset val="134"/>
      </rPr>
      <t>S</t>
    </r>
    <r>
      <rPr>
        <sz val="12"/>
        <rFont val="宋体"/>
        <charset val="134"/>
      </rPr>
      <t>P</t>
    </r>
  </si>
  <si>
    <t>级配不良砂</t>
  </si>
  <si>
    <t>CLG</t>
  </si>
  <si>
    <t>含砾低液限粘土</t>
  </si>
  <si>
    <t>有机质土</t>
  </si>
  <si>
    <r>
      <rPr>
        <sz val="12"/>
        <rFont val="宋体"/>
        <charset val="134"/>
      </rPr>
      <t>S</t>
    </r>
    <r>
      <rPr>
        <sz val="12"/>
        <rFont val="宋体"/>
        <charset val="134"/>
      </rPr>
      <t>M</t>
    </r>
  </si>
  <si>
    <t>粉土质砂</t>
  </si>
  <si>
    <t>CHS</t>
  </si>
  <si>
    <t>含砂高液限粘土</t>
  </si>
  <si>
    <r>
      <rPr>
        <sz val="12"/>
        <rFont val="宋体"/>
        <charset val="134"/>
      </rPr>
      <t>1、</t>
    </r>
    <r>
      <rPr>
        <sz val="12"/>
        <rFont val="宋体"/>
        <charset val="134"/>
      </rPr>
      <t>本表由</t>
    </r>
    <r>
      <rPr>
        <sz val="12"/>
        <rFont val="宋体"/>
        <charset val="134"/>
      </rPr>
      <t xml:space="preserve"> </t>
    </r>
    <r>
      <rPr>
        <sz val="12"/>
        <color indexed="12"/>
        <rFont val="华文行楷"/>
        <charset val="134"/>
      </rPr>
      <t>XXXXXX市公路工程试验检测中心</t>
    </r>
    <r>
      <rPr>
        <sz val="12"/>
        <rFont val="宋体"/>
        <charset val="134"/>
      </rPr>
      <t xml:space="preserve">  </t>
    </r>
    <r>
      <rPr>
        <sz val="12"/>
        <color indexed="12"/>
        <rFont val="宋体"/>
        <charset val="134"/>
      </rPr>
      <t>nolimy</t>
    </r>
    <r>
      <rPr>
        <sz val="12"/>
        <rFont val="宋体"/>
        <charset val="134"/>
      </rPr>
      <t xml:space="preserve">  </t>
    </r>
    <r>
      <rPr>
        <sz val="12"/>
        <rFont val="宋体"/>
        <charset val="134"/>
      </rPr>
      <t>设计 (版本号:</t>
    </r>
    <r>
      <rPr>
        <sz val="12"/>
        <rFont val="宋体"/>
        <charset val="134"/>
      </rPr>
      <t>TLPD_V2004.02</t>
    </r>
    <r>
      <rPr>
        <sz val="12"/>
        <rFont val="宋体"/>
        <charset val="134"/>
      </rPr>
      <t xml:space="preserve">)。
</t>
    </r>
    <r>
      <rPr>
        <sz val="12"/>
        <rFont val="宋体"/>
        <charset val="134"/>
      </rPr>
      <t>2</t>
    </r>
    <r>
      <rPr>
        <sz val="12"/>
        <rFont val="宋体"/>
        <charset val="134"/>
      </rPr>
      <t>、如有疑问或错误请致电：</t>
    </r>
    <r>
      <rPr>
        <sz val="12"/>
        <rFont val="宋体"/>
        <charset val="134"/>
      </rPr>
      <t xml:space="preserve"> E-mail: nolimy@163.com  QQ</t>
    </r>
    <r>
      <rPr>
        <sz val="12"/>
        <rFont val="宋体"/>
        <charset val="134"/>
      </rPr>
      <t>：</t>
    </r>
    <r>
      <rPr>
        <sz val="12"/>
        <rFont val="宋体"/>
        <charset val="134"/>
      </rPr>
      <t>61788799。
3</t>
    </r>
    <r>
      <rPr>
        <sz val="12"/>
        <rFont val="宋体"/>
        <charset val="134"/>
      </rPr>
      <t>、感谢“</t>
    </r>
    <r>
      <rPr>
        <sz val="14"/>
        <color indexed="10"/>
        <rFont val="楷体_GB2312"/>
        <charset val="134"/>
      </rPr>
      <t>筑路人论坛: http://www.17grow.com/</t>
    </r>
    <r>
      <rPr>
        <sz val="12"/>
        <rFont val="宋体"/>
        <charset val="134"/>
      </rPr>
      <t>”各位网友提供的宝贵意见！
4、本表完全免费供大家使用！</t>
    </r>
  </si>
  <si>
    <t>缓冲公式</t>
  </si>
  <si>
    <r>
      <rPr>
        <sz val="12"/>
        <rFont val="宋体"/>
        <charset val="134"/>
      </rPr>
      <t>S</t>
    </r>
    <r>
      <rPr>
        <sz val="12"/>
        <rFont val="宋体"/>
        <charset val="134"/>
      </rPr>
      <t>C</t>
    </r>
  </si>
  <si>
    <t>粘土质砂</t>
  </si>
  <si>
    <t>CLS</t>
  </si>
  <si>
    <t>含砂低液限粘土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</si>
  <si>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H</t>
    </r>
  </si>
  <si>
    <t>高液限粉土</t>
  </si>
  <si>
    <t>CHO</t>
  </si>
  <si>
    <t>有机质高液限粘土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</si>
  <si>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L</t>
    </r>
  </si>
  <si>
    <t>低液限粉土</t>
  </si>
  <si>
    <t>CLO</t>
  </si>
  <si>
    <t>有机质低液限粘土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</si>
  <si>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HG</t>
    </r>
  </si>
  <si>
    <t>含砾高液限粉土</t>
  </si>
  <si>
    <t>MHO</t>
  </si>
  <si>
    <t>有机质高液限粉土</t>
  </si>
  <si>
    <t>MLG</t>
  </si>
  <si>
    <t>含砾低液限粉土</t>
  </si>
  <si>
    <t>MLO</t>
  </si>
  <si>
    <t>有机质低液限粉土</t>
  </si>
  <si>
    <t>GW or GP</t>
  </si>
  <si>
    <t>级配良好(或不良)砾</t>
  </si>
  <si>
    <t>SW or SP</t>
  </si>
  <si>
    <t>级配良好(或不良)砂</t>
  </si>
  <si>
    <r>
      <rPr>
        <b/>
        <sz val="14"/>
        <rFont val="宋体"/>
        <charset val="134"/>
      </rPr>
      <t>土</t>
    </r>
    <r>
      <rPr>
        <b/>
        <sz val="14"/>
        <rFont val="Times New Roman"/>
        <charset val="134"/>
      </rPr>
      <t xml:space="preserve"> </t>
    </r>
    <r>
      <rPr>
        <b/>
        <sz val="14"/>
        <rFont val="宋体"/>
        <charset val="134"/>
      </rPr>
      <t>壤</t>
    </r>
    <r>
      <rPr>
        <b/>
        <sz val="14"/>
        <rFont val="Times New Roman"/>
        <charset val="134"/>
      </rPr>
      <t xml:space="preserve"> </t>
    </r>
    <r>
      <rPr>
        <b/>
        <sz val="14"/>
        <rFont val="宋体"/>
        <charset val="134"/>
      </rPr>
      <t>试</t>
    </r>
    <r>
      <rPr>
        <b/>
        <sz val="14"/>
        <rFont val="Times New Roman"/>
        <charset val="134"/>
      </rPr>
      <t xml:space="preserve"> </t>
    </r>
    <r>
      <rPr>
        <b/>
        <sz val="14"/>
        <rFont val="宋体"/>
        <charset val="134"/>
      </rPr>
      <t>验</t>
    </r>
    <r>
      <rPr>
        <b/>
        <sz val="14"/>
        <rFont val="Times New Roman"/>
        <charset val="134"/>
      </rPr>
      <t xml:space="preserve"> </t>
    </r>
    <r>
      <rPr>
        <b/>
        <sz val="14"/>
        <rFont val="宋体"/>
        <charset val="134"/>
      </rPr>
      <t>分</t>
    </r>
    <r>
      <rPr>
        <b/>
        <sz val="14"/>
        <rFont val="Times New Roman"/>
        <charset val="134"/>
      </rPr>
      <t xml:space="preserve"> </t>
    </r>
    <r>
      <rPr>
        <b/>
        <sz val="14"/>
        <rFont val="宋体"/>
        <charset val="134"/>
      </rPr>
      <t>析</t>
    </r>
    <r>
      <rPr>
        <b/>
        <sz val="14"/>
        <rFont val="Times New Roman"/>
        <charset val="134"/>
      </rPr>
      <t xml:space="preserve"> </t>
    </r>
    <r>
      <rPr>
        <b/>
        <sz val="14"/>
        <rFont val="宋体"/>
        <charset val="134"/>
      </rPr>
      <t>报</t>
    </r>
    <r>
      <rPr>
        <b/>
        <sz val="14"/>
        <rFont val="Times New Roman"/>
        <charset val="134"/>
      </rPr>
      <t xml:space="preserve"> </t>
    </r>
    <r>
      <rPr>
        <b/>
        <sz val="14"/>
        <rFont val="宋体"/>
        <charset val="134"/>
      </rPr>
      <t>告</t>
    </r>
  </si>
  <si>
    <r>
      <rPr>
        <b/>
        <sz val="12"/>
        <rFont val="宋体"/>
        <charset val="134"/>
      </rPr>
      <t xml:space="preserve">           </t>
    </r>
  </si>
  <si>
    <t>编号：C—3—2—</t>
  </si>
  <si>
    <t>J02- 0039</t>
  </si>
  <si>
    <t>施工单位</t>
  </si>
  <si>
    <r>
      <rPr>
        <sz val="12"/>
        <rFont val="宋体"/>
        <charset val="134"/>
      </rPr>
      <t>合</t>
    </r>
    <r>
      <rPr>
        <sz val="10.5"/>
        <rFont val="Times New Roman"/>
        <charset val="134"/>
      </rPr>
      <t xml:space="preserve"> </t>
    </r>
    <r>
      <rPr>
        <sz val="10.5"/>
        <rFont val="宋体"/>
        <charset val="134"/>
      </rPr>
      <t>同</t>
    </r>
    <r>
      <rPr>
        <sz val="10.5"/>
        <rFont val="Times New Roman"/>
        <charset val="134"/>
      </rPr>
      <t xml:space="preserve"> </t>
    </r>
    <r>
      <rPr>
        <sz val="10.5"/>
        <rFont val="宋体"/>
        <charset val="134"/>
      </rPr>
      <t>号</t>
    </r>
  </si>
  <si>
    <t>02</t>
  </si>
  <si>
    <t>01</t>
  </si>
  <si>
    <t>中国第二冶金建设有限公司</t>
  </si>
  <si>
    <t>监理单位</t>
  </si>
  <si>
    <t>内蒙古广誉建设监理有限责任公司</t>
  </si>
  <si>
    <t>中铁六局呼铁局建设有限公司</t>
  </si>
  <si>
    <t>试样名称</t>
  </si>
  <si>
    <t>土</t>
  </si>
  <si>
    <t>试验规程</t>
  </si>
  <si>
    <t>JTJ  051-93</t>
  </si>
  <si>
    <t>03</t>
  </si>
  <si>
    <t>龙建路桥股份有限公司</t>
  </si>
  <si>
    <t>试样来源</t>
  </si>
  <si>
    <t>K3+600挖方段</t>
  </si>
  <si>
    <t>试验日期</t>
  </si>
  <si>
    <t>2007.11.1</t>
  </si>
  <si>
    <t>04</t>
  </si>
  <si>
    <t>核工业华东建设工程集团公司</t>
  </si>
  <si>
    <r>
      <rPr>
        <sz val="10.5"/>
        <rFont val="宋体"/>
        <charset val="134"/>
      </rPr>
      <t>试</t>
    </r>
    <r>
      <rPr>
        <sz val="10.5"/>
        <rFont val="Times New Roman"/>
        <charset val="134"/>
      </rPr>
      <t xml:space="preserve"> </t>
    </r>
    <r>
      <rPr>
        <sz val="10.5"/>
        <rFont val="宋体"/>
        <charset val="134"/>
      </rPr>
      <t>验</t>
    </r>
    <r>
      <rPr>
        <sz val="10.5"/>
        <rFont val="Times New Roman"/>
        <charset val="134"/>
      </rPr>
      <t xml:space="preserve"> </t>
    </r>
    <r>
      <rPr>
        <sz val="10.5"/>
        <rFont val="宋体"/>
        <charset val="134"/>
      </rPr>
      <t>人</t>
    </r>
  </si>
  <si>
    <r>
      <rPr>
        <sz val="12"/>
        <rFont val="宋体"/>
        <charset val="134"/>
      </rPr>
      <t>审</t>
    </r>
    <r>
      <rPr>
        <sz val="10.5"/>
        <rFont val="Times New Roman"/>
        <charset val="134"/>
      </rPr>
      <t xml:space="preserve"> </t>
    </r>
    <r>
      <rPr>
        <sz val="10.5"/>
        <rFont val="宋体"/>
        <charset val="134"/>
      </rPr>
      <t>核</t>
    </r>
    <r>
      <rPr>
        <sz val="10.5"/>
        <rFont val="Times New Roman"/>
        <charset val="134"/>
      </rPr>
      <t xml:space="preserve"> </t>
    </r>
    <r>
      <rPr>
        <sz val="10.5"/>
        <rFont val="宋体"/>
        <charset val="134"/>
      </rPr>
      <t>人</t>
    </r>
  </si>
  <si>
    <t>05</t>
  </si>
  <si>
    <t>陕西中航南方机械化工程公司</t>
  </si>
  <si>
    <r>
      <rPr>
        <sz val="10.5"/>
        <rFont val="宋体"/>
        <charset val="134"/>
      </rPr>
      <t>筛</t>
    </r>
    <r>
      <rPr>
        <sz val="10.5"/>
        <rFont val="Times New Roman"/>
        <charset val="134"/>
      </rPr>
      <t xml:space="preserve">                           </t>
    </r>
    <r>
      <rPr>
        <sz val="10.5"/>
        <rFont val="宋体"/>
        <charset val="134"/>
      </rPr>
      <t>分</t>
    </r>
  </si>
  <si>
    <t>筛孔尺寸（mm）</t>
  </si>
  <si>
    <t>累计筛余（％）</t>
  </si>
  <si>
    <t>&lt; 0.074</t>
  </si>
  <si>
    <t>液 限</t>
  </si>
  <si>
    <t>塑性指数</t>
  </si>
  <si>
    <r>
      <rPr>
        <sz val="10.5"/>
        <rFont val="宋体"/>
        <charset val="134"/>
      </rPr>
      <t>最佳含水量</t>
    </r>
    <r>
      <rPr>
        <sz val="10.5"/>
        <rFont val="Times New Roman"/>
        <charset val="134"/>
      </rPr>
      <t>(</t>
    </r>
    <r>
      <rPr>
        <sz val="10.5"/>
        <rFont val="宋体"/>
        <charset val="134"/>
      </rPr>
      <t>％</t>
    </r>
    <r>
      <rPr>
        <sz val="10.5"/>
        <rFont val="Times New Roman"/>
        <charset val="134"/>
      </rPr>
      <t>)</t>
    </r>
  </si>
  <si>
    <r>
      <rPr>
        <sz val="10.5"/>
        <rFont val="宋体"/>
        <charset val="134"/>
      </rPr>
      <t>最大干密度</t>
    </r>
    <r>
      <rPr>
        <sz val="10.5"/>
        <rFont val="Times New Roman"/>
        <charset val="134"/>
      </rPr>
      <t>(g/cm</t>
    </r>
    <r>
      <rPr>
        <vertAlign val="superscript"/>
        <sz val="10.5"/>
        <rFont val="Times New Roman"/>
        <charset val="134"/>
      </rPr>
      <t>3</t>
    </r>
    <r>
      <rPr>
        <sz val="10.5"/>
        <rFont val="Times New Roman"/>
        <charset val="134"/>
      </rPr>
      <t>)</t>
    </r>
  </si>
  <si>
    <t>对应于    ％压实度的ＣＢＲ（l=2.5mm）为   ％</t>
  </si>
  <si>
    <t>土壤定名</t>
  </si>
  <si>
    <r>
      <rPr>
        <sz val="10.5"/>
        <rFont val="宋体"/>
        <charset val="134"/>
      </rPr>
      <t>负责人：</t>
    </r>
    <r>
      <rPr>
        <sz val="10.5"/>
        <rFont val="Times New Roman"/>
        <charset val="134"/>
      </rPr>
      <t xml:space="preserve">                        </t>
    </r>
    <r>
      <rPr>
        <sz val="10.5"/>
        <rFont val="宋体"/>
        <charset val="134"/>
      </rPr>
      <t>日期：</t>
    </r>
  </si>
  <si>
    <t>结</t>
  </si>
  <si>
    <r>
      <rPr>
        <sz val="10.5"/>
        <rFont val="宋体"/>
        <charset val="134"/>
      </rPr>
      <t>监理工程师：</t>
    </r>
    <r>
      <rPr>
        <sz val="10.5"/>
        <rFont val="Times New Roman"/>
        <charset val="134"/>
      </rPr>
      <t xml:space="preserve">                  </t>
    </r>
    <r>
      <rPr>
        <sz val="10.5"/>
        <rFont val="宋体"/>
        <charset val="134"/>
      </rPr>
      <t>日期：</t>
    </r>
  </si>
  <si>
    <t>论</t>
  </si>
  <si>
    <t>颗粒分析试验记录（筛分法）</t>
  </si>
  <si>
    <t xml:space="preserve"> 编号：C-3-1-</t>
  </si>
  <si>
    <r>
      <rPr>
        <sz val="10.5"/>
        <rFont val="宋体"/>
        <charset val="134"/>
      </rPr>
      <t>合</t>
    </r>
    <r>
      <rPr>
        <sz val="10.5"/>
        <rFont val="Times New Roman"/>
        <charset val="134"/>
      </rPr>
      <t xml:space="preserve"> </t>
    </r>
    <r>
      <rPr>
        <sz val="10.5"/>
        <rFont val="宋体"/>
        <charset val="134"/>
      </rPr>
      <t>同</t>
    </r>
    <r>
      <rPr>
        <sz val="10.5"/>
        <rFont val="Times New Roman"/>
        <charset val="134"/>
      </rPr>
      <t xml:space="preserve"> </t>
    </r>
    <r>
      <rPr>
        <sz val="10.5"/>
        <rFont val="宋体"/>
        <charset val="134"/>
      </rPr>
      <t>号</t>
    </r>
  </si>
  <si>
    <r>
      <rPr>
        <sz val="10.5"/>
        <rFont val="宋体"/>
        <charset val="134"/>
      </rPr>
      <t>审</t>
    </r>
    <r>
      <rPr>
        <sz val="10.5"/>
        <rFont val="Times New Roman"/>
        <charset val="134"/>
      </rPr>
      <t xml:space="preserve"> </t>
    </r>
    <r>
      <rPr>
        <sz val="10.5"/>
        <rFont val="宋体"/>
        <charset val="134"/>
      </rPr>
      <t>核</t>
    </r>
    <r>
      <rPr>
        <sz val="10.5"/>
        <rFont val="Times New Roman"/>
        <charset val="134"/>
      </rPr>
      <t xml:space="preserve"> </t>
    </r>
    <r>
      <rPr>
        <sz val="10.5"/>
        <rFont val="宋体"/>
        <charset val="134"/>
      </rPr>
      <t>人</t>
    </r>
  </si>
  <si>
    <r>
      <rPr>
        <b/>
        <sz val="12"/>
        <rFont val="Times New Roman"/>
        <charset val="134"/>
      </rPr>
      <t xml:space="preserve">                   </t>
    </r>
    <r>
      <rPr>
        <sz val="12"/>
        <rFont val="宋体"/>
        <charset val="134"/>
      </rPr>
      <t>筛前总土质量</t>
    </r>
    <r>
      <rPr>
        <sz val="12"/>
        <rFont val="Times New Roman"/>
        <charset val="134"/>
      </rPr>
      <t>=</t>
    </r>
  </si>
  <si>
    <t>g</t>
  </si>
  <si>
    <r>
      <rPr>
        <sz val="12"/>
        <rFont val="宋体"/>
        <charset val="134"/>
      </rPr>
      <t>小于</t>
    </r>
    <r>
      <rPr>
        <sz val="12"/>
        <rFont val="Times New Roman"/>
        <charset val="134"/>
      </rPr>
      <t>2mm</t>
    </r>
    <r>
      <rPr>
        <sz val="12"/>
        <rFont val="宋体"/>
        <charset val="134"/>
      </rPr>
      <t>土取试样质量</t>
    </r>
    <r>
      <rPr>
        <sz val="12"/>
        <rFont val="Times New Roman"/>
        <charset val="134"/>
      </rPr>
      <t>=</t>
    </r>
  </si>
  <si>
    <t>筛前总土质量=  500    g               小于2mm取试样质量=   500   g</t>
  </si>
  <si>
    <r>
      <rPr>
        <b/>
        <sz val="12"/>
        <rFont val="Times New Roman"/>
        <charset val="134"/>
      </rPr>
      <t xml:space="preserve">               </t>
    </r>
    <r>
      <rPr>
        <sz val="12"/>
        <rFont val="宋体"/>
        <charset val="134"/>
      </rPr>
      <t>小于</t>
    </r>
    <r>
      <rPr>
        <sz val="12"/>
        <rFont val="Times New Roman"/>
        <charset val="134"/>
      </rPr>
      <t>2mm</t>
    </r>
    <r>
      <rPr>
        <sz val="12"/>
        <rFont val="宋体"/>
        <charset val="134"/>
      </rPr>
      <t>土质量</t>
    </r>
    <r>
      <rPr>
        <sz val="12"/>
        <rFont val="Times New Roman"/>
        <charset val="134"/>
      </rPr>
      <t>=</t>
    </r>
  </si>
  <si>
    <r>
      <rPr>
        <sz val="12"/>
        <rFont val="宋体"/>
        <charset val="134"/>
      </rPr>
      <t>小于</t>
    </r>
    <r>
      <rPr>
        <sz val="12"/>
        <rFont val="Times New Roman"/>
        <charset val="134"/>
      </rPr>
      <t>2mm</t>
    </r>
    <r>
      <rPr>
        <sz val="12"/>
        <rFont val="宋体"/>
        <charset val="134"/>
      </rPr>
      <t>土占试样总质量的</t>
    </r>
  </si>
  <si>
    <t>%</t>
  </si>
  <si>
    <t xml:space="preserve">小于2mm土质量=   500    g             小于2mm土占总土质量=    100  %      </t>
  </si>
  <si>
    <t>粗筛分析</t>
  </si>
  <si>
    <t>细筛分析</t>
  </si>
  <si>
    <t>累积留筛土质量（g）</t>
  </si>
  <si>
    <t>通过该</t>
  </si>
  <si>
    <t>通过该孔径的土质量（g）</t>
  </si>
  <si>
    <t>占总土质量百分比（%）</t>
  </si>
  <si>
    <r>
      <rPr>
        <sz val="10.5"/>
        <rFont val="宋体"/>
        <charset val="134"/>
      </rPr>
      <t>孔径的土累计百分率</t>
    </r>
    <r>
      <rPr>
        <sz val="10.5"/>
        <rFont val="Times New Roman"/>
        <charset val="134"/>
      </rPr>
      <t>%</t>
    </r>
  </si>
  <si>
    <t>孔径的</t>
  </si>
  <si>
    <t>孔土质</t>
  </si>
  <si>
    <t>孔径土</t>
  </si>
  <si>
    <t>土质量</t>
  </si>
  <si>
    <t>量百分</t>
  </si>
  <si>
    <t>质量百</t>
  </si>
  <si>
    <t>（g）</t>
  </si>
  <si>
    <t>比（%）</t>
  </si>
  <si>
    <t>分比（%）</t>
  </si>
  <si>
    <t>&lt;0.074</t>
  </si>
  <si>
    <r>
      <rPr>
        <sz val="10.5"/>
        <rFont val="Times New Roman"/>
        <charset val="134"/>
      </rPr>
      <t xml:space="preserve">                 </t>
    </r>
    <r>
      <rPr>
        <sz val="10.5"/>
        <rFont val="宋体"/>
        <charset val="134"/>
      </rPr>
      <t>负责人：</t>
    </r>
    <r>
      <rPr>
        <sz val="10.5"/>
        <rFont val="Times New Roman"/>
        <charset val="134"/>
      </rPr>
      <t xml:space="preserve">                 </t>
    </r>
    <r>
      <rPr>
        <sz val="10.5"/>
        <rFont val="宋体"/>
        <charset val="134"/>
      </rPr>
      <t>日期：</t>
    </r>
  </si>
  <si>
    <r>
      <rPr>
        <sz val="10.5"/>
        <rFont val="Times New Roman"/>
        <charset val="134"/>
      </rPr>
      <t xml:space="preserve">            </t>
    </r>
    <r>
      <rPr>
        <sz val="10.5"/>
        <rFont val="宋体"/>
        <charset val="134"/>
      </rPr>
      <t>监理工程师：</t>
    </r>
    <r>
      <rPr>
        <sz val="10.5"/>
        <rFont val="Times New Roman"/>
        <charset val="134"/>
      </rPr>
      <t xml:space="preserve">                </t>
    </r>
    <r>
      <rPr>
        <sz val="10.5"/>
        <rFont val="宋体"/>
        <charset val="134"/>
      </rPr>
      <t>日期：</t>
    </r>
  </si>
  <si>
    <t>含 水 量 试 验</t>
  </si>
  <si>
    <t>盒重控制区（以下位置请勿动）</t>
  </si>
  <si>
    <t>编号：C—1—</t>
  </si>
  <si>
    <t>合 同 号</t>
  </si>
  <si>
    <t>试 验 人</t>
  </si>
  <si>
    <t>审 核 人</t>
  </si>
  <si>
    <t>桩号或部位</t>
  </si>
  <si>
    <t>盒 号</t>
  </si>
  <si>
    <t>盒+湿土质量（g）</t>
  </si>
  <si>
    <t>盒+干土质量（g）</t>
  </si>
  <si>
    <t>盒质量（g）</t>
  </si>
  <si>
    <t>水份质量（g）</t>
  </si>
  <si>
    <t>干土质量（g）</t>
  </si>
  <si>
    <t>含水量（%）</t>
  </si>
  <si>
    <t>平均含水量（%）</t>
  </si>
  <si>
    <t>结      论</t>
  </si>
  <si>
    <r>
      <rPr>
        <sz val="10.5"/>
        <rFont val="Times New Roman"/>
        <charset val="134"/>
      </rPr>
      <t xml:space="preserve">                     </t>
    </r>
    <r>
      <rPr>
        <sz val="10.5"/>
        <rFont val="宋体"/>
        <charset val="134"/>
      </rPr>
      <t>负责人：                  日期：</t>
    </r>
  </si>
  <si>
    <r>
      <rPr>
        <sz val="10.5"/>
        <rFont val="Times New Roman"/>
        <charset val="134"/>
      </rPr>
      <t xml:space="preserve">                </t>
    </r>
    <r>
      <rPr>
        <sz val="10.5"/>
        <rFont val="宋体"/>
        <charset val="134"/>
      </rPr>
      <t>监理工程师：                  日期：</t>
    </r>
  </si>
  <si>
    <t>盒号</t>
  </si>
  <si>
    <t>质量</t>
  </si>
  <si>
    <t>选择</t>
  </si>
  <si>
    <t>实际质量</t>
  </si>
  <si>
    <t>击 实 试 验 记 录 表</t>
  </si>
  <si>
    <t>编号：C-6-</t>
  </si>
  <si>
    <t>合同号</t>
  </si>
  <si>
    <t>样品名称</t>
  </si>
  <si>
    <t>样品来源</t>
  </si>
  <si>
    <t>试验人</t>
  </si>
  <si>
    <t>审核人</t>
  </si>
  <si>
    <t>击 实 方 法</t>
  </si>
  <si>
    <t>重型II法</t>
  </si>
  <si>
    <r>
      <rPr>
        <sz val="11"/>
        <rFont val="宋体"/>
        <charset val="134"/>
      </rPr>
      <t>筒容积:</t>
    </r>
    <r>
      <rPr>
        <i/>
        <sz val="10"/>
        <rFont val="宋体"/>
        <charset val="134"/>
      </rPr>
      <t xml:space="preserve"> </t>
    </r>
  </si>
  <si>
    <t>&gt;5mm颗粒含量</t>
  </si>
  <si>
    <r>
      <rPr>
        <sz val="11"/>
        <rFont val="宋体"/>
        <charset val="134"/>
      </rPr>
      <t xml:space="preserve">预加含水量  </t>
    </r>
    <r>
      <rPr>
        <sz val="10"/>
        <rFont val="宋体"/>
        <charset val="134"/>
      </rPr>
      <t>(%)</t>
    </r>
  </si>
  <si>
    <t>筒    号</t>
  </si>
  <si>
    <r>
      <rPr>
        <sz val="11"/>
        <rFont val="宋体"/>
        <charset val="134"/>
      </rPr>
      <t xml:space="preserve">筒+湿土质量 </t>
    </r>
    <r>
      <rPr>
        <sz val="10"/>
        <rFont val="宋体"/>
        <charset val="134"/>
      </rPr>
      <t>(g)</t>
    </r>
  </si>
  <si>
    <r>
      <rPr>
        <sz val="11"/>
        <rFont val="宋体"/>
        <charset val="134"/>
      </rPr>
      <t xml:space="preserve">筒质量      </t>
    </r>
    <r>
      <rPr>
        <sz val="10"/>
        <rFont val="宋体"/>
        <charset val="134"/>
      </rPr>
      <t>(g)</t>
    </r>
  </si>
  <si>
    <r>
      <rPr>
        <sz val="11"/>
        <rFont val="宋体"/>
        <charset val="134"/>
      </rPr>
      <t xml:space="preserve">湿土质量    </t>
    </r>
    <r>
      <rPr>
        <sz val="10"/>
        <rFont val="宋体"/>
        <charset val="134"/>
      </rPr>
      <t>(g)</t>
    </r>
  </si>
  <si>
    <r>
      <rPr>
        <sz val="11"/>
        <rFont val="宋体"/>
        <charset val="134"/>
      </rPr>
      <t xml:space="preserve">湿  密  度 </t>
    </r>
    <r>
      <rPr>
        <sz val="10"/>
        <rFont val="宋体"/>
        <charset val="134"/>
      </rPr>
      <t>(g/cm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</si>
  <si>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盒    号</t>
  </si>
  <si>
    <r>
      <rPr>
        <sz val="11"/>
        <rFont val="宋体"/>
        <charset val="134"/>
      </rPr>
      <t xml:space="preserve">盒+湿土质量 </t>
    </r>
    <r>
      <rPr>
        <sz val="9"/>
        <rFont val="宋体"/>
        <charset val="134"/>
      </rPr>
      <t>(g)</t>
    </r>
  </si>
  <si>
    <r>
      <rPr>
        <sz val="11"/>
        <rFont val="宋体"/>
        <charset val="134"/>
      </rPr>
      <t xml:space="preserve">盒+干土质量 </t>
    </r>
    <r>
      <rPr>
        <sz val="9"/>
        <rFont val="宋体"/>
        <charset val="134"/>
      </rPr>
      <t>(g)</t>
    </r>
  </si>
  <si>
    <r>
      <rPr>
        <sz val="11"/>
        <rFont val="宋体"/>
        <charset val="134"/>
      </rPr>
      <t xml:space="preserve">盒  质  量  </t>
    </r>
    <r>
      <rPr>
        <sz val="9"/>
        <rFont val="宋体"/>
        <charset val="134"/>
      </rPr>
      <t>(g)</t>
    </r>
  </si>
  <si>
    <r>
      <rPr>
        <sz val="11"/>
        <rFont val="宋体"/>
        <charset val="134"/>
      </rPr>
      <t xml:space="preserve">水 份 质 量  </t>
    </r>
    <r>
      <rPr>
        <sz val="10"/>
        <rFont val="宋体"/>
        <charset val="134"/>
      </rPr>
      <t>(g)</t>
    </r>
  </si>
  <si>
    <r>
      <rPr>
        <sz val="11"/>
        <rFont val="宋体"/>
        <charset val="134"/>
      </rPr>
      <t xml:space="preserve">干 土 质 量  </t>
    </r>
    <r>
      <rPr>
        <sz val="10"/>
        <rFont val="宋体"/>
        <charset val="134"/>
      </rPr>
      <t>(g)</t>
    </r>
  </si>
  <si>
    <r>
      <rPr>
        <sz val="11"/>
        <rFont val="宋体"/>
        <charset val="134"/>
      </rPr>
      <t xml:space="preserve">含   水   量  </t>
    </r>
    <r>
      <rPr>
        <sz val="10"/>
        <rFont val="宋体"/>
        <charset val="134"/>
      </rPr>
      <t>(%)</t>
    </r>
  </si>
  <si>
    <r>
      <rPr>
        <sz val="11"/>
        <rFont val="宋体"/>
        <charset val="134"/>
      </rPr>
      <t xml:space="preserve">平均含水量 </t>
    </r>
    <r>
      <rPr>
        <sz val="10"/>
        <rFont val="宋体"/>
        <charset val="134"/>
      </rPr>
      <t>（%）</t>
    </r>
  </si>
  <si>
    <r>
      <rPr>
        <sz val="11"/>
        <rFont val="宋体"/>
        <charset val="134"/>
      </rPr>
      <t xml:space="preserve">干  密  度 </t>
    </r>
    <r>
      <rPr>
        <sz val="10"/>
        <rFont val="宋体"/>
        <charset val="134"/>
      </rPr>
      <t>(g/cm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</si>
  <si>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r>
      <rPr>
        <sz val="11"/>
        <rFont val="宋体"/>
        <charset val="134"/>
      </rPr>
      <t>最大干密度</t>
    </r>
    <r>
      <rPr>
        <sz val="10"/>
        <rFont val="宋体"/>
        <charset val="134"/>
      </rPr>
      <t>(g/cm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</si>
  <si>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最佳含水量(%)</t>
  </si>
  <si>
    <t>击实曲线图</t>
  </si>
  <si>
    <t xml:space="preserve"> </t>
  </si>
  <si>
    <t>结论</t>
  </si>
  <si>
    <r>
      <rPr>
        <sz val="12"/>
        <rFont val="宋体"/>
        <charset val="134"/>
      </rPr>
      <t xml:space="preserve">                       </t>
    </r>
    <r>
      <rPr>
        <sz val="12"/>
        <rFont val="宋体"/>
        <charset val="134"/>
      </rPr>
      <t>负责人：            日期：</t>
    </r>
  </si>
  <si>
    <r>
      <rPr>
        <sz val="12"/>
        <rFont val="宋体"/>
        <charset val="134"/>
      </rPr>
      <t xml:space="preserve">          </t>
    </r>
    <r>
      <rPr>
        <sz val="12"/>
        <rFont val="宋体"/>
        <charset val="134"/>
      </rPr>
      <t xml:space="preserve">    </t>
    </r>
    <r>
      <rPr>
        <sz val="12"/>
        <rFont val="宋体"/>
        <charset val="134"/>
      </rPr>
      <t xml:space="preserve">  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 </t>
    </r>
    <r>
      <rPr>
        <sz val="12"/>
        <rFont val="宋体"/>
        <charset val="134"/>
      </rPr>
      <t xml:space="preserve">监理工程师：      </t>
    </r>
    <r>
      <rPr>
        <sz val="12"/>
        <rFont val="宋体"/>
        <charset val="134"/>
      </rPr>
      <t xml:space="preserve">    </t>
    </r>
    <r>
      <rPr>
        <sz val="12"/>
        <rFont val="宋体"/>
        <charset val="134"/>
      </rPr>
      <t xml:space="preserve">  日期：</t>
    </r>
  </si>
  <si>
    <t>土的界限含水量试验 (液塑限联合测定)</t>
  </si>
  <si>
    <t>编号:</t>
  </si>
  <si>
    <t>C-4-</t>
  </si>
  <si>
    <t>施 工 单 位</t>
  </si>
  <si>
    <t>合  同  号</t>
  </si>
  <si>
    <t>监 理 单 位</t>
  </si>
  <si>
    <t>样 品 名 称</t>
  </si>
  <si>
    <t>试 验 规 程</t>
  </si>
  <si>
    <t>样 品 来 源</t>
  </si>
  <si>
    <t>试 验 日 期</t>
  </si>
  <si>
    <t>试  验  人</t>
  </si>
  <si>
    <t>审  核  人</t>
  </si>
  <si>
    <t>入土深度
(mm)</t>
  </si>
  <si>
    <r>
      <rPr>
        <sz val="11"/>
        <rFont val="宋体"/>
        <charset val="134"/>
      </rPr>
      <t>h</t>
    </r>
    <r>
      <rPr>
        <vertAlign val="subscript"/>
        <sz val="11"/>
        <rFont val="宋体"/>
        <charset val="134"/>
      </rPr>
      <t>1</t>
    </r>
  </si>
  <si>
    <r>
      <rPr>
        <sz val="11"/>
        <rFont val="宋体"/>
        <charset val="134"/>
      </rPr>
      <t>h</t>
    </r>
    <r>
      <rPr>
        <vertAlign val="subscript"/>
        <sz val="11"/>
        <rFont val="宋体"/>
        <charset val="134"/>
      </rPr>
      <t>2</t>
    </r>
  </si>
  <si>
    <r>
      <rPr>
        <sz val="11"/>
        <rFont val="宋体"/>
        <charset val="134"/>
      </rPr>
      <t>1/2（h</t>
    </r>
    <r>
      <rPr>
        <vertAlign val="subscript"/>
        <sz val="11"/>
        <rFont val="宋体"/>
        <charset val="134"/>
      </rPr>
      <t>1</t>
    </r>
    <r>
      <rPr>
        <sz val="11"/>
        <rFont val="宋体"/>
        <charset val="134"/>
      </rPr>
      <t>+h</t>
    </r>
    <r>
      <rPr>
        <vertAlign val="subscript"/>
        <sz val="11"/>
        <rFont val="宋体"/>
        <charset val="134"/>
      </rPr>
      <t>2</t>
    </r>
    <r>
      <rPr>
        <sz val="11"/>
        <rFont val="宋体"/>
        <charset val="134"/>
      </rPr>
      <t>）</t>
    </r>
  </si>
  <si>
    <t xml:space="preserve">含
水
量
(%)
</t>
  </si>
  <si>
    <t>盒       号</t>
  </si>
  <si>
    <t>盒+湿土质量(g)</t>
  </si>
  <si>
    <t>盒+干土质量(g)</t>
  </si>
  <si>
    <t>盒 质 量(g)</t>
  </si>
  <si>
    <t>土类</t>
  </si>
  <si>
    <t>沙土</t>
  </si>
  <si>
    <t>水分质量(g)</t>
  </si>
  <si>
    <t>系数</t>
  </si>
  <si>
    <t>干土质量(g)</t>
  </si>
  <si>
    <r>
      <rPr>
        <sz val="11"/>
        <rFont val="宋体"/>
        <charset val="134"/>
      </rPr>
      <t>液限W</t>
    </r>
    <r>
      <rPr>
        <vertAlign val="subscript"/>
        <sz val="11"/>
        <rFont val="宋体"/>
        <charset val="134"/>
      </rPr>
      <t>1</t>
    </r>
    <r>
      <rPr>
        <sz val="11"/>
        <rFont val="宋体"/>
        <charset val="134"/>
      </rPr>
      <t>=</t>
    </r>
  </si>
  <si>
    <t>含 水 量(%)</t>
  </si>
  <si>
    <r>
      <rPr>
        <sz val="11"/>
        <rFont val="宋体"/>
        <charset val="134"/>
      </rPr>
      <t>塑限W</t>
    </r>
    <r>
      <rPr>
        <vertAlign val="subscript"/>
        <sz val="11"/>
        <rFont val="宋体"/>
        <charset val="134"/>
      </rPr>
      <t>2</t>
    </r>
    <r>
      <rPr>
        <sz val="11"/>
        <rFont val="宋体"/>
        <charset val="134"/>
      </rPr>
      <t>=</t>
    </r>
  </si>
  <si>
    <t>平均含水量(%)</t>
  </si>
  <si>
    <r>
      <rPr>
        <sz val="11"/>
        <rFont val="宋体"/>
        <charset val="134"/>
      </rPr>
      <t>塑性指数I</t>
    </r>
    <r>
      <rPr>
        <vertAlign val="subscript"/>
        <sz val="11"/>
        <rFont val="宋体"/>
        <charset val="134"/>
      </rPr>
      <t>P</t>
    </r>
    <r>
      <rPr>
        <sz val="11"/>
        <rFont val="宋体"/>
        <charset val="134"/>
      </rPr>
      <t>=</t>
    </r>
  </si>
  <si>
    <t>结  论</t>
  </si>
  <si>
    <t xml:space="preserve">    
    负责人:               日期:</t>
  </si>
  <si>
    <t xml:space="preserve">
监理工程师:               日期:</t>
  </si>
  <si>
    <t>c</t>
  </si>
  <si>
    <t>b</t>
  </si>
  <si>
    <t>a</t>
  </si>
  <si>
    <t>质量(g)</t>
  </si>
  <si>
    <t>入土深对数</t>
  </si>
  <si>
    <t>含水量对数</t>
  </si>
  <si>
    <t>A=</t>
  </si>
  <si>
    <t>填写</t>
  </si>
  <si>
    <t>B=</t>
  </si>
  <si>
    <t>Y=</t>
  </si>
  <si>
    <t>X</t>
  </si>
  <si>
    <t>液限的对数</t>
  </si>
  <si>
    <r>
      <rPr>
        <sz val="12"/>
        <color theme="0"/>
        <rFont val="宋体"/>
        <charset val="134"/>
      </rPr>
      <t>h</t>
    </r>
    <r>
      <rPr>
        <vertAlign val="subscript"/>
        <sz val="12"/>
        <color theme="0"/>
        <rFont val="宋体"/>
        <charset val="134"/>
      </rPr>
      <t>P</t>
    </r>
  </si>
  <si>
    <r>
      <rPr>
        <sz val="12"/>
        <color theme="0"/>
        <rFont val="宋体"/>
        <charset val="134"/>
      </rPr>
      <t>h</t>
    </r>
    <r>
      <rPr>
        <vertAlign val="subscript"/>
        <sz val="12"/>
        <color theme="0"/>
        <rFont val="宋体"/>
        <charset val="134"/>
      </rPr>
      <t>P</t>
    </r>
    <r>
      <rPr>
        <sz val="12"/>
        <color theme="0"/>
        <rFont val="宋体"/>
        <charset val="134"/>
      </rPr>
      <t>的对数</t>
    </r>
  </si>
  <si>
    <t>塑限的对数</t>
  </si>
  <si>
    <t>编号：C—3—1—</t>
  </si>
  <si>
    <t>结
论</t>
  </si>
  <si>
    <t>自由膨胀率试验记录</t>
  </si>
  <si>
    <r>
      <rPr>
        <sz val="12"/>
        <rFont val="宋体"/>
        <charset val="134"/>
      </rPr>
      <t>编号: C-3-1-</t>
    </r>
    <r>
      <rPr>
        <u/>
        <sz val="14"/>
        <rFont val="宋体"/>
        <charset val="134"/>
      </rPr>
      <t xml:space="preserve">      </t>
    </r>
    <r>
      <rPr>
        <sz val="14"/>
        <rFont val="宋体"/>
        <charset val="134"/>
      </rPr>
      <t>-</t>
    </r>
    <r>
      <rPr>
        <u/>
        <sz val="14"/>
        <rFont val="宋体"/>
        <charset val="134"/>
      </rPr>
      <t xml:space="preserve">      </t>
    </r>
    <r>
      <rPr>
        <sz val="14"/>
        <color indexed="9"/>
        <rFont val="宋体"/>
        <charset val="134"/>
      </rPr>
      <t>-</t>
    </r>
  </si>
  <si>
    <r>
      <rPr>
        <sz val="11"/>
        <rFont val="Times New Roman"/>
        <charset val="134"/>
      </rPr>
      <t>=</t>
    </r>
    <r>
      <rPr>
        <sz val="11"/>
        <rFont val="楷体_GB2312"/>
        <charset val="134"/>
      </rPr>
      <t>报告</t>
    </r>
    <r>
      <rPr>
        <sz val="11"/>
        <rFont val="Times New Roman"/>
        <charset val="134"/>
      </rPr>
      <t>!E3</t>
    </r>
  </si>
  <si>
    <t>土样
编号</t>
  </si>
  <si>
    <t>干土质量
(g)</t>
  </si>
  <si>
    <t>量筒
编号</t>
  </si>
  <si>
    <r>
      <rPr>
        <sz val="11"/>
        <rFont val="宋体"/>
        <charset val="134"/>
      </rPr>
      <t>不同时间(h)体积读数(cm</t>
    </r>
    <r>
      <rPr>
        <vertAlign val="superscript"/>
        <sz val="11"/>
        <rFont val="宋体"/>
        <charset val="134"/>
      </rPr>
      <t>3</t>
    </r>
    <r>
      <rPr>
        <sz val="11"/>
        <rFont val="宋体"/>
        <charset val="134"/>
      </rPr>
      <t>)</t>
    </r>
  </si>
  <si>
    <t>自由膨胀率(%)</t>
  </si>
  <si>
    <t>Fs</t>
  </si>
  <si>
    <t>平均值</t>
  </si>
  <si>
    <t>结 论</t>
  </si>
  <si>
    <t xml:space="preserve">
    负责人：             日期:</t>
  </si>
  <si>
    <t xml:space="preserve">   
监理工程师：             日期:</t>
  </si>
  <si>
    <t>压实度检测记录表（环刀法）</t>
  </si>
  <si>
    <t>施工单位：</t>
  </si>
  <si>
    <t xml:space="preserve">合 同 号：   </t>
  </si>
  <si>
    <t>请勿修改</t>
  </si>
  <si>
    <t>监理单位：</t>
  </si>
  <si>
    <t>土场位置：</t>
  </si>
  <si>
    <t>距路基顶面：</t>
  </si>
  <si>
    <r>
      <rPr>
        <sz val="12"/>
        <rFont val="宋体"/>
        <charset val="134"/>
      </rPr>
      <t>最大干容重</t>
    </r>
    <r>
      <rPr>
        <sz val="12"/>
        <rFont val="Times New Roman"/>
        <charset val="134"/>
      </rPr>
      <t>(</t>
    </r>
    <r>
      <rPr>
        <sz val="12"/>
        <rFont val="宋体"/>
        <charset val="134"/>
      </rPr>
      <t>g/cm3)：</t>
    </r>
  </si>
  <si>
    <t>检测范围：</t>
  </si>
  <si>
    <t>最佳含水量（%）：</t>
  </si>
  <si>
    <t>检查日期：</t>
  </si>
  <si>
    <r>
      <rPr>
        <sz val="12"/>
        <rFont val="宋体"/>
        <charset val="134"/>
      </rPr>
      <t>试验规程：</t>
    </r>
    <r>
      <rPr>
        <sz val="12"/>
        <rFont val="Times New Roman"/>
        <charset val="134"/>
      </rPr>
      <t xml:space="preserve">              JTJ  051-93 </t>
    </r>
    <r>
      <rPr>
        <sz val="12"/>
        <rFont val="宋体"/>
        <charset val="134"/>
      </rPr>
      <t xml:space="preserve">        </t>
    </r>
  </si>
  <si>
    <r>
      <rPr>
        <sz val="12"/>
        <rFont val="宋体"/>
        <charset val="134"/>
      </rPr>
      <t xml:space="preserve"> 编号：C-2-1-</t>
    </r>
    <r>
      <rPr>
        <sz val="16"/>
        <rFont val="宋体"/>
        <charset val="134"/>
      </rPr>
      <t>□□□-□□□□</t>
    </r>
  </si>
  <si>
    <t>环刀号</t>
  </si>
  <si>
    <r>
      <rPr>
        <sz val="12"/>
        <rFont val="宋体"/>
        <charset val="134"/>
      </rPr>
      <t>环刀容积（cm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）</t>
    </r>
  </si>
  <si>
    <t>环刀重量（g）</t>
  </si>
  <si>
    <t>土+环刀重（g）</t>
  </si>
  <si>
    <t>土重（g）</t>
  </si>
  <si>
    <r>
      <rPr>
        <sz val="12"/>
        <rFont val="宋体"/>
        <charset val="134"/>
      </rPr>
      <t>湿容重（g/cm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）</t>
    </r>
  </si>
  <si>
    <t>盒  号</t>
  </si>
  <si>
    <t>盒+湿土重（g）</t>
  </si>
  <si>
    <t>盒+干土重（g）</t>
  </si>
  <si>
    <t>水重（g）</t>
  </si>
  <si>
    <t>盒重（g）</t>
  </si>
  <si>
    <t>干土重（g）</t>
  </si>
  <si>
    <r>
      <rPr>
        <sz val="12"/>
        <rFont val="宋体"/>
        <charset val="134"/>
      </rPr>
      <t>干容重（g/cm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）</t>
    </r>
  </si>
  <si>
    <t>压实度（%）</t>
  </si>
  <si>
    <t xml:space="preserve">           负责人：              日期：</t>
  </si>
  <si>
    <t xml:space="preserve">          监理工程师：           日期：</t>
  </si>
  <si>
    <t xml:space="preserve">试验：                                     </t>
  </si>
  <si>
    <t>记录（计算）：</t>
  </si>
  <si>
    <t xml:space="preserve"> 复核：      </t>
  </si>
  <si>
    <t>容积</t>
  </si>
  <si>
    <t>压实度检测记录表（灌砂法）</t>
  </si>
  <si>
    <t xml:space="preserve"> 编号：C-2-1-S01- </t>
  </si>
  <si>
    <t>施工单位:</t>
  </si>
  <si>
    <t>合     同     号：       01</t>
  </si>
  <si>
    <r>
      <rPr>
        <sz val="11"/>
        <rFont val="宋体"/>
        <charset val="134"/>
      </rPr>
      <t>试</t>
    </r>
    <r>
      <rPr>
        <sz val="11"/>
        <rFont val="Times New Roman"/>
        <charset val="134"/>
      </rPr>
      <t xml:space="preserve">     </t>
    </r>
    <r>
      <rPr>
        <sz val="11"/>
        <rFont val="宋体"/>
        <charset val="134"/>
      </rPr>
      <t>验</t>
    </r>
    <r>
      <rPr>
        <sz val="11"/>
        <rFont val="Times New Roman"/>
        <charset val="134"/>
      </rPr>
      <t xml:space="preserve">     </t>
    </r>
    <r>
      <rPr>
        <sz val="11"/>
        <rFont val="宋体"/>
        <charset val="134"/>
      </rPr>
      <t>规</t>
    </r>
    <r>
      <rPr>
        <sz val="11"/>
        <rFont val="Times New Roman"/>
        <charset val="134"/>
      </rPr>
      <t xml:space="preserve">     </t>
    </r>
    <r>
      <rPr>
        <sz val="11"/>
        <rFont val="宋体"/>
        <charset val="134"/>
      </rPr>
      <t>程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 xml:space="preserve">：   </t>
    </r>
    <r>
      <rPr>
        <sz val="11"/>
        <rFont val="宋体"/>
        <charset val="134"/>
        <scheme val="minor"/>
      </rPr>
      <t xml:space="preserve">JTJ 051-93 </t>
    </r>
    <r>
      <rPr>
        <sz val="11"/>
        <rFont val="宋体"/>
        <charset val="134"/>
      </rPr>
      <t xml:space="preserve">        </t>
    </r>
  </si>
  <si>
    <t>要求K值∶</t>
  </si>
  <si>
    <t>区第五层</t>
  </si>
  <si>
    <t>距路基顶面高差 ∶</t>
  </si>
  <si>
    <t xml:space="preserve">     m</t>
  </si>
  <si>
    <r>
      <rPr>
        <sz val="11"/>
        <rFont val="宋体"/>
        <charset val="134"/>
      </rPr>
      <t>最大干容重</t>
    </r>
    <r>
      <rPr>
        <sz val="10"/>
        <rFont val="宋体"/>
        <charset val="134"/>
        <scheme val="minor"/>
      </rPr>
      <t>(</t>
    </r>
    <r>
      <rPr>
        <sz val="10"/>
        <rFont val="宋体"/>
        <charset val="134"/>
      </rPr>
      <t>g/cm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  <r>
      <rPr>
        <sz val="12"/>
        <rFont val="宋体"/>
        <charset val="134"/>
      </rPr>
      <t>：</t>
    </r>
  </si>
  <si>
    <r>
      <rPr>
        <sz val="11"/>
        <rFont val="宋体"/>
        <charset val="134"/>
      </rPr>
      <t xml:space="preserve">最佳含水量 </t>
    </r>
    <r>
      <rPr>
        <sz val="12"/>
        <rFont val="宋体"/>
        <charset val="134"/>
      </rPr>
      <t>（%）：</t>
    </r>
  </si>
  <si>
    <t>锥体砂重：</t>
  </si>
  <si>
    <t>(g)</t>
  </si>
  <si>
    <r>
      <rPr>
        <sz val="11"/>
        <rFont val="宋体"/>
        <charset val="134"/>
      </rPr>
      <t>砂单位重</t>
    </r>
    <r>
      <rPr>
        <sz val="10"/>
        <rFont val="Times New Roman"/>
        <charset val="134"/>
      </rPr>
      <t xml:space="preserve">     </t>
    </r>
    <r>
      <rPr>
        <sz val="10"/>
        <rFont val="宋体"/>
        <charset val="134"/>
        <scheme val="minor"/>
      </rPr>
      <t>(g/cm</t>
    </r>
    <r>
      <rPr>
        <vertAlign val="superscript"/>
        <sz val="10"/>
        <rFont val="宋体"/>
        <charset val="134"/>
        <scheme val="minor"/>
      </rPr>
      <t>3</t>
    </r>
    <r>
      <rPr>
        <sz val="10"/>
        <rFont val="宋体"/>
        <charset val="134"/>
        <scheme val="minor"/>
      </rPr>
      <t>)</t>
    </r>
    <r>
      <rPr>
        <sz val="12"/>
        <rFont val="宋体"/>
        <charset val="134"/>
        <scheme val="minor"/>
      </rPr>
      <t>：</t>
    </r>
  </si>
  <si>
    <t xml:space="preserve">K8+150左 </t>
  </si>
  <si>
    <t>K8+170左</t>
  </si>
  <si>
    <t>K8+190左</t>
  </si>
  <si>
    <r>
      <rPr>
        <sz val="12"/>
        <rFont val="宋体"/>
        <charset val="134"/>
      </rPr>
      <t>灌前筒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砂重（</t>
    </r>
    <r>
      <rPr>
        <sz val="12"/>
        <rFont val="Times New Roman"/>
        <charset val="134"/>
      </rPr>
      <t>g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</si>
  <si>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灌后筒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砂重（g）</t>
    </r>
  </si>
  <si>
    <r>
      <rPr>
        <sz val="12"/>
        <rFont val="宋体"/>
        <charset val="134"/>
      </rPr>
      <t>坑内砂重（</t>
    </r>
    <r>
      <rPr>
        <sz val="12"/>
        <rFont val="Times New Roman"/>
        <charset val="134"/>
      </rPr>
      <t>g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</si>
  <si>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试坑体积（</t>
    </r>
    <r>
      <rPr>
        <sz val="12"/>
        <rFont val="Times New Roman"/>
        <charset val="134"/>
      </rPr>
      <t>cm</t>
    </r>
    <r>
      <rPr>
        <vertAlign val="superscript"/>
        <sz val="12"/>
        <rFont val="Times New Roman"/>
        <charset val="134"/>
      </rPr>
      <t>3</t>
    </r>
    <r>
      <rPr>
        <sz val="12"/>
        <rFont val="Times New Roman"/>
        <charset val="134"/>
      </rPr>
      <t>)</t>
    </r>
  </si>
  <si>
    <t>坑内土重（g）</t>
  </si>
  <si>
    <t xml:space="preserve">           负责人：                日期：</t>
  </si>
  <si>
    <t xml:space="preserve">          监理工程师：               日期：</t>
  </si>
  <si>
    <r>
      <rPr>
        <sz val="12"/>
        <rFont val="Times New Roman"/>
        <charset val="134"/>
      </rPr>
      <t xml:space="preserve">        </t>
    </r>
    <r>
      <rPr>
        <sz val="12"/>
        <rFont val="宋体"/>
        <charset val="134"/>
      </rPr>
      <t>记录（计算）：</t>
    </r>
  </si>
  <si>
    <t xml:space="preserve">      复核：      </t>
  </si>
  <si>
    <t>盐池至中宁高速公路</t>
  </si>
  <si>
    <r>
      <rPr>
        <b/>
        <sz val="16"/>
        <rFont val="宋体"/>
        <charset val="134"/>
      </rPr>
      <t>压实度试验</t>
    </r>
    <r>
      <rPr>
        <b/>
        <sz val="16"/>
        <rFont val="Times New Roman"/>
        <charset val="134"/>
      </rPr>
      <t>(</t>
    </r>
    <r>
      <rPr>
        <b/>
        <sz val="16"/>
        <rFont val="宋体"/>
        <charset val="134"/>
      </rPr>
      <t>灌砂法</t>
    </r>
    <r>
      <rPr>
        <b/>
        <sz val="16"/>
        <rFont val="Times New Roman"/>
        <charset val="134"/>
      </rPr>
      <t>)</t>
    </r>
    <r>
      <rPr>
        <b/>
        <sz val="16"/>
        <rFont val="宋体"/>
        <charset val="134"/>
      </rPr>
      <t>记录</t>
    </r>
  </si>
  <si>
    <r>
      <rPr>
        <sz val="10.5"/>
        <rFont val="宋体"/>
        <charset val="134"/>
      </rPr>
      <t>合同段：</t>
    </r>
    <r>
      <rPr>
        <sz val="10.5"/>
        <rFont val="Times New Roman"/>
        <charset val="134"/>
      </rPr>
      <t xml:space="preserve">LQ02                                                                                                                    </t>
    </r>
    <r>
      <rPr>
        <sz val="10.5"/>
        <rFont val="宋体"/>
        <charset val="134"/>
      </rPr>
      <t>试验编号</t>
    </r>
    <r>
      <rPr>
        <sz val="10.5"/>
        <rFont val="Times New Roman"/>
        <charset val="134"/>
      </rPr>
      <t>:</t>
    </r>
  </si>
  <si>
    <t>工程名称</t>
  </si>
  <si>
    <t>盐中高速公路</t>
  </si>
  <si>
    <t>试验单位</t>
  </si>
  <si>
    <t>黑龙江北方有色建设有限责任公司</t>
  </si>
  <si>
    <t>JTJ059-(T0921-95)</t>
  </si>
  <si>
    <t>2007.3.23</t>
  </si>
  <si>
    <t>起讫桩号</t>
  </si>
  <si>
    <r>
      <rPr>
        <sz val="10"/>
        <rFont val="Times New Roman"/>
        <charset val="134"/>
      </rPr>
      <t>YK3+680~YK3+860</t>
    </r>
    <r>
      <rPr>
        <sz val="10"/>
        <rFont val="宋体"/>
        <charset val="134"/>
      </rPr>
      <t>右幅</t>
    </r>
  </si>
  <si>
    <t>结构层次</t>
  </si>
  <si>
    <t>填前碾压</t>
  </si>
  <si>
    <r>
      <rPr>
        <sz val="10"/>
        <rFont val="宋体"/>
        <charset val="134"/>
      </rPr>
      <t>最佳含水量</t>
    </r>
    <r>
      <rPr>
        <sz val="10"/>
        <rFont val="Times New Roman"/>
        <charset val="134"/>
      </rPr>
      <t>%</t>
    </r>
  </si>
  <si>
    <r>
      <rPr>
        <sz val="10"/>
        <rFont val="宋体"/>
        <charset val="134"/>
      </rPr>
      <t>要求压实度</t>
    </r>
    <r>
      <rPr>
        <sz val="10"/>
        <rFont val="Times New Roman"/>
        <charset val="134"/>
      </rPr>
      <t>%</t>
    </r>
  </si>
  <si>
    <t>取样位置</t>
  </si>
  <si>
    <r>
      <rPr>
        <sz val="10"/>
        <rFont val="Times New Roman"/>
        <charset val="134"/>
      </rPr>
      <t>YK3+860</t>
    </r>
    <r>
      <rPr>
        <sz val="10"/>
        <rFont val="宋体"/>
        <charset val="134"/>
      </rPr>
      <t>左</t>
    </r>
  </si>
  <si>
    <r>
      <rPr>
        <sz val="10"/>
        <rFont val="Times New Roman"/>
        <charset val="134"/>
      </rPr>
      <t>YK3+840</t>
    </r>
    <r>
      <rPr>
        <sz val="10"/>
        <rFont val="宋体"/>
        <charset val="134"/>
      </rPr>
      <t>右</t>
    </r>
  </si>
  <si>
    <r>
      <rPr>
        <sz val="10"/>
        <rFont val="Times New Roman"/>
        <charset val="134"/>
      </rPr>
      <t>YK3+820</t>
    </r>
    <r>
      <rPr>
        <sz val="10"/>
        <rFont val="宋体"/>
        <charset val="134"/>
      </rPr>
      <t>左</t>
    </r>
  </si>
  <si>
    <r>
      <rPr>
        <sz val="10"/>
        <rFont val="Times New Roman"/>
        <charset val="134"/>
      </rPr>
      <t>YK3+780</t>
    </r>
    <r>
      <rPr>
        <sz val="10"/>
        <rFont val="宋体"/>
        <charset val="134"/>
      </rPr>
      <t>左</t>
    </r>
  </si>
  <si>
    <r>
      <rPr>
        <sz val="10"/>
        <rFont val="Times New Roman"/>
        <charset val="134"/>
      </rPr>
      <t>YK3+760</t>
    </r>
    <r>
      <rPr>
        <sz val="10"/>
        <rFont val="宋体"/>
        <charset val="134"/>
      </rPr>
      <t>右</t>
    </r>
  </si>
  <si>
    <r>
      <rPr>
        <sz val="10"/>
        <rFont val="宋体"/>
        <charset val="134"/>
      </rPr>
      <t>试洞深度（</t>
    </r>
    <r>
      <rPr>
        <sz val="10"/>
        <rFont val="Times New Roman"/>
        <charset val="134"/>
      </rPr>
      <t>cm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</si>
  <si>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灌砂前筒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砂重（</t>
    </r>
    <r>
      <rPr>
        <sz val="10"/>
        <rFont val="Times New Roman"/>
        <charset val="134"/>
      </rPr>
      <t>g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</si>
  <si>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灌砂后筒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砂重（</t>
    </r>
    <r>
      <rPr>
        <sz val="10"/>
        <rFont val="Times New Roman"/>
        <charset val="134"/>
      </rPr>
      <t>g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</si>
  <si>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锥体砂重（</t>
    </r>
    <r>
      <rPr>
        <sz val="10"/>
        <rFont val="Times New Roman"/>
        <charset val="134"/>
      </rPr>
      <t>g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</si>
  <si>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灌入试洞内砂重（</t>
    </r>
    <r>
      <rPr>
        <sz val="10"/>
        <rFont val="Times New Roman"/>
        <charset val="134"/>
      </rPr>
      <t>g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</si>
  <si>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标准砂密度（</t>
    </r>
    <r>
      <rPr>
        <sz val="10"/>
        <rFont val="Times New Roman"/>
        <charset val="134"/>
      </rPr>
      <t>g/cm3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</si>
  <si>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试样质量（</t>
    </r>
    <r>
      <rPr>
        <sz val="10"/>
        <rFont val="Times New Roman"/>
        <charset val="134"/>
      </rPr>
      <t>g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</si>
  <si>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试洞体积（</t>
    </r>
    <r>
      <rPr>
        <sz val="10"/>
        <rFont val="Times New Roman"/>
        <charset val="134"/>
      </rPr>
      <t>cm3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</si>
  <si>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湿密度（</t>
    </r>
    <r>
      <rPr>
        <sz val="10"/>
        <rFont val="Times New Roman"/>
        <charset val="134"/>
      </rPr>
      <t>g/cm3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</si>
  <si>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盒重（</t>
    </r>
    <r>
      <rPr>
        <sz val="10"/>
        <rFont val="Times New Roman"/>
        <charset val="134"/>
      </rPr>
      <t>g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</si>
  <si>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盒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湿样重（</t>
    </r>
    <r>
      <rPr>
        <sz val="10"/>
        <rFont val="Times New Roman"/>
        <charset val="134"/>
      </rPr>
      <t>g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</si>
  <si>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盒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干样重（</t>
    </r>
    <r>
      <rPr>
        <sz val="10"/>
        <rFont val="Times New Roman"/>
        <charset val="134"/>
      </rPr>
      <t>g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</si>
  <si>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水分重（</t>
    </r>
    <r>
      <rPr>
        <sz val="10"/>
        <rFont val="Times New Roman"/>
        <charset val="134"/>
      </rPr>
      <t>g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</si>
  <si>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干样重（</t>
    </r>
    <r>
      <rPr>
        <sz val="10"/>
        <rFont val="Times New Roman"/>
        <charset val="134"/>
      </rPr>
      <t>g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</si>
  <si>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含水量（</t>
    </r>
    <r>
      <rPr>
        <sz val="10"/>
        <rFont val="Times New Roman"/>
        <charset val="134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</si>
  <si>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平均含水量（</t>
    </r>
    <r>
      <rPr>
        <sz val="10"/>
        <rFont val="Times New Roman"/>
        <charset val="134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</si>
  <si>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干密度（</t>
    </r>
    <r>
      <rPr>
        <sz val="10"/>
        <rFont val="Times New Roman"/>
        <charset val="134"/>
      </rPr>
      <t>g/cm3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</si>
  <si>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最大干密度（</t>
    </r>
    <r>
      <rPr>
        <sz val="10"/>
        <rFont val="Times New Roman"/>
        <charset val="134"/>
      </rPr>
      <t>g/cm3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</si>
  <si>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压实度（</t>
    </r>
    <r>
      <rPr>
        <sz val="10"/>
        <rFont val="Times New Roman"/>
        <charset val="134"/>
      </rPr>
      <t>%</t>
    </r>
    <r>
      <rPr>
        <sz val="10"/>
        <rFont val="宋体"/>
        <charset val="134"/>
      </rPr>
      <t>）</t>
    </r>
  </si>
  <si>
    <t>主  管</t>
  </si>
  <si>
    <t>复  核</t>
  </si>
  <si>
    <t>试  验</t>
  </si>
  <si>
    <t>结论：</t>
  </si>
  <si>
    <r>
      <rPr>
        <sz val="10"/>
        <rFont val="Times New Roman"/>
        <charset val="134"/>
      </rPr>
      <t xml:space="preserve">                                                                                                            </t>
    </r>
    <r>
      <rPr>
        <sz val="10"/>
        <rFont val="宋体"/>
        <charset val="134"/>
      </rPr>
      <t>签名：</t>
    </r>
    <r>
      <rPr>
        <sz val="10"/>
        <rFont val="Times New Roman"/>
        <charset val="134"/>
      </rPr>
      <t xml:space="preserve">                 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 xml:space="preserve">        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 xml:space="preserve">        </t>
    </r>
    <r>
      <rPr>
        <sz val="10"/>
        <rFont val="宋体"/>
        <charset val="134"/>
      </rPr>
      <t>日</t>
    </r>
  </si>
  <si>
    <t>监理意见：</t>
  </si>
  <si>
    <t>铝盒盒号及对应质量</t>
  </si>
  <si>
    <t>大盒号</t>
  </si>
  <si>
    <t>07</t>
  </si>
  <si>
    <t>013</t>
  </si>
  <si>
    <t>025</t>
  </si>
  <si>
    <t>012</t>
  </si>
  <si>
    <t>019</t>
  </si>
  <si>
    <t>方盒号</t>
  </si>
  <si>
    <t>062</t>
  </si>
  <si>
    <t>08</t>
  </si>
  <si>
    <t>09</t>
  </si>
  <si>
    <r>
      <rPr>
        <b/>
        <sz val="26"/>
        <rFont val="华文彩云"/>
        <charset val="134"/>
      </rPr>
      <t>环刀编号及容积</t>
    </r>
    <r>
      <rPr>
        <b/>
        <sz val="14"/>
        <rFont val="华文彩云"/>
        <charset val="134"/>
      </rPr>
      <t>(mm,mm</t>
    </r>
    <r>
      <rPr>
        <b/>
        <vertAlign val="superscript"/>
        <sz val="14"/>
        <rFont val="华文彩云"/>
        <charset val="134"/>
      </rPr>
      <t>2</t>
    </r>
    <r>
      <rPr>
        <b/>
        <sz val="14"/>
        <rFont val="华文彩云"/>
        <charset val="134"/>
      </rPr>
      <t>)</t>
    </r>
  </si>
  <si>
    <t>上内径1</t>
  </si>
  <si>
    <r>
      <rPr>
        <b/>
        <sz val="12"/>
        <rFont val="楷体_GB2312"/>
        <charset val="134"/>
      </rPr>
      <t>上内径2</t>
    </r>
  </si>
  <si>
    <r>
      <rPr>
        <b/>
        <sz val="12"/>
        <rFont val="楷体_GB2312"/>
        <charset val="134"/>
      </rPr>
      <t>平均内径</t>
    </r>
  </si>
  <si>
    <t>上口面积</t>
  </si>
  <si>
    <t>下内径1</t>
  </si>
  <si>
    <t>下内径2</t>
  </si>
  <si>
    <t>平均内径</t>
  </si>
  <si>
    <t>下口面积</t>
  </si>
  <si>
    <t>平均面积</t>
  </si>
  <si>
    <t>高1</t>
  </si>
  <si>
    <r>
      <rPr>
        <b/>
        <sz val="12"/>
        <rFont val="楷体_GB2312"/>
        <charset val="134"/>
      </rPr>
      <t>高2</t>
    </r>
  </si>
  <si>
    <t>平均高</t>
  </si>
  <si>
    <r>
      <rPr>
        <b/>
        <sz val="12"/>
        <rFont val="楷体_GB2312"/>
        <charset val="134"/>
      </rPr>
      <t>容积(cm</t>
    </r>
    <r>
      <rPr>
        <b/>
        <vertAlign val="superscript"/>
        <sz val="12"/>
        <rFont val="楷体_GB2312"/>
        <charset val="134"/>
      </rPr>
      <t>3</t>
    </r>
    <r>
      <rPr>
        <b/>
        <sz val="12"/>
        <rFont val="楷体_GB2312"/>
        <charset val="134"/>
      </rPr>
      <t>)</t>
    </r>
  </si>
  <si>
    <r>
      <rPr>
        <b/>
        <sz val="12"/>
        <rFont val="楷体_GB2312"/>
        <charset val="134"/>
      </rPr>
      <t>环刀质量</t>
    </r>
    <r>
      <rPr>
        <b/>
        <sz val="12"/>
        <rFont val="Times New Roman"/>
        <charset val="134"/>
      </rPr>
      <t>(g)</t>
    </r>
  </si>
</sst>
</file>

<file path=xl/styles.xml><?xml version="1.0" encoding="utf-8"?>
<styleSheet xmlns="http://schemas.openxmlformats.org/spreadsheetml/2006/main">
  <numFmts count="12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_);[Red]\(0.0\)"/>
    <numFmt numFmtId="177" formatCode="0.0_ "/>
    <numFmt numFmtId="178" formatCode="0.000_ "/>
    <numFmt numFmtId="179" formatCode="0.00_ "/>
    <numFmt numFmtId="180" formatCode="0_ "/>
    <numFmt numFmtId="181" formatCode="0.00_);[Red]\(0.00\)"/>
    <numFmt numFmtId="182" formatCode="0.0"/>
    <numFmt numFmtId="183" formatCode="0.0000_ "/>
  </numFmts>
  <fonts count="103">
    <font>
      <sz val="12"/>
      <name val="宋体"/>
      <charset val="134"/>
    </font>
    <font>
      <b/>
      <sz val="26"/>
      <name val="华文彩云"/>
      <charset val="134"/>
    </font>
    <font>
      <b/>
      <sz val="12"/>
      <name val="楷体_GB2312"/>
      <charset val="134"/>
    </font>
    <font>
      <b/>
      <sz val="14"/>
      <name val="Vrinda"/>
      <charset val="134"/>
    </font>
    <font>
      <sz val="14"/>
      <name val="Vrinda"/>
      <charset val="134"/>
    </font>
    <font>
      <sz val="14"/>
      <color indexed="9"/>
      <name val="Vrinda"/>
      <charset val="134"/>
    </font>
    <font>
      <b/>
      <sz val="14"/>
      <color indexed="10"/>
      <name val="Vrinda"/>
      <charset val="134"/>
    </font>
    <font>
      <b/>
      <sz val="14"/>
      <name val="楷体_GB2312"/>
      <charset val="134"/>
    </font>
    <font>
      <b/>
      <sz val="36"/>
      <name val="华文彩云"/>
      <charset val="134"/>
    </font>
    <font>
      <b/>
      <sz val="14"/>
      <name val="TechnicBold"/>
      <charset val="2"/>
    </font>
    <font>
      <sz val="12"/>
      <color indexed="9"/>
      <name val="宋体"/>
      <charset val="134"/>
    </font>
    <font>
      <sz val="16"/>
      <name val="宋体"/>
      <charset val="134"/>
    </font>
    <font>
      <b/>
      <sz val="16"/>
      <name val="宋体"/>
      <charset val="134"/>
    </font>
    <font>
      <sz val="10.5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sz val="9"/>
      <name val="宋体"/>
      <charset val="134"/>
    </font>
    <font>
      <b/>
      <sz val="20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12"/>
      <name val="Times New Roman"/>
      <charset val="134"/>
    </font>
    <font>
      <b/>
      <sz val="20"/>
      <name val="华文新魏"/>
      <charset val="134"/>
    </font>
    <font>
      <b/>
      <sz val="14"/>
      <color indexed="9"/>
      <name val="Vrinda"/>
      <charset val="134"/>
    </font>
    <font>
      <b/>
      <sz val="20"/>
      <color indexed="9"/>
      <name val="华文新魏"/>
      <charset val="134"/>
    </font>
    <font>
      <b/>
      <sz val="18"/>
      <name val="宋体"/>
      <charset val="134"/>
    </font>
    <font>
      <sz val="9"/>
      <name val="楷体_GB2312"/>
      <charset val="134"/>
    </font>
    <font>
      <sz val="11"/>
      <name val="楷体_GB2312"/>
      <charset val="134"/>
    </font>
    <font>
      <sz val="11"/>
      <name val="Times New Roman"/>
      <charset val="134"/>
    </font>
    <font>
      <b/>
      <sz val="11"/>
      <name val="楷体_GB2312"/>
      <charset val="134"/>
    </font>
    <font>
      <b/>
      <sz val="14"/>
      <name val="宋体"/>
      <charset val="134"/>
    </font>
    <font>
      <sz val="12"/>
      <name val="楷体_GB2312"/>
      <charset val="134"/>
    </font>
    <font>
      <sz val="10.5"/>
      <name val="Times New Roman"/>
      <charset val="134"/>
    </font>
    <font>
      <b/>
      <sz val="12"/>
      <name val="Times New Roman"/>
      <charset val="134"/>
    </font>
    <font>
      <sz val="10.5"/>
      <name val="宋体"/>
      <charset val="134"/>
      <scheme val="minor"/>
    </font>
    <font>
      <b/>
      <sz val="14"/>
      <name val="Times New Roman"/>
      <charset val="134"/>
    </font>
    <font>
      <sz val="12"/>
      <name val="微软雅黑"/>
      <charset val="134"/>
    </font>
    <font>
      <sz val="14"/>
      <name val="宋体"/>
      <charset val="134"/>
    </font>
    <font>
      <sz val="11"/>
      <color rgb="FFFF0000"/>
      <name val="楷体_GB2312"/>
      <charset val="134"/>
    </font>
    <font>
      <sz val="12"/>
      <color theme="0"/>
      <name val="宋体"/>
      <charset val="134"/>
    </font>
    <font>
      <b/>
      <sz val="14"/>
      <color theme="0"/>
      <name val="楷体_GB2312"/>
      <charset val="134"/>
    </font>
    <font>
      <b/>
      <sz val="14"/>
      <color theme="0"/>
      <name val="TechnicBold"/>
      <charset val="2"/>
    </font>
    <font>
      <sz val="12"/>
      <color rgb="FFFF0000"/>
      <name val="宋体"/>
      <charset val="134"/>
    </font>
    <font>
      <sz val="11"/>
      <name val="微软雅黑"/>
      <charset val="134"/>
    </font>
    <font>
      <sz val="10"/>
      <name val="楷体_GB2312"/>
      <charset val="134"/>
    </font>
    <font>
      <b/>
      <sz val="12"/>
      <name val="宋体"/>
      <charset val="134"/>
    </font>
    <font>
      <sz val="10.5"/>
      <color theme="0"/>
      <name val="宋体"/>
      <charset val="134"/>
    </font>
    <font>
      <sz val="16"/>
      <color indexed="12"/>
      <name val="华文中宋"/>
      <charset val="134"/>
    </font>
    <font>
      <sz val="12"/>
      <color indexed="9"/>
      <name val="华文中宋"/>
      <charset val="134"/>
    </font>
    <font>
      <sz val="14"/>
      <color indexed="9"/>
      <name val="Arial"/>
      <charset val="134"/>
    </font>
    <font>
      <b/>
      <sz val="11"/>
      <color indexed="9"/>
      <name val="Times New Roman"/>
      <charset val="134"/>
    </font>
    <font>
      <b/>
      <sz val="36"/>
      <color indexed="12"/>
      <name val="楷体_GB2312"/>
      <charset val="134"/>
    </font>
    <font>
      <sz val="10.5"/>
      <color theme="0"/>
      <name val="Times New Roman"/>
      <charset val="134"/>
    </font>
    <font>
      <sz val="1"/>
      <color theme="0"/>
      <name val="楷体_GB2312"/>
      <charset val="134"/>
    </font>
    <font>
      <sz val="10.5"/>
      <color rgb="FFFF0000"/>
      <name val="宋体"/>
      <charset val="134"/>
      <scheme val="minor"/>
    </font>
    <font>
      <sz val="10.5"/>
      <color rgb="FFFF0000"/>
      <name val="宋体"/>
      <charset val="134"/>
    </font>
    <font>
      <sz val="1"/>
      <color theme="0"/>
      <name val="宋体"/>
      <charset val="134"/>
    </font>
    <font>
      <sz val="20"/>
      <name val="华文中宋"/>
      <charset val="134"/>
    </font>
    <font>
      <sz val="16"/>
      <color indexed="12"/>
      <name val="宋体"/>
      <charset val="134"/>
    </font>
    <font>
      <sz val="12"/>
      <color indexed="8"/>
      <name val="宋体"/>
      <charset val="134"/>
    </font>
    <font>
      <sz val="16"/>
      <color indexed="10"/>
      <name val="楷体_GB2312"/>
      <charset val="134"/>
    </font>
    <font>
      <sz val="16"/>
      <color indexed="10"/>
      <name val="宋体"/>
      <charset val="134"/>
    </font>
    <font>
      <sz val="16"/>
      <name val="黑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4"/>
      <name val="华文彩云"/>
      <charset val="134"/>
    </font>
    <font>
      <b/>
      <vertAlign val="superscript"/>
      <sz val="14"/>
      <name val="华文彩云"/>
      <charset val="134"/>
    </font>
    <font>
      <b/>
      <vertAlign val="superscript"/>
      <sz val="12"/>
      <name val="楷体_GB2312"/>
      <charset val="134"/>
    </font>
    <font>
      <b/>
      <sz val="16"/>
      <name val="Times New Roman"/>
      <charset val="134"/>
    </font>
    <font>
      <sz val="10"/>
      <name val="宋体"/>
      <charset val="134"/>
      <scheme val="minor"/>
    </font>
    <font>
      <vertAlign val="superscript"/>
      <sz val="10"/>
      <name val="宋体"/>
      <charset val="134"/>
    </font>
    <font>
      <vertAlign val="superscript"/>
      <sz val="10"/>
      <name val="宋体"/>
      <charset val="134"/>
      <scheme val="minor"/>
    </font>
    <font>
      <vertAlign val="superscript"/>
      <sz val="12"/>
      <name val="Times New Roman"/>
      <charset val="134"/>
    </font>
    <font>
      <vertAlign val="superscript"/>
      <sz val="12"/>
      <name val="宋体"/>
      <charset val="134"/>
    </font>
    <font>
      <u/>
      <sz val="14"/>
      <name val="宋体"/>
      <charset val="134"/>
    </font>
    <font>
      <sz val="14"/>
      <color indexed="9"/>
      <name val="宋体"/>
      <charset val="134"/>
    </font>
    <font>
      <vertAlign val="superscript"/>
      <sz val="11"/>
      <name val="宋体"/>
      <charset val="134"/>
    </font>
    <font>
      <vertAlign val="subscript"/>
      <sz val="11"/>
      <name val="宋体"/>
      <charset val="134"/>
    </font>
    <font>
      <vertAlign val="subscript"/>
      <sz val="12"/>
      <color theme="0"/>
      <name val="宋体"/>
      <charset val="134"/>
    </font>
    <font>
      <i/>
      <sz val="10"/>
      <name val="宋体"/>
      <charset val="134"/>
    </font>
    <font>
      <vertAlign val="superscript"/>
      <sz val="10.5"/>
      <name val="Times New Roman"/>
      <charset val="134"/>
    </font>
    <font>
      <sz val="12"/>
      <color indexed="10"/>
      <name val="宋体"/>
      <charset val="134"/>
    </font>
    <font>
      <sz val="12"/>
      <color indexed="12"/>
      <name val="华文行楷"/>
      <charset val="134"/>
    </font>
    <font>
      <sz val="12"/>
      <color indexed="12"/>
      <name val="宋体"/>
      <charset val="134"/>
    </font>
    <font>
      <sz val="14"/>
      <color indexed="10"/>
      <name val="楷体_GB2312"/>
      <charset val="13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67" fillId="0" borderId="0" applyFont="0" applyFill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75" fillId="34" borderId="39" applyNumberFormat="0" applyAlignment="0" applyProtection="0">
      <alignment vertical="center"/>
    </xf>
    <xf numFmtId="44" fontId="67" fillId="0" borderId="0" applyFont="0" applyFill="0" applyBorder="0" applyAlignment="0" applyProtection="0">
      <alignment vertical="center"/>
    </xf>
    <xf numFmtId="41" fontId="67" fillId="0" borderId="0" applyFont="0" applyFill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43" fontId="67" fillId="0" borderId="0" applyFont="0" applyFill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9" fontId="67" fillId="0" borderId="0" applyFon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7" fillId="30" borderId="40" applyNumberFormat="0" applyFont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69" fillId="0" borderId="38" applyNumberFormat="0" applyFill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78" fillId="0" borderId="43" applyNumberFormat="0" applyFill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79" fillId="29" borderId="42" applyNumberFormat="0" applyAlignment="0" applyProtection="0">
      <alignment vertical="center"/>
    </xf>
    <xf numFmtId="0" fontId="73" fillId="29" borderId="39" applyNumberFormat="0" applyAlignment="0" applyProtection="0">
      <alignment vertical="center"/>
    </xf>
    <xf numFmtId="0" fontId="65" fillId="15" borderId="37" applyNumberFormat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76" fillId="0" borderId="41" applyNumberFormat="0" applyFill="0" applyAlignment="0" applyProtection="0">
      <alignment vertical="center"/>
    </xf>
    <xf numFmtId="0" fontId="81" fillId="0" borderId="44" applyNumberFormat="0" applyFill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4" fillId="40" borderId="0" applyNumberFormat="0" applyBorder="0" applyAlignment="0" applyProtection="0">
      <alignment vertical="center"/>
    </xf>
    <xf numFmtId="0" fontId="64" fillId="22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43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</cellStyleXfs>
  <cellXfs count="56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center" vertical="center"/>
    </xf>
    <xf numFmtId="17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Fill="1" applyBorder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177" fontId="15" fillId="0" borderId="6" xfId="0" applyNumberFormat="1" applyFont="1" applyBorder="1" applyAlignment="1">
      <alignment horizontal="center" vertical="center" wrapText="1"/>
    </xf>
    <xf numFmtId="177" fontId="15" fillId="0" borderId="7" xfId="0" applyNumberFormat="1" applyFont="1" applyBorder="1" applyAlignment="1">
      <alignment horizontal="center" vertical="center" wrapText="1"/>
    </xf>
    <xf numFmtId="177" fontId="15" fillId="0" borderId="8" xfId="0" applyNumberFormat="1" applyFont="1" applyBorder="1" applyAlignment="1">
      <alignment horizontal="center" vertical="center" wrapText="1"/>
    </xf>
    <xf numFmtId="176" fontId="15" fillId="0" borderId="6" xfId="0" applyNumberFormat="1" applyFont="1" applyBorder="1" applyAlignment="1">
      <alignment horizontal="center" vertical="center" wrapText="1"/>
    </xf>
    <xf numFmtId="176" fontId="15" fillId="0" borderId="7" xfId="0" applyNumberFormat="1" applyFont="1" applyBorder="1" applyAlignment="1">
      <alignment horizontal="center" vertical="center" wrapText="1"/>
    </xf>
    <xf numFmtId="176" fontId="15" fillId="0" borderId="8" xfId="0" applyNumberFormat="1" applyFont="1" applyBorder="1" applyAlignment="1">
      <alignment horizontal="center" vertical="center" wrapText="1"/>
    </xf>
    <xf numFmtId="179" fontId="15" fillId="0" borderId="6" xfId="0" applyNumberFormat="1" applyFont="1" applyBorder="1" applyAlignment="1">
      <alignment horizontal="center" vertical="center" wrapText="1"/>
    </xf>
    <xf numFmtId="179" fontId="15" fillId="0" borderId="7" xfId="0" applyNumberFormat="1" applyFont="1" applyBorder="1" applyAlignment="1">
      <alignment horizontal="center" vertical="center" wrapText="1"/>
    </xf>
    <xf numFmtId="179" fontId="15" fillId="0" borderId="8" xfId="0" applyNumberFormat="1" applyFont="1" applyBorder="1" applyAlignment="1">
      <alignment horizontal="center" vertical="center" wrapText="1"/>
    </xf>
    <xf numFmtId="179" fontId="15" fillId="0" borderId="2" xfId="0" applyNumberFormat="1" applyFont="1" applyBorder="1" applyAlignment="1">
      <alignment horizontal="center" vertical="center" wrapText="1"/>
    </xf>
    <xf numFmtId="177" fontId="15" fillId="0" borderId="2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justify" vertical="top" wrapText="1"/>
    </xf>
    <xf numFmtId="0" fontId="14" fillId="0" borderId="10" xfId="0" applyFont="1" applyBorder="1" applyAlignment="1">
      <alignment horizontal="justify" vertical="top" wrapText="1"/>
    </xf>
    <xf numFmtId="0" fontId="15" fillId="0" borderId="11" xfId="0" applyFont="1" applyBorder="1" applyAlignment="1">
      <alignment horizontal="justify" vertical="top" wrapText="1"/>
    </xf>
    <xf numFmtId="0" fontId="15" fillId="0" borderId="0" xfId="0" applyFont="1" applyBorder="1" applyAlignment="1">
      <alignment horizontal="justify" vertical="top" wrapText="1"/>
    </xf>
    <xf numFmtId="0" fontId="15" fillId="0" borderId="12" xfId="0" applyFont="1" applyBorder="1" applyAlignment="1">
      <alignment horizontal="justify" vertical="top" wrapText="1"/>
    </xf>
    <xf numFmtId="0" fontId="15" fillId="0" borderId="1" xfId="0" applyFont="1" applyBorder="1" applyAlignment="1">
      <alignment horizontal="justify" vertical="top" wrapText="1"/>
    </xf>
    <xf numFmtId="0" fontId="15" fillId="0" borderId="13" xfId="0" applyFont="1" applyBorder="1" applyAlignment="1">
      <alignment horizontal="justify" vertical="top" wrapText="1"/>
    </xf>
    <xf numFmtId="0" fontId="15" fillId="0" borderId="14" xfId="0" applyFont="1" applyBorder="1" applyAlignment="1">
      <alignment horizontal="justify" vertical="top" wrapText="1"/>
    </xf>
    <xf numFmtId="0" fontId="15" fillId="0" borderId="0" xfId="0" applyFont="1" applyAlignment="1">
      <alignment vertical="center" wrapText="1"/>
    </xf>
    <xf numFmtId="0" fontId="16" fillId="0" borderId="4" xfId="0" applyFont="1" applyBorder="1" applyAlignment="1">
      <alignment horizontal="justify" vertical="center" wrapText="1"/>
    </xf>
    <xf numFmtId="0" fontId="16" fillId="0" borderId="15" xfId="0" applyFont="1" applyBorder="1" applyAlignment="1">
      <alignment horizontal="justify" vertical="center" wrapText="1"/>
    </xf>
    <xf numFmtId="0" fontId="15" fillId="0" borderId="16" xfId="0" applyFont="1" applyBorder="1" applyAlignment="1">
      <alignment horizontal="center" vertical="center" wrapText="1"/>
    </xf>
    <xf numFmtId="177" fontId="15" fillId="0" borderId="16" xfId="0" applyNumberFormat="1" applyFont="1" applyBorder="1" applyAlignment="1">
      <alignment horizontal="center" vertical="center" wrapText="1"/>
    </xf>
    <xf numFmtId="176" fontId="15" fillId="0" borderId="2" xfId="0" applyNumberFormat="1" applyFont="1" applyBorder="1" applyAlignment="1">
      <alignment horizontal="center" vertical="center" wrapText="1"/>
    </xf>
    <xf numFmtId="176" fontId="15" fillId="0" borderId="16" xfId="0" applyNumberFormat="1" applyFont="1" applyBorder="1" applyAlignment="1">
      <alignment horizontal="center" vertical="center" wrapText="1"/>
    </xf>
    <xf numFmtId="179" fontId="15" fillId="0" borderId="16" xfId="0" applyNumberFormat="1" applyFont="1" applyBorder="1" applyAlignment="1">
      <alignment horizontal="center" vertical="center" wrapText="1"/>
    </xf>
    <xf numFmtId="0" fontId="14" fillId="0" borderId="17" xfId="0" applyFont="1" applyBorder="1" applyAlignment="1">
      <alignment horizontal="justify" vertical="top" wrapText="1"/>
    </xf>
    <xf numFmtId="0" fontId="15" fillId="0" borderId="18" xfId="0" applyFont="1" applyBorder="1" applyAlignment="1">
      <alignment horizontal="justify" vertical="top" wrapText="1"/>
    </xf>
    <xf numFmtId="0" fontId="15" fillId="0" borderId="19" xfId="0" applyFont="1" applyBorder="1" applyAlignment="1">
      <alignment horizontal="justify" vertical="top" wrapText="1"/>
    </xf>
    <xf numFmtId="0" fontId="15" fillId="0" borderId="20" xfId="0" applyFont="1" applyBorder="1" applyAlignment="1">
      <alignment horizontal="justify" vertical="top" wrapText="1"/>
    </xf>
    <xf numFmtId="0" fontId="10" fillId="0" borderId="0" xfId="0" applyFont="1" applyFill="1" applyBorder="1" applyAlignment="1">
      <alignment horizontal="center" vertical="center"/>
    </xf>
    <xf numFmtId="177" fontId="10" fillId="0" borderId="0" xfId="0" applyNumberFormat="1" applyFont="1" applyFill="1" applyBorder="1"/>
    <xf numFmtId="0" fontId="10" fillId="0" borderId="0" xfId="0" applyFont="1" applyFill="1" applyBorder="1" applyAlignment="1">
      <alignment horizontal="right" vertical="center"/>
    </xf>
    <xf numFmtId="177" fontId="10" fillId="0" borderId="0" xfId="0" applyNumberFormat="1" applyFont="1" applyFill="1" applyBorder="1" applyAlignment="1">
      <alignment horizontal="right" vertical="center"/>
    </xf>
    <xf numFmtId="179" fontId="10" fillId="0" borderId="0" xfId="0" applyNumberFormat="1" applyFont="1" applyFill="1" applyBorder="1" applyAlignment="1">
      <alignment horizontal="right" vertical="center"/>
    </xf>
    <xf numFmtId="179" fontId="10" fillId="0" borderId="0" xfId="0" applyNumberFormat="1" applyFont="1" applyFill="1" applyBorder="1"/>
    <xf numFmtId="177" fontId="10" fillId="0" borderId="0" xfId="0" applyNumberFormat="1" applyFont="1" applyFill="1" applyBorder="1" applyAlignment="1">
      <alignment horizontal="center" vertical="center"/>
    </xf>
    <xf numFmtId="179" fontId="10" fillId="0" borderId="0" xfId="0" applyNumberFormat="1" applyFont="1" applyFill="1" applyBorder="1" applyAlignment="1">
      <alignment horizontal="center" vertical="center"/>
    </xf>
    <xf numFmtId="0" fontId="0" fillId="0" borderId="0" xfId="50" applyFill="1"/>
    <xf numFmtId="0" fontId="17" fillId="0" borderId="0" xfId="50" applyFont="1" applyFill="1" applyAlignment="1">
      <alignment horizontal="center" vertical="center"/>
    </xf>
    <xf numFmtId="0" fontId="0" fillId="0" borderId="0" xfId="50" applyFill="1" applyAlignment="1"/>
    <xf numFmtId="0" fontId="18" fillId="0" borderId="0" xfId="50" applyFont="1" applyFill="1" applyBorder="1" applyAlignment="1">
      <alignment horizontal="right" vertical="center"/>
    </xf>
    <xf numFmtId="49" fontId="18" fillId="0" borderId="0" xfId="50" applyNumberFormat="1" applyFont="1" applyFill="1" applyBorder="1" applyAlignment="1">
      <alignment horizontal="left" vertical="center"/>
    </xf>
    <xf numFmtId="0" fontId="18" fillId="0" borderId="0" xfId="50" applyFont="1" applyFill="1" applyBorder="1" applyAlignment="1">
      <alignment horizontal="left" vertical="center"/>
    </xf>
    <xf numFmtId="0" fontId="18" fillId="0" borderId="0" xfId="50" applyFont="1" applyFill="1" applyAlignment="1">
      <alignment horizontal="left" vertical="center"/>
    </xf>
    <xf numFmtId="0" fontId="19" fillId="0" borderId="0" xfId="50" applyFont="1" applyFill="1" applyBorder="1" applyAlignment="1">
      <alignment horizontal="right" vertical="center"/>
    </xf>
    <xf numFmtId="0" fontId="0" fillId="0" borderId="0" xfId="50" applyFont="1" applyFill="1" applyAlignment="1">
      <alignment horizontal="left" vertical="center"/>
    </xf>
    <xf numFmtId="0" fontId="18" fillId="0" borderId="0" xfId="50" applyFont="1" applyFill="1" applyAlignment="1">
      <alignment horizontal="center" vertical="center"/>
    </xf>
    <xf numFmtId="0" fontId="0" fillId="0" borderId="0" xfId="50" applyFill="1" applyAlignment="1">
      <alignment horizontal="left" vertical="center"/>
    </xf>
    <xf numFmtId="0" fontId="0" fillId="0" borderId="0" xfId="50" applyFill="1" applyAlignment="1">
      <alignment horizontal="center" vertical="center"/>
    </xf>
    <xf numFmtId="0" fontId="18" fillId="0" borderId="1" xfId="50" applyFont="1" applyFill="1" applyBorder="1" applyAlignment="1">
      <alignment horizontal="center" vertical="center"/>
    </xf>
    <xf numFmtId="0" fontId="14" fillId="0" borderId="0" xfId="50" applyFont="1" applyFill="1" applyBorder="1" applyAlignment="1">
      <alignment vertical="center"/>
    </xf>
    <xf numFmtId="0" fontId="0" fillId="0" borderId="2" xfId="50" applyFill="1" applyBorder="1" applyAlignment="1">
      <alignment horizontal="center"/>
    </xf>
    <xf numFmtId="0" fontId="0" fillId="0" borderId="6" xfId="50" applyFill="1" applyBorder="1" applyAlignment="1">
      <alignment horizontal="center" vertical="center"/>
    </xf>
    <xf numFmtId="0" fontId="0" fillId="0" borderId="8" xfId="50" applyFill="1" applyBorder="1" applyAlignment="1">
      <alignment horizontal="center" vertical="center"/>
    </xf>
    <xf numFmtId="0" fontId="0" fillId="0" borderId="2" xfId="50" applyFill="1" applyBorder="1" applyAlignment="1">
      <alignment horizontal="center" vertical="center"/>
    </xf>
    <xf numFmtId="0" fontId="20" fillId="0" borderId="6" xfId="50" applyFont="1" applyFill="1" applyBorder="1" applyAlignment="1">
      <alignment horizontal="center" vertical="center"/>
    </xf>
    <xf numFmtId="0" fontId="20" fillId="0" borderId="8" xfId="50" applyFont="1" applyFill="1" applyBorder="1" applyAlignment="1">
      <alignment horizontal="center" vertical="center"/>
    </xf>
    <xf numFmtId="180" fontId="20" fillId="0" borderId="6" xfId="50" applyNumberFormat="1" applyFont="1" applyFill="1" applyBorder="1" applyAlignment="1">
      <alignment horizontal="center" vertical="center"/>
    </xf>
    <xf numFmtId="180" fontId="20" fillId="0" borderId="8" xfId="50" applyNumberFormat="1" applyFont="1" applyFill="1" applyBorder="1" applyAlignment="1">
      <alignment horizontal="center" vertical="center"/>
    </xf>
    <xf numFmtId="179" fontId="20" fillId="0" borderId="6" xfId="50" applyNumberFormat="1" applyFont="1" applyFill="1" applyBorder="1" applyAlignment="1">
      <alignment horizontal="center" vertical="center"/>
    </xf>
    <xf numFmtId="179" fontId="20" fillId="0" borderId="8" xfId="50" applyNumberFormat="1" applyFont="1" applyFill="1" applyBorder="1" applyAlignment="1">
      <alignment horizontal="center" vertical="center"/>
    </xf>
    <xf numFmtId="0" fontId="20" fillId="0" borderId="2" xfId="50" applyFont="1" applyFill="1" applyBorder="1" applyAlignment="1">
      <alignment horizontal="center" vertical="center"/>
    </xf>
    <xf numFmtId="179" fontId="20" fillId="0" borderId="2" xfId="50" applyNumberFormat="1" applyFont="1" applyFill="1" applyBorder="1" applyAlignment="1">
      <alignment horizontal="center" vertical="center"/>
    </xf>
    <xf numFmtId="177" fontId="20" fillId="0" borderId="6" xfId="50" applyNumberFormat="1" applyFont="1" applyFill="1" applyBorder="1" applyAlignment="1">
      <alignment horizontal="center" vertical="center"/>
    </xf>
    <xf numFmtId="177" fontId="20" fillId="0" borderId="2" xfId="50" applyNumberFormat="1" applyFont="1" applyFill="1" applyBorder="1" applyAlignment="1">
      <alignment horizontal="center" vertical="center"/>
    </xf>
    <xf numFmtId="177" fontId="20" fillId="0" borderId="8" xfId="50" applyNumberFormat="1" applyFont="1" applyFill="1" applyBorder="1" applyAlignment="1">
      <alignment horizontal="center" vertical="center"/>
    </xf>
    <xf numFmtId="0" fontId="0" fillId="0" borderId="21" xfId="50" applyFill="1" applyBorder="1" applyAlignment="1">
      <alignment horizontal="center" vertical="center"/>
    </xf>
    <xf numFmtId="0" fontId="0" fillId="0" borderId="6" xfId="50" applyFill="1" applyBorder="1" applyAlignment="1">
      <alignment horizontal="center"/>
    </xf>
    <xf numFmtId="0" fontId="0" fillId="0" borderId="7" xfId="50" applyFill="1" applyBorder="1" applyAlignment="1">
      <alignment horizontal="center"/>
    </xf>
    <xf numFmtId="0" fontId="0" fillId="0" borderId="8" xfId="50" applyFill="1" applyBorder="1" applyAlignment="1">
      <alignment horizontal="center"/>
    </xf>
    <xf numFmtId="0" fontId="0" fillId="0" borderId="22" xfId="50" applyFill="1" applyBorder="1" applyAlignment="1">
      <alignment horizontal="center" vertical="center"/>
    </xf>
    <xf numFmtId="0" fontId="0" fillId="0" borderId="0" xfId="50" applyFill="1" applyBorder="1" applyAlignment="1">
      <alignment horizontal="center" vertical="center"/>
    </xf>
    <xf numFmtId="0" fontId="0" fillId="0" borderId="0" xfId="50" applyFill="1" applyBorder="1" applyAlignment="1">
      <alignment horizontal="center"/>
    </xf>
    <xf numFmtId="0" fontId="21" fillId="0" borderId="0" xfId="50" applyFont="1" applyFill="1"/>
    <xf numFmtId="0" fontId="10" fillId="2" borderId="0" xfId="0" applyFont="1" applyFill="1"/>
    <xf numFmtId="0" fontId="17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2" borderId="0" xfId="0" applyFont="1" applyFill="1" applyAlignment="1">
      <alignment horizontal="left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0" fillId="2" borderId="21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2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179" fontId="0" fillId="2" borderId="6" xfId="0" applyNumberFormat="1" applyFont="1" applyFill="1" applyBorder="1" applyAlignment="1">
      <alignment horizontal="center" vertical="center"/>
    </xf>
    <xf numFmtId="1" fontId="0" fillId="2" borderId="6" xfId="0" applyNumberFormat="1" applyFont="1" applyFill="1" applyBorder="1" applyAlignment="1">
      <alignment horizontal="center" vertical="center"/>
    </xf>
    <xf numFmtId="1" fontId="0" fillId="2" borderId="8" xfId="0" applyNumberFormat="1" applyFont="1" applyFill="1" applyBorder="1" applyAlignment="1">
      <alignment horizontal="center" vertical="center"/>
    </xf>
    <xf numFmtId="2" fontId="0" fillId="2" borderId="6" xfId="0" applyNumberFormat="1" applyFont="1" applyFill="1" applyBorder="1" applyAlignment="1">
      <alignment horizontal="center" vertical="center"/>
    </xf>
    <xf numFmtId="2" fontId="0" fillId="2" borderId="8" xfId="0" applyNumberFormat="1" applyFont="1" applyFill="1" applyBorder="1" applyAlignment="1">
      <alignment horizontal="center" vertical="center"/>
    </xf>
    <xf numFmtId="181" fontId="0" fillId="2" borderId="2" xfId="0" applyNumberFormat="1" applyFont="1" applyFill="1" applyBorder="1" applyAlignment="1">
      <alignment horizontal="center" vertical="center"/>
    </xf>
    <xf numFmtId="179" fontId="0" fillId="2" borderId="2" xfId="0" applyNumberFormat="1" applyFont="1" applyFill="1" applyBorder="1" applyAlignment="1">
      <alignment horizontal="center" vertical="center"/>
    </xf>
    <xf numFmtId="2" fontId="0" fillId="2" borderId="2" xfId="0" applyNumberFormat="1" applyFont="1" applyFill="1" applyBorder="1" applyAlignment="1">
      <alignment horizontal="center" vertical="center"/>
    </xf>
    <xf numFmtId="177" fontId="20" fillId="0" borderId="2" xfId="0" applyNumberFormat="1" applyFont="1" applyFill="1" applyBorder="1" applyAlignment="1">
      <alignment horizontal="center" vertical="center"/>
    </xf>
    <xf numFmtId="177" fontId="0" fillId="0" borderId="2" xfId="0" applyNumberFormat="1" applyFont="1" applyFill="1" applyBorder="1" applyAlignment="1" applyProtection="1">
      <alignment horizontal="center" vertical="center" wrapText="1"/>
      <protection locked="0"/>
    </xf>
    <xf numFmtId="182" fontId="21" fillId="2" borderId="6" xfId="0" applyNumberFormat="1" applyFont="1" applyFill="1" applyBorder="1" applyAlignment="1">
      <alignment horizontal="center" vertical="center"/>
    </xf>
    <xf numFmtId="182" fontId="0" fillId="2" borderId="8" xfId="0" applyNumberFormat="1" applyFont="1" applyFill="1" applyBorder="1" applyAlignment="1">
      <alignment horizontal="center" vertical="center"/>
    </xf>
    <xf numFmtId="0" fontId="0" fillId="2" borderId="21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/>
    </xf>
    <xf numFmtId="0" fontId="0" fillId="2" borderId="22" xfId="0" applyFont="1" applyFill="1" applyBorder="1" applyAlignment="1">
      <alignment horizontal="center" vertical="center"/>
    </xf>
    <xf numFmtId="0" fontId="22" fillId="3" borderId="0" xfId="0" applyFont="1" applyFill="1"/>
    <xf numFmtId="0" fontId="0" fillId="3" borderId="0" xfId="0" applyFont="1" applyFill="1"/>
    <xf numFmtId="0" fontId="23" fillId="2" borderId="0" xfId="0" applyFont="1" applyFill="1" applyBorder="1" applyAlignment="1">
      <alignment horizontal="center" vertical="center"/>
    </xf>
    <xf numFmtId="179" fontId="23" fillId="2" borderId="0" xfId="0" applyNumberFormat="1" applyFont="1" applyFill="1" applyBorder="1" applyAlignment="1">
      <alignment horizontal="center" vertical="center"/>
    </xf>
    <xf numFmtId="0" fontId="0" fillId="3" borderId="0" xfId="0" applyFont="1" applyFill="1" applyBorder="1"/>
    <xf numFmtId="0" fontId="10" fillId="2" borderId="0" xfId="0" applyFont="1" applyFill="1" applyBorder="1"/>
    <xf numFmtId="0" fontId="24" fillId="2" borderId="0" xfId="0" applyFont="1" applyFill="1"/>
    <xf numFmtId="0" fontId="25" fillId="0" borderId="0" xfId="0" applyFont="1" applyAlignment="1">
      <alignment horizontal="center" vertical="center"/>
    </xf>
    <xf numFmtId="0" fontId="0" fillId="0" borderId="1" xfId="0" applyBorder="1" applyAlignment="1">
      <alignment horizontal="right"/>
    </xf>
    <xf numFmtId="0" fontId="18" fillId="0" borderId="2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179" fontId="27" fillId="0" borderId="2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49" fontId="28" fillId="0" borderId="2" xfId="0" applyNumberFormat="1" applyFont="1" applyBorder="1" applyAlignment="1">
      <alignment horizontal="center" vertical="center"/>
    </xf>
    <xf numFmtId="49" fontId="27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180" fontId="27" fillId="0" borderId="2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0" fillId="0" borderId="0" xfId="50"/>
    <xf numFmtId="0" fontId="30" fillId="0" borderId="0" xfId="50" applyFont="1" applyAlignment="1">
      <alignment horizontal="center" vertical="center"/>
    </xf>
    <xf numFmtId="0" fontId="30" fillId="0" borderId="1" xfId="50" applyFont="1" applyBorder="1" applyAlignment="1"/>
    <xf numFmtId="0" fontId="0" fillId="0" borderId="1" xfId="50" applyFont="1" applyBorder="1" applyAlignment="1">
      <alignment horizontal="right" vertical="center"/>
    </xf>
    <xf numFmtId="0" fontId="13" fillId="0" borderId="2" xfId="50" applyFont="1" applyBorder="1" applyAlignment="1">
      <alignment horizontal="center" vertical="center" wrapText="1"/>
    </xf>
    <xf numFmtId="0" fontId="31" fillId="0" borderId="2" xfId="50" applyFont="1" applyBorder="1" applyAlignment="1">
      <alignment horizontal="center" vertical="center" wrapText="1"/>
    </xf>
    <xf numFmtId="0" fontId="32" fillId="0" borderId="2" xfId="50" applyFont="1" applyBorder="1" applyAlignment="1">
      <alignment horizontal="center" vertical="center" wrapText="1"/>
    </xf>
    <xf numFmtId="0" fontId="33" fillId="0" borderId="0" xfId="50" applyFont="1" applyAlignment="1">
      <alignment horizontal="center" vertical="center"/>
    </xf>
    <xf numFmtId="0" fontId="0" fillId="0" borderId="0" xfId="50" applyAlignment="1">
      <alignment horizontal="center" vertical="center"/>
    </xf>
    <xf numFmtId="0" fontId="33" fillId="0" borderId="23" xfId="50" applyFont="1" applyBorder="1" applyAlignment="1">
      <alignment horizontal="center" vertical="center"/>
    </xf>
    <xf numFmtId="0" fontId="0" fillId="0" borderId="23" xfId="50" applyBorder="1" applyAlignment="1">
      <alignment horizontal="center" vertical="center"/>
    </xf>
    <xf numFmtId="0" fontId="0" fillId="0" borderId="10" xfId="50" applyBorder="1" applyAlignment="1">
      <alignment horizontal="center" vertical="center"/>
    </xf>
    <xf numFmtId="0" fontId="21" fillId="0" borderId="10" xfId="50" applyFont="1" applyBorder="1" applyAlignment="1">
      <alignment horizontal="center" vertical="center"/>
    </xf>
    <xf numFmtId="0" fontId="33" fillId="0" borderId="24" xfId="50" applyFont="1" applyBorder="1" applyAlignment="1">
      <alignment horizontal="center" vertical="center"/>
    </xf>
    <xf numFmtId="0" fontId="0" fillId="0" borderId="24" xfId="50" applyBorder="1" applyAlignment="1">
      <alignment horizontal="center" vertical="center"/>
    </xf>
    <xf numFmtId="0" fontId="0" fillId="0" borderId="1" xfId="50" applyBorder="1" applyAlignment="1">
      <alignment horizontal="center" vertical="center"/>
    </xf>
    <xf numFmtId="0" fontId="21" fillId="0" borderId="1" xfId="50" applyFont="1" applyBorder="1" applyAlignment="1">
      <alignment horizontal="center" vertical="center"/>
    </xf>
    <xf numFmtId="0" fontId="13" fillId="0" borderId="6" xfId="50" applyFont="1" applyBorder="1" applyAlignment="1">
      <alignment horizontal="center" vertical="center" wrapText="1"/>
    </xf>
    <xf numFmtId="0" fontId="13" fillId="0" borderId="7" xfId="50" applyFont="1" applyBorder="1" applyAlignment="1">
      <alignment horizontal="center" vertical="center" wrapText="1"/>
    </xf>
    <xf numFmtId="0" fontId="13" fillId="0" borderId="8" xfId="50" applyFont="1" applyBorder="1" applyAlignment="1">
      <alignment horizontal="center" vertical="center" wrapText="1"/>
    </xf>
    <xf numFmtId="0" fontId="13" fillId="0" borderId="21" xfId="50" applyFont="1" applyBorder="1" applyAlignment="1">
      <alignment horizontal="center" vertical="center" wrapText="1"/>
    </xf>
    <xf numFmtId="0" fontId="13" fillId="0" borderId="25" xfId="50" applyFont="1" applyBorder="1" applyAlignment="1">
      <alignment horizontal="center" vertical="center" wrapText="1"/>
    </xf>
    <xf numFmtId="0" fontId="13" fillId="0" borderId="23" xfId="50" applyFont="1" applyBorder="1" applyAlignment="1">
      <alignment horizontal="center" vertical="center" wrapText="1"/>
    </xf>
    <xf numFmtId="0" fontId="13" fillId="0" borderId="26" xfId="50" applyFont="1" applyBorder="1" applyAlignment="1">
      <alignment horizontal="center" vertical="center" wrapText="1"/>
    </xf>
    <xf numFmtId="0" fontId="13" fillId="0" borderId="27" xfId="50" applyFont="1" applyBorder="1" applyAlignment="1">
      <alignment horizontal="center" vertical="center" wrapText="1"/>
    </xf>
    <xf numFmtId="0" fontId="13" fillId="0" borderId="28" xfId="50" applyFont="1" applyBorder="1" applyAlignment="1">
      <alignment horizontal="center" vertical="center" wrapText="1"/>
    </xf>
    <xf numFmtId="0" fontId="13" fillId="0" borderId="22" xfId="50" applyFont="1" applyBorder="1" applyAlignment="1">
      <alignment horizontal="center" vertical="center" wrapText="1"/>
    </xf>
    <xf numFmtId="0" fontId="0" fillId="0" borderId="29" xfId="50" applyBorder="1" applyAlignment="1">
      <alignment horizontal="center" vertical="center" wrapText="1"/>
    </xf>
    <xf numFmtId="0" fontId="13" fillId="0" borderId="29" xfId="50" applyFont="1" applyBorder="1" applyAlignment="1">
      <alignment horizontal="center" vertical="center" wrapText="1"/>
    </xf>
    <xf numFmtId="0" fontId="13" fillId="0" borderId="24" xfId="50" applyFont="1" applyBorder="1" applyAlignment="1">
      <alignment horizontal="center" vertical="center" wrapText="1"/>
    </xf>
    <xf numFmtId="0" fontId="34" fillId="0" borderId="22" xfId="50" applyFont="1" applyBorder="1" applyAlignment="1">
      <alignment horizontal="center" vertical="center" wrapText="1"/>
    </xf>
    <xf numFmtId="0" fontId="34" fillId="0" borderId="29" xfId="50" applyFont="1" applyBorder="1" applyAlignment="1">
      <alignment horizontal="center" vertical="center" wrapText="1"/>
    </xf>
    <xf numFmtId="0" fontId="34" fillId="0" borderId="6" xfId="50" applyFont="1" applyBorder="1" applyAlignment="1">
      <alignment horizontal="center" vertical="center" wrapText="1"/>
    </xf>
    <xf numFmtId="0" fontId="34" fillId="0" borderId="8" xfId="50" applyFont="1" applyBorder="1" applyAlignment="1">
      <alignment horizontal="center" vertical="center" wrapText="1"/>
    </xf>
    <xf numFmtId="177" fontId="34" fillId="0" borderId="2" xfId="50" applyNumberFormat="1" applyFont="1" applyBorder="1" applyAlignment="1">
      <alignment horizontal="center" vertical="center" wrapText="1"/>
    </xf>
    <xf numFmtId="177" fontId="34" fillId="0" borderId="29" xfId="50" applyNumberFormat="1" applyFont="1" applyBorder="1" applyAlignment="1">
      <alignment horizontal="center" vertical="center" wrapText="1"/>
    </xf>
    <xf numFmtId="0" fontId="34" fillId="0" borderId="2" xfId="50" applyFont="1" applyBorder="1" applyAlignment="1">
      <alignment horizontal="center" vertical="center" wrapText="1"/>
    </xf>
    <xf numFmtId="0" fontId="0" fillId="0" borderId="0" xfId="50" applyBorder="1" applyAlignment="1">
      <alignment horizontal="right" vertical="center"/>
    </xf>
    <xf numFmtId="0" fontId="0" fillId="0" borderId="0" xfId="50" applyBorder="1"/>
    <xf numFmtId="0" fontId="34" fillId="0" borderId="0" xfId="50" applyFont="1" applyBorder="1" applyAlignment="1">
      <alignment horizontal="center" vertical="center" wrapText="1"/>
    </xf>
    <xf numFmtId="0" fontId="32" fillId="0" borderId="0" xfId="50" applyFont="1" applyBorder="1" applyAlignment="1">
      <alignment horizontal="center" vertical="center" wrapText="1"/>
    </xf>
    <xf numFmtId="0" fontId="32" fillId="0" borderId="10" xfId="50" applyFont="1" applyBorder="1" applyAlignment="1">
      <alignment horizontal="center" vertical="center" wrapText="1"/>
    </xf>
    <xf numFmtId="0" fontId="0" fillId="0" borderId="21" xfId="50" applyFont="1" applyBorder="1" applyAlignment="1">
      <alignment horizontal="center" vertical="center" wrapText="1"/>
    </xf>
    <xf numFmtId="0" fontId="32" fillId="0" borderId="23" xfId="50" applyFont="1" applyBorder="1" applyAlignment="1">
      <alignment horizontal="center" wrapText="1"/>
    </xf>
    <xf numFmtId="0" fontId="32" fillId="0" borderId="10" xfId="50" applyFont="1" applyBorder="1" applyAlignment="1">
      <alignment horizontal="center" wrapText="1"/>
    </xf>
    <xf numFmtId="0" fontId="0" fillId="0" borderId="22" xfId="50" applyBorder="1" applyAlignment="1">
      <alignment horizontal="center" vertical="center"/>
    </xf>
    <xf numFmtId="0" fontId="32" fillId="0" borderId="6" xfId="50" applyFont="1" applyBorder="1" applyAlignment="1">
      <alignment horizontal="center" wrapText="1"/>
    </xf>
    <xf numFmtId="0" fontId="13" fillId="0" borderId="7" xfId="50" applyFont="1" applyBorder="1" applyAlignment="1">
      <alignment horizontal="center" wrapText="1"/>
    </xf>
    <xf numFmtId="0" fontId="0" fillId="0" borderId="0" xfId="50" applyAlignment="1">
      <alignment wrapText="1"/>
    </xf>
    <xf numFmtId="0" fontId="35" fillId="0" borderId="0" xfId="50" applyFont="1" applyAlignment="1">
      <alignment horizontal="center"/>
    </xf>
    <xf numFmtId="0" fontId="0" fillId="0" borderId="1" xfId="50" applyFont="1" applyBorder="1" applyAlignment="1">
      <alignment vertical="center"/>
    </xf>
    <xf numFmtId="0" fontId="36" fillId="0" borderId="2" xfId="50" applyFont="1" applyBorder="1" applyAlignment="1">
      <alignment horizontal="center" vertical="center"/>
    </xf>
    <xf numFmtId="0" fontId="36" fillId="0" borderId="2" xfId="50" applyFont="1" applyBorder="1" applyAlignment="1">
      <alignment horizontal="center" vertical="center" wrapText="1"/>
    </xf>
    <xf numFmtId="0" fontId="21" fillId="0" borderId="26" xfId="50" applyFont="1" applyBorder="1" applyAlignment="1">
      <alignment horizontal="center" vertical="center"/>
    </xf>
    <xf numFmtId="0" fontId="21" fillId="0" borderId="29" xfId="50" applyFont="1" applyBorder="1" applyAlignment="1">
      <alignment horizontal="center" vertical="center"/>
    </xf>
    <xf numFmtId="177" fontId="0" fillId="0" borderId="0" xfId="50" applyNumberFormat="1"/>
    <xf numFmtId="0" fontId="32" fillId="0" borderId="25" xfId="50" applyFont="1" applyBorder="1" applyAlignment="1">
      <alignment horizontal="center" vertical="center" wrapText="1"/>
    </xf>
    <xf numFmtId="0" fontId="32" fillId="0" borderId="26" xfId="50" applyFont="1" applyBorder="1" applyAlignment="1">
      <alignment horizontal="center" wrapText="1"/>
    </xf>
    <xf numFmtId="0" fontId="13" fillId="0" borderId="8" xfId="50" applyFont="1" applyBorder="1" applyAlignment="1">
      <alignment horizontal="center" wrapText="1"/>
    </xf>
    <xf numFmtId="0" fontId="0" fillId="0" borderId="0" xfId="49" applyProtection="1">
      <alignment vertical="center"/>
      <protection locked="0"/>
    </xf>
    <xf numFmtId="0" fontId="25" fillId="0" borderId="0" xfId="49" applyFont="1" applyAlignment="1" applyProtection="1">
      <alignment horizontal="center" vertical="center"/>
    </xf>
    <xf numFmtId="0" fontId="37" fillId="0" borderId="1" xfId="49" applyFont="1" applyBorder="1" applyAlignment="1" applyProtection="1"/>
    <xf numFmtId="0" fontId="0" fillId="0" borderId="1" xfId="49" applyBorder="1" applyAlignment="1" applyProtection="1"/>
    <xf numFmtId="0" fontId="0" fillId="0" borderId="1" xfId="49" applyBorder="1" applyAlignment="1" applyProtection="1">
      <alignment horizontal="center" vertical="center"/>
    </xf>
    <xf numFmtId="0" fontId="18" fillId="0" borderId="6" xfId="49" applyFont="1" applyBorder="1" applyAlignment="1" applyProtection="1">
      <alignment horizontal="center" vertical="center"/>
      <protection locked="0"/>
    </xf>
    <xf numFmtId="0" fontId="18" fillId="0" borderId="8" xfId="49" applyFont="1" applyBorder="1" applyAlignment="1" applyProtection="1">
      <alignment horizontal="center" vertical="center"/>
      <protection locked="0"/>
    </xf>
    <xf numFmtId="0" fontId="27" fillId="0" borderId="6" xfId="49" applyFont="1" applyBorder="1" applyAlignment="1" applyProtection="1">
      <alignment horizontal="center" vertical="center" wrapText="1"/>
    </xf>
    <xf numFmtId="0" fontId="27" fillId="0" borderId="7" xfId="49" applyFont="1" applyBorder="1" applyAlignment="1" applyProtection="1">
      <alignment horizontal="center" vertical="center" wrapText="1"/>
    </xf>
    <xf numFmtId="0" fontId="27" fillId="0" borderId="8" xfId="49" applyFont="1" applyBorder="1" applyAlignment="1" applyProtection="1">
      <alignment horizontal="center" vertical="center" wrapText="1"/>
    </xf>
    <xf numFmtId="0" fontId="18" fillId="0" borderId="2" xfId="49" applyFont="1" applyBorder="1" applyAlignment="1" applyProtection="1">
      <alignment horizontal="center" vertical="center"/>
      <protection locked="0"/>
    </xf>
    <xf numFmtId="0" fontId="27" fillId="0" borderId="6" xfId="49" applyFont="1" applyBorder="1" applyAlignment="1" applyProtection="1">
      <alignment horizontal="center" vertical="center"/>
    </xf>
    <xf numFmtId="0" fontId="27" fillId="0" borderId="7" xfId="49" applyFont="1" applyBorder="1" applyAlignment="1" applyProtection="1">
      <alignment horizontal="center" vertical="center"/>
    </xf>
    <xf numFmtId="0" fontId="27" fillId="0" borderId="8" xfId="49" applyFont="1" applyBorder="1" applyAlignment="1" applyProtection="1">
      <alignment horizontal="center" vertical="center"/>
    </xf>
    <xf numFmtId="0" fontId="18" fillId="0" borderId="2" xfId="49" applyFont="1" applyBorder="1" applyAlignment="1" applyProtection="1">
      <alignment horizontal="center" vertical="center"/>
    </xf>
    <xf numFmtId="0" fontId="27" fillId="0" borderId="6" xfId="49" applyFont="1" applyBorder="1" applyAlignment="1" applyProtection="1">
      <alignment horizontal="center" vertical="center"/>
      <protection locked="0"/>
    </xf>
    <xf numFmtId="0" fontId="27" fillId="0" borderId="7" xfId="49" applyFont="1" applyBorder="1" applyAlignment="1" applyProtection="1">
      <alignment horizontal="center" vertical="center"/>
      <protection locked="0"/>
    </xf>
    <xf numFmtId="0" fontId="27" fillId="0" borderId="8" xfId="49" applyFont="1" applyBorder="1" applyAlignment="1" applyProtection="1">
      <alignment horizontal="center" vertical="center"/>
      <protection locked="0"/>
    </xf>
    <xf numFmtId="0" fontId="0" fillId="0" borderId="0" xfId="49" applyAlignment="1" applyProtection="1">
      <alignment horizontal="center" vertical="center"/>
      <protection locked="0"/>
    </xf>
    <xf numFmtId="0" fontId="18" fillId="0" borderId="7" xfId="49" applyFont="1" applyBorder="1" applyAlignment="1" applyProtection="1">
      <alignment horizontal="center" vertical="center"/>
      <protection locked="0"/>
    </xf>
    <xf numFmtId="0" fontId="18" fillId="0" borderId="21" xfId="49" applyFont="1" applyBorder="1" applyAlignment="1" applyProtection="1">
      <alignment horizontal="center" vertical="center" wrapText="1"/>
    </xf>
    <xf numFmtId="177" fontId="27" fillId="0" borderId="6" xfId="49" applyNumberFormat="1" applyFont="1" applyBorder="1" applyAlignment="1" applyProtection="1">
      <alignment horizontal="center" vertical="center"/>
      <protection locked="0"/>
    </xf>
    <xf numFmtId="177" fontId="27" fillId="0" borderId="8" xfId="49" applyNumberFormat="1" applyFont="1" applyBorder="1" applyAlignment="1" applyProtection="1">
      <alignment horizontal="center" vertical="center"/>
      <protection locked="0"/>
    </xf>
    <xf numFmtId="177" fontId="38" fillId="0" borderId="6" xfId="49" applyNumberFormat="1" applyFont="1" applyBorder="1" applyAlignment="1" applyProtection="1">
      <alignment horizontal="center" vertical="center"/>
      <protection locked="0"/>
    </xf>
    <xf numFmtId="177" fontId="38" fillId="0" borderId="7" xfId="49" applyNumberFormat="1" applyFont="1" applyBorder="1" applyAlignment="1" applyProtection="1">
      <alignment horizontal="center" vertical="center"/>
      <protection locked="0"/>
    </xf>
    <xf numFmtId="0" fontId="18" fillId="0" borderId="27" xfId="49" applyFont="1" applyBorder="1" applyAlignment="1" applyProtection="1">
      <alignment horizontal="center" vertical="center"/>
    </xf>
    <xf numFmtId="0" fontId="18" fillId="0" borderId="22" xfId="49" applyFont="1" applyBorder="1" applyAlignment="1" applyProtection="1">
      <alignment horizontal="center" vertical="center"/>
    </xf>
    <xf numFmtId="0" fontId="18" fillId="0" borderId="21" xfId="49" applyFont="1" applyBorder="1" applyAlignment="1" applyProtection="1">
      <alignment horizontal="center" vertical="center"/>
    </xf>
    <xf numFmtId="177" fontId="38" fillId="0" borderId="6" xfId="49" applyNumberFormat="1" applyFont="1" applyBorder="1" applyAlignment="1" applyProtection="1">
      <alignment horizontal="center" vertical="center"/>
    </xf>
    <xf numFmtId="177" fontId="38" fillId="0" borderId="8" xfId="49" applyNumberFormat="1" applyFont="1" applyBorder="1" applyAlignment="1" applyProtection="1">
      <alignment horizontal="center" vertical="center"/>
    </xf>
    <xf numFmtId="177" fontId="27" fillId="0" borderId="6" xfId="49" applyNumberFormat="1" applyFont="1" applyBorder="1" applyAlignment="1" applyProtection="1">
      <alignment horizontal="center" vertical="center"/>
    </xf>
    <xf numFmtId="177" fontId="27" fillId="0" borderId="8" xfId="49" applyNumberFormat="1" applyFont="1" applyBorder="1" applyAlignment="1" applyProtection="1">
      <alignment horizontal="center" vertical="center"/>
    </xf>
    <xf numFmtId="0" fontId="18" fillId="0" borderId="2" xfId="49" applyFont="1" applyBorder="1" applyAlignment="1" applyProtection="1">
      <alignment horizontal="center" vertical="center" wrapText="1"/>
    </xf>
    <xf numFmtId="0" fontId="28" fillId="0" borderId="8" xfId="49" applyFont="1" applyBorder="1" applyAlignment="1" applyProtection="1">
      <alignment horizontal="center" vertical="center"/>
    </xf>
    <xf numFmtId="180" fontId="28" fillId="0" borderId="8" xfId="49" applyNumberFormat="1" applyFont="1" applyBorder="1" applyAlignment="1" applyProtection="1">
      <alignment horizontal="center" vertical="center"/>
    </xf>
    <xf numFmtId="179" fontId="26" fillId="0" borderId="8" xfId="49" applyNumberFormat="1" applyFont="1" applyBorder="1" applyAlignment="1" applyProtection="1">
      <alignment horizontal="center" vertical="center" shrinkToFit="1"/>
    </xf>
    <xf numFmtId="177" fontId="26" fillId="0" borderId="8" xfId="49" applyNumberFormat="1" applyFont="1" applyBorder="1" applyAlignment="1" applyProtection="1">
      <alignment horizontal="center" vertical="center" shrinkToFit="1"/>
    </xf>
    <xf numFmtId="0" fontId="18" fillId="0" borderId="23" xfId="49" applyFont="1" applyBorder="1" applyAlignment="1" applyProtection="1">
      <alignment horizontal="center" vertical="center" wrapText="1"/>
    </xf>
    <xf numFmtId="0" fontId="18" fillId="0" borderId="26" xfId="49" applyFont="1" applyBorder="1" applyAlignment="1" applyProtection="1">
      <alignment horizontal="center" vertical="center" wrapText="1"/>
    </xf>
    <xf numFmtId="0" fontId="18" fillId="0" borderId="6" xfId="49" applyFont="1" applyBorder="1" applyAlignment="1" applyProtection="1">
      <alignment horizontal="center" vertical="center" wrapText="1"/>
      <protection locked="0"/>
    </xf>
    <xf numFmtId="0" fontId="18" fillId="0" borderId="24" xfId="49" applyFont="1" applyBorder="1" applyAlignment="1" applyProtection="1">
      <alignment horizontal="center" vertical="center" wrapText="1"/>
    </xf>
    <xf numFmtId="0" fontId="18" fillId="0" borderId="29" xfId="49" applyFont="1" applyBorder="1" applyAlignment="1" applyProtection="1">
      <alignment horizontal="center" vertical="center" wrapText="1"/>
    </xf>
    <xf numFmtId="0" fontId="18" fillId="0" borderId="1" xfId="49" applyFont="1" applyBorder="1" applyAlignment="1" applyProtection="1">
      <alignment horizontal="center" vertical="center" wrapText="1"/>
      <protection locked="0"/>
    </xf>
    <xf numFmtId="0" fontId="18" fillId="0" borderId="1" xfId="49" applyFont="1" applyBorder="1" applyAlignment="1" applyProtection="1">
      <alignment horizontal="center" vertical="center"/>
      <protection locked="0"/>
    </xf>
    <xf numFmtId="0" fontId="0" fillId="0" borderId="0" xfId="49" applyProtection="1">
      <alignment vertical="center"/>
    </xf>
    <xf numFmtId="0" fontId="39" fillId="0" borderId="0" xfId="49" applyFont="1" applyProtection="1">
      <alignment vertical="center"/>
    </xf>
    <xf numFmtId="0" fontId="40" fillId="0" borderId="0" xfId="50" applyFont="1" applyBorder="1" applyAlignment="1" applyProtection="1">
      <alignment horizontal="center" vertical="center"/>
    </xf>
    <xf numFmtId="0" fontId="39" fillId="0" borderId="0" xfId="49" applyFont="1" applyAlignment="1" applyProtection="1">
      <alignment horizontal="center" vertical="center"/>
    </xf>
    <xf numFmtId="0" fontId="41" fillId="0" borderId="0" xfId="50" applyFont="1" applyBorder="1" applyAlignment="1" applyProtection="1">
      <alignment horizontal="center" vertical="center"/>
    </xf>
    <xf numFmtId="0" fontId="39" fillId="0" borderId="0" xfId="50" applyFont="1" applyBorder="1" applyProtection="1"/>
    <xf numFmtId="0" fontId="0" fillId="0" borderId="0" xfId="50" applyFont="1" applyProtection="1"/>
    <xf numFmtId="0" fontId="42" fillId="0" borderId="0" xfId="49" applyFont="1" applyProtection="1">
      <alignment vertical="center"/>
      <protection locked="0"/>
    </xf>
    <xf numFmtId="0" fontId="0" fillId="0" borderId="1" xfId="49" applyBorder="1" applyAlignment="1" applyProtection="1">
      <alignment vertical="center"/>
    </xf>
    <xf numFmtId="0" fontId="39" fillId="0" borderId="0" xfId="49" applyFont="1" applyProtection="1">
      <alignment vertical="center"/>
      <protection locked="0"/>
    </xf>
    <xf numFmtId="0" fontId="43" fillId="0" borderId="2" xfId="49" applyNumberFormat="1" applyFont="1" applyBorder="1" applyAlignment="1" applyProtection="1">
      <alignment horizontal="center" vertical="center"/>
    </xf>
    <xf numFmtId="179" fontId="39" fillId="0" borderId="0" xfId="49" applyNumberFormat="1" applyFont="1" applyProtection="1">
      <alignment vertical="center"/>
    </xf>
    <xf numFmtId="177" fontId="39" fillId="0" borderId="0" xfId="49" applyNumberFormat="1" applyFont="1" applyProtection="1">
      <alignment vertical="center"/>
    </xf>
    <xf numFmtId="0" fontId="43" fillId="0" borderId="2" xfId="49" applyFont="1" applyBorder="1" applyAlignment="1" applyProtection="1">
      <alignment horizontal="center" vertical="center"/>
    </xf>
    <xf numFmtId="0" fontId="27" fillId="0" borderId="2" xfId="49" applyFont="1" applyBorder="1" applyAlignment="1" applyProtection="1">
      <alignment horizontal="center" vertical="center"/>
      <protection locked="0"/>
    </xf>
    <xf numFmtId="179" fontId="39" fillId="0" borderId="0" xfId="49" applyNumberFormat="1" applyFont="1" applyProtection="1">
      <alignment vertical="center"/>
      <protection locked="0"/>
    </xf>
    <xf numFmtId="0" fontId="18" fillId="0" borderId="23" xfId="49" applyFont="1" applyBorder="1" applyAlignment="1" applyProtection="1">
      <alignment horizontal="center" vertical="center"/>
      <protection locked="0"/>
    </xf>
    <xf numFmtId="0" fontId="18" fillId="0" borderId="10" xfId="49" applyFont="1" applyBorder="1" applyAlignment="1" applyProtection="1">
      <alignment horizontal="center" vertical="center"/>
      <protection locked="0"/>
    </xf>
    <xf numFmtId="0" fontId="18" fillId="0" borderId="26" xfId="49" applyFont="1" applyBorder="1" applyAlignment="1" applyProtection="1">
      <alignment horizontal="center" vertical="center"/>
      <protection locked="0"/>
    </xf>
    <xf numFmtId="0" fontId="0" fillId="0" borderId="0" xfId="49" applyFill="1" applyProtection="1">
      <alignment vertical="center"/>
      <protection locked="0"/>
    </xf>
    <xf numFmtId="0" fontId="18" fillId="0" borderId="28" xfId="49" applyFont="1" applyBorder="1" applyAlignment="1" applyProtection="1">
      <alignment horizontal="center" vertical="center"/>
      <protection locked="0"/>
    </xf>
    <xf numFmtId="0" fontId="18" fillId="0" borderId="0" xfId="49" applyFont="1" applyBorder="1" applyAlignment="1" applyProtection="1">
      <alignment horizontal="center" vertical="center"/>
      <protection locked="0"/>
    </xf>
    <xf numFmtId="0" fontId="18" fillId="0" borderId="25" xfId="49" applyFont="1" applyBorder="1" applyAlignment="1" applyProtection="1">
      <alignment horizontal="center" vertical="center"/>
      <protection locked="0"/>
    </xf>
    <xf numFmtId="0" fontId="0" fillId="0" borderId="0" xfId="49" applyFont="1" applyFill="1" applyBorder="1" applyAlignment="1" applyProtection="1">
      <alignment horizontal="center" vertical="center"/>
      <protection locked="0"/>
    </xf>
    <xf numFmtId="183" fontId="0" fillId="0" borderId="0" xfId="49" applyNumberFormat="1" applyProtection="1">
      <alignment vertical="center"/>
      <protection locked="0"/>
    </xf>
    <xf numFmtId="0" fontId="0" fillId="0" borderId="0" xfId="49" applyFill="1" applyBorder="1" applyAlignment="1" applyProtection="1">
      <alignment horizontal="center" vertical="center"/>
      <protection locked="0"/>
    </xf>
    <xf numFmtId="0" fontId="0" fillId="0" borderId="0" xfId="49" applyFill="1" applyAlignment="1" applyProtection="1">
      <alignment horizontal="center" vertical="center"/>
      <protection locked="0"/>
    </xf>
    <xf numFmtId="0" fontId="0" fillId="0" borderId="28" xfId="49" applyFill="1" applyBorder="1" applyAlignment="1" applyProtection="1">
      <alignment vertical="center"/>
      <protection locked="0"/>
    </xf>
    <xf numFmtId="0" fontId="0" fillId="4" borderId="0" xfId="49" applyFill="1" applyBorder="1" applyAlignment="1" applyProtection="1">
      <alignment horizontal="center" vertical="center"/>
      <protection locked="0"/>
    </xf>
    <xf numFmtId="0" fontId="0" fillId="0" borderId="0" xfId="49" applyBorder="1" applyProtection="1">
      <alignment vertical="center"/>
      <protection locked="0"/>
    </xf>
    <xf numFmtId="0" fontId="18" fillId="0" borderId="24" xfId="49" applyFont="1" applyBorder="1" applyAlignment="1" applyProtection="1">
      <alignment horizontal="center" vertical="center"/>
      <protection locked="0"/>
    </xf>
    <xf numFmtId="0" fontId="18" fillId="0" borderId="6" xfId="49" applyFont="1" applyBorder="1" applyAlignment="1" applyProtection="1">
      <alignment horizontal="right" vertical="center" wrapText="1"/>
      <protection locked="0"/>
    </xf>
    <xf numFmtId="0" fontId="18" fillId="0" borderId="7" xfId="49" applyFont="1" applyBorder="1" applyAlignment="1" applyProtection="1">
      <alignment horizontal="right" vertical="center" wrapText="1"/>
      <protection locked="0"/>
    </xf>
    <xf numFmtId="177" fontId="27" fillId="0" borderId="7" xfId="49" applyNumberFormat="1" applyFont="1" applyBorder="1" applyAlignment="1" applyProtection="1">
      <alignment horizontal="center" vertical="center" wrapText="1"/>
    </xf>
    <xf numFmtId="177" fontId="27" fillId="0" borderId="8" xfId="49" applyNumberFormat="1" applyFont="1" applyBorder="1" applyAlignment="1" applyProtection="1">
      <alignment horizontal="center" vertical="center" wrapText="1"/>
    </xf>
    <xf numFmtId="177" fontId="18" fillId="0" borderId="28" xfId="49" applyNumberFormat="1" applyFont="1" applyFill="1" applyBorder="1" applyAlignment="1" applyProtection="1">
      <alignment horizontal="center" vertical="center"/>
    </xf>
    <xf numFmtId="179" fontId="0" fillId="0" borderId="0" xfId="49" applyNumberFormat="1" applyBorder="1" applyProtection="1">
      <alignment vertical="center"/>
    </xf>
    <xf numFmtId="177" fontId="31" fillId="0" borderId="0" xfId="49" applyNumberFormat="1" applyFont="1" applyBorder="1" applyAlignment="1" applyProtection="1">
      <alignment horizontal="center" vertical="center" wrapText="1"/>
    </xf>
    <xf numFmtId="177" fontId="27" fillId="0" borderId="0" xfId="49" applyNumberFormat="1" applyFont="1" applyBorder="1" applyAlignment="1" applyProtection="1">
      <alignment vertical="center" wrapText="1"/>
      <protection locked="0"/>
    </xf>
    <xf numFmtId="0" fontId="18" fillId="0" borderId="29" xfId="49" applyFont="1" applyBorder="1" applyAlignment="1" applyProtection="1">
      <alignment horizontal="center" vertical="center"/>
      <protection locked="0"/>
    </xf>
    <xf numFmtId="0" fontId="39" fillId="0" borderId="0" xfId="49" applyFont="1" applyFill="1" applyBorder="1" applyProtection="1">
      <alignment vertical="center"/>
    </xf>
    <xf numFmtId="0" fontId="39" fillId="0" borderId="0" xfId="49" applyFont="1" applyFill="1" applyBorder="1" applyAlignment="1" applyProtection="1">
      <alignment horizontal="center" vertical="center"/>
    </xf>
    <xf numFmtId="183" fontId="39" fillId="0" borderId="0" xfId="49" applyNumberFormat="1" applyFont="1" applyFill="1" applyBorder="1" applyAlignment="1" applyProtection="1">
      <alignment horizontal="center" vertical="center"/>
    </xf>
    <xf numFmtId="0" fontId="39" fillId="0" borderId="0" xfId="49" applyFont="1" applyFill="1" applyBorder="1" applyAlignment="1" applyProtection="1">
      <alignment horizontal="right" vertical="center"/>
    </xf>
    <xf numFmtId="183" fontId="39" fillId="0" borderId="0" xfId="49" applyNumberFormat="1" applyFont="1" applyFill="1" applyBorder="1" applyProtection="1">
      <alignment vertical="center"/>
    </xf>
    <xf numFmtId="0" fontId="39" fillId="0" borderId="0" xfId="49" applyFont="1" applyFill="1" applyBorder="1" applyAlignment="1" applyProtection="1">
      <alignment horizontal="left" vertical="center"/>
    </xf>
    <xf numFmtId="179" fontId="39" fillId="0" borderId="0" xfId="49" applyNumberFormat="1" applyFont="1" applyFill="1" applyBorder="1" applyProtection="1">
      <alignment vertical="center"/>
    </xf>
    <xf numFmtId="0" fontId="39" fillId="0" borderId="0" xfId="49" applyFont="1" applyFill="1" applyBorder="1" applyAlignment="1" applyProtection="1">
      <alignment vertical="center"/>
    </xf>
    <xf numFmtId="0" fontId="42" fillId="0" borderId="0" xfId="49" applyFont="1" applyFill="1" applyBorder="1" applyProtection="1">
      <alignment vertical="center"/>
    </xf>
    <xf numFmtId="0" fontId="0" fillId="0" borderId="0" xfId="0" applyFont="1" applyAlignment="1" applyProtection="1">
      <alignment horizontal="center" vertical="center" wrapText="1"/>
    </xf>
    <xf numFmtId="0" fontId="0" fillId="0" borderId="0" xfId="0" applyFont="1" applyProtection="1"/>
    <xf numFmtId="0" fontId="0" fillId="0" borderId="0" xfId="0" applyFont="1" applyAlignment="1" applyProtection="1">
      <alignment horizontal="left"/>
    </xf>
    <xf numFmtId="0" fontId="17" fillId="0" borderId="0" xfId="0" applyFont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0" fontId="31" fillId="0" borderId="6" xfId="0" applyNumberFormat="1" applyFont="1" applyBorder="1" applyAlignment="1" applyProtection="1">
      <alignment horizontal="center" vertical="center" shrinkToFit="1"/>
    </xf>
    <xf numFmtId="0" fontId="31" fillId="0" borderId="7" xfId="0" applyNumberFormat="1" applyFont="1" applyBorder="1" applyAlignment="1" applyProtection="1">
      <alignment horizontal="center" vertical="center" shrinkToFit="1"/>
    </xf>
    <xf numFmtId="0" fontId="31" fillId="0" borderId="8" xfId="0" applyNumberFormat="1" applyFont="1" applyBorder="1" applyAlignment="1" applyProtection="1">
      <alignment horizontal="center" vertical="center" shrinkToFit="1"/>
    </xf>
    <xf numFmtId="0" fontId="31" fillId="0" borderId="2" xfId="0" applyNumberFormat="1" applyFont="1" applyBorder="1" applyAlignment="1" applyProtection="1">
      <alignment horizontal="center" vertical="center" shrinkToFit="1"/>
    </xf>
    <xf numFmtId="0" fontId="31" fillId="0" borderId="2" xfId="0" applyFont="1" applyBorder="1" applyAlignment="1" applyProtection="1">
      <alignment horizontal="center" vertical="center"/>
    </xf>
    <xf numFmtId="0" fontId="44" fillId="0" borderId="2" xfId="0" applyFont="1" applyBorder="1" applyAlignment="1" applyProtection="1">
      <alignment horizontal="center" vertical="center"/>
    </xf>
    <xf numFmtId="0" fontId="18" fillId="0" borderId="2" xfId="0" applyFont="1" applyBorder="1" applyAlignment="1" applyProtection="1">
      <alignment horizontal="center" vertical="center" wrapText="1"/>
    </xf>
    <xf numFmtId="0" fontId="18" fillId="0" borderId="2" xfId="0" applyFont="1" applyBorder="1" applyAlignment="1" applyProtection="1">
      <alignment horizontal="center" vertical="center" shrinkToFit="1"/>
    </xf>
    <xf numFmtId="0" fontId="18" fillId="0" borderId="2" xfId="0" applyFont="1" applyBorder="1" applyAlignment="1" applyProtection="1">
      <alignment horizontal="center" vertical="center"/>
    </xf>
    <xf numFmtId="177" fontId="14" fillId="0" borderId="2" xfId="0" applyNumberFormat="1" applyFont="1" applyBorder="1" applyAlignment="1" applyProtection="1">
      <alignment horizontal="center" vertical="center" shrinkToFit="1"/>
    </xf>
    <xf numFmtId="0" fontId="14" fillId="0" borderId="2" xfId="0" applyFont="1" applyBorder="1" applyAlignment="1" applyProtection="1">
      <alignment horizontal="center" vertical="center" shrinkToFit="1"/>
    </xf>
    <xf numFmtId="180" fontId="14" fillId="0" borderId="2" xfId="0" applyNumberFormat="1" applyFont="1" applyBorder="1" applyAlignment="1" applyProtection="1">
      <alignment horizontal="center" vertical="center" shrinkToFit="1"/>
    </xf>
    <xf numFmtId="179" fontId="14" fillId="0" borderId="2" xfId="0" applyNumberFormat="1" applyFont="1" applyBorder="1" applyAlignment="1" applyProtection="1">
      <alignment horizontal="center" vertical="center" shrinkToFit="1"/>
    </xf>
    <xf numFmtId="0" fontId="14" fillId="0" borderId="2" xfId="0" applyNumberFormat="1" applyFont="1" applyBorder="1" applyAlignment="1" applyProtection="1">
      <alignment horizontal="center" vertical="center" shrinkToFit="1"/>
    </xf>
    <xf numFmtId="179" fontId="14" fillId="0" borderId="2" xfId="0" applyNumberFormat="1" applyFont="1" applyBorder="1" applyAlignment="1" applyProtection="1">
      <alignment horizontal="center" vertical="center"/>
    </xf>
    <xf numFmtId="177" fontId="14" fillId="0" borderId="2" xfId="0" applyNumberFormat="1" applyFont="1" applyBorder="1" applyAlignment="1" applyProtection="1">
      <alignment horizontal="center" vertical="center"/>
    </xf>
    <xf numFmtId="181" fontId="14" fillId="0" borderId="2" xfId="0" applyNumberFormat="1" applyFont="1" applyBorder="1" applyAlignment="1" applyProtection="1">
      <alignment horizontal="center" vertical="center" shrinkToFit="1"/>
    </xf>
    <xf numFmtId="181" fontId="18" fillId="0" borderId="2" xfId="0" applyNumberFormat="1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 wrapText="1"/>
    </xf>
    <xf numFmtId="0" fontId="0" fillId="0" borderId="21" xfId="0" applyFont="1" applyBorder="1" applyAlignment="1" applyProtection="1">
      <alignment horizontal="left" vertical="center" textRotation="255"/>
    </xf>
    <xf numFmtId="0" fontId="0" fillId="0" borderId="2" xfId="0" applyFont="1" applyBorder="1" applyAlignment="1" applyProtection="1">
      <alignment horizontal="centerContinuous" vertical="center"/>
    </xf>
    <xf numFmtId="0" fontId="0" fillId="0" borderId="27" xfId="0" applyFont="1" applyBorder="1" applyAlignment="1" applyProtection="1">
      <alignment horizontal="left" vertical="center" textRotation="255"/>
    </xf>
    <xf numFmtId="0" fontId="0" fillId="0" borderId="2" xfId="0" applyFont="1" applyBorder="1" applyProtection="1"/>
    <xf numFmtId="0" fontId="0" fillId="0" borderId="22" xfId="0" applyFont="1" applyBorder="1" applyAlignment="1" applyProtection="1">
      <alignment horizontal="left" vertical="center" textRotation="255"/>
    </xf>
    <xf numFmtId="0" fontId="0" fillId="0" borderId="2" xfId="0" applyFont="1" applyBorder="1" applyAlignment="1" applyProtection="1">
      <alignment horizontal="center" vertical="center" textRotation="255"/>
    </xf>
    <xf numFmtId="0" fontId="0" fillId="0" borderId="2" xfId="0" applyFont="1" applyBorder="1" applyAlignment="1" applyProtection="1">
      <alignment horizontal="center"/>
    </xf>
    <xf numFmtId="0" fontId="18" fillId="0" borderId="1" xfId="0" applyFont="1" applyBorder="1" applyAlignment="1" applyProtection="1">
      <alignment vertical="center"/>
    </xf>
    <xf numFmtId="0" fontId="18" fillId="0" borderId="1" xfId="0" applyFont="1" applyBorder="1" applyAlignment="1" applyProtection="1">
      <alignment horizontal="left" vertical="center"/>
    </xf>
    <xf numFmtId="0" fontId="36" fillId="0" borderId="2" xfId="0" applyNumberFormat="1" applyFont="1" applyBorder="1" applyAlignment="1" applyProtection="1">
      <alignment horizontal="center" vertical="center"/>
    </xf>
    <xf numFmtId="177" fontId="0" fillId="0" borderId="0" xfId="0" applyNumberFormat="1" applyFont="1" applyAlignment="1" applyProtection="1">
      <alignment horizontal="center" vertical="center"/>
    </xf>
    <xf numFmtId="178" fontId="0" fillId="0" borderId="0" xfId="0" applyNumberFormat="1" applyFont="1" applyAlignment="1" applyProtection="1">
      <alignment horizontal="center" vertical="center"/>
    </xf>
    <xf numFmtId="0" fontId="36" fillId="0" borderId="2" xfId="0" applyFont="1" applyBorder="1" applyAlignment="1" applyProtection="1">
      <alignment horizontal="center" vertical="center"/>
    </xf>
    <xf numFmtId="0" fontId="14" fillId="0" borderId="2" xfId="0" applyFont="1" applyBorder="1" applyAlignment="1" applyProtection="1">
      <alignment horizontal="center" vertical="center"/>
    </xf>
    <xf numFmtId="177" fontId="0" fillId="0" borderId="0" xfId="0" applyNumberFormat="1" applyFont="1" applyAlignment="1" applyProtection="1">
      <alignment horizontal="center" vertical="center" wrapText="1"/>
    </xf>
    <xf numFmtId="178" fontId="0" fillId="0" borderId="0" xfId="0" applyNumberFormat="1" applyFont="1" applyAlignment="1" applyProtection="1">
      <alignment horizontal="center" vertical="center" wrapText="1"/>
    </xf>
    <xf numFmtId="0" fontId="14" fillId="0" borderId="2" xfId="0" applyFont="1" applyBorder="1" applyAlignment="1" applyProtection="1">
      <alignment horizontal="center" vertical="center" wrapText="1"/>
    </xf>
    <xf numFmtId="9" fontId="0" fillId="0" borderId="2" xfId="0" applyNumberFormat="1" applyFont="1" applyBorder="1" applyAlignment="1" applyProtection="1">
      <alignment horizontal="center" vertical="center" wrapText="1"/>
    </xf>
    <xf numFmtId="181" fontId="0" fillId="0" borderId="0" xfId="0" applyNumberFormat="1" applyFont="1" applyAlignment="1" applyProtection="1">
      <alignment horizontal="center" vertical="center" wrapText="1"/>
    </xf>
    <xf numFmtId="0" fontId="39" fillId="0" borderId="0" xfId="0" applyFont="1" applyAlignment="1" applyProtection="1">
      <alignment horizontal="center" vertical="center" wrapText="1"/>
    </xf>
    <xf numFmtId="177" fontId="39" fillId="0" borderId="0" xfId="0" applyNumberFormat="1" applyFont="1" applyAlignment="1" applyProtection="1">
      <alignment horizontal="center" vertical="center" wrapText="1"/>
    </xf>
    <xf numFmtId="177" fontId="18" fillId="0" borderId="2" xfId="0" applyNumberFormat="1" applyFont="1" applyBorder="1" applyAlignment="1" applyProtection="1">
      <alignment horizontal="center" vertical="center" shrinkToFit="1"/>
    </xf>
    <xf numFmtId="0" fontId="9" fillId="0" borderId="2" xfId="0" applyFont="1" applyBorder="1" applyAlignment="1" applyProtection="1">
      <alignment horizontal="center" vertical="center"/>
    </xf>
    <xf numFmtId="0" fontId="0" fillId="2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 vertical="center"/>
    </xf>
    <xf numFmtId="0" fontId="45" fillId="0" borderId="1" xfId="0" applyFont="1" applyFill="1" applyBorder="1" applyAlignment="1" applyProtection="1">
      <alignment vertical="center"/>
    </xf>
    <xf numFmtId="0" fontId="0" fillId="0" borderId="1" xfId="0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 applyProtection="1">
      <alignment horizontal="left" vertical="center"/>
    </xf>
    <xf numFmtId="0" fontId="13" fillId="0" borderId="2" xfId="0" applyFont="1" applyFill="1" applyBorder="1" applyAlignment="1" applyProtection="1">
      <alignment horizontal="center" vertical="center" wrapText="1"/>
    </xf>
    <xf numFmtId="0" fontId="27" fillId="0" borderId="6" xfId="0" applyFont="1" applyFill="1" applyBorder="1" applyAlignment="1" applyProtection="1">
      <alignment horizontal="center" vertical="center"/>
    </xf>
    <xf numFmtId="0" fontId="27" fillId="0" borderId="7" xfId="0" applyFont="1" applyFill="1" applyBorder="1" applyAlignment="1" applyProtection="1">
      <alignment horizontal="center" vertical="center"/>
    </xf>
    <xf numFmtId="0" fontId="27" fillId="0" borderId="8" xfId="0" applyFont="1" applyFill="1" applyBorder="1" applyAlignment="1" applyProtection="1">
      <alignment horizontal="center" vertical="center"/>
    </xf>
    <xf numFmtId="0" fontId="36" fillId="0" borderId="2" xfId="0" applyFont="1" applyFill="1" applyBorder="1" applyAlignment="1" applyProtection="1">
      <alignment horizontal="center" vertical="center"/>
    </xf>
    <xf numFmtId="0" fontId="31" fillId="0" borderId="2" xfId="0" applyFont="1" applyFill="1" applyBorder="1" applyAlignment="1" applyProtection="1">
      <alignment horizontal="center" vertical="center" wrapText="1"/>
    </xf>
    <xf numFmtId="0" fontId="13" fillId="0" borderId="2" xfId="0" applyFont="1" applyFill="1" applyBorder="1" applyAlignment="1" applyProtection="1">
      <alignment horizontal="center" vertical="center" wrapText="1"/>
      <protection locked="0"/>
    </xf>
    <xf numFmtId="0" fontId="0" fillId="0" borderId="2" xfId="0" applyFont="1" applyFill="1" applyBorder="1" applyAlignment="1" applyProtection="1">
      <alignment horizontal="center" vertical="center"/>
      <protection locked="0"/>
    </xf>
    <xf numFmtId="0" fontId="0" fillId="0" borderId="7" xfId="0" applyFont="1" applyFill="1" applyBorder="1" applyAlignment="1" applyProtection="1">
      <alignment horizontal="center" vertical="center" wrapText="1"/>
      <protection locked="0"/>
    </xf>
    <xf numFmtId="0" fontId="32" fillId="0" borderId="2" xfId="0" applyFont="1" applyFill="1" applyBorder="1" applyAlignment="1" applyProtection="1">
      <alignment horizontal="center" vertical="center" wrapText="1"/>
    </xf>
    <xf numFmtId="0" fontId="19" fillId="0" borderId="2" xfId="0" applyFont="1" applyFill="1" applyBorder="1" applyAlignment="1" applyProtection="1">
      <alignment horizontal="center" vertical="center" wrapText="1"/>
    </xf>
    <xf numFmtId="179" fontId="19" fillId="0" borderId="2" xfId="0" applyNumberFormat="1" applyFont="1" applyFill="1" applyBorder="1" applyAlignment="1" applyProtection="1">
      <alignment horizontal="center" vertical="center" wrapText="1"/>
    </xf>
    <xf numFmtId="177" fontId="19" fillId="0" borderId="2" xfId="0" applyNumberFormat="1" applyFont="1" applyFill="1" applyBorder="1" applyAlignment="1" applyProtection="1">
      <alignment horizontal="center" vertical="center" wrapText="1"/>
    </xf>
    <xf numFmtId="0" fontId="46" fillId="0" borderId="2" xfId="0" applyFont="1" applyFill="1" applyBorder="1" applyAlignment="1" applyProtection="1">
      <alignment horizontal="center" vertical="center" wrapText="1"/>
    </xf>
    <xf numFmtId="177" fontId="13" fillId="0" borderId="2" xfId="0" applyNumberFormat="1" applyFont="1" applyFill="1" applyBorder="1" applyAlignment="1" applyProtection="1">
      <alignment horizontal="center" vertical="center" wrapText="1"/>
    </xf>
    <xf numFmtId="0" fontId="13" fillId="0" borderId="2" xfId="0" applyFont="1" applyFill="1" applyBorder="1" applyAlignment="1" applyProtection="1">
      <alignment horizontal="center" vertical="center" textRotation="255" wrapText="1"/>
      <protection locked="0"/>
    </xf>
    <xf numFmtId="0" fontId="32" fillId="0" borderId="2" xfId="0" applyFont="1" applyFill="1" applyBorder="1" applyAlignment="1" applyProtection="1">
      <alignment horizontal="center" wrapText="1"/>
      <protection locked="0"/>
    </xf>
    <xf numFmtId="0" fontId="47" fillId="5" borderId="10" xfId="0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 applyProtection="1">
      <alignment horizontal="center" vertical="center"/>
    </xf>
    <xf numFmtId="0" fontId="48" fillId="2" borderId="0" xfId="0" applyFont="1" applyFill="1" applyBorder="1" applyAlignment="1" applyProtection="1">
      <alignment horizontal="center"/>
    </xf>
    <xf numFmtId="0" fontId="48" fillId="2" borderId="0" xfId="0" applyFont="1" applyFill="1" applyBorder="1" applyAlignment="1" applyProtection="1">
      <alignment horizontal="center" wrapText="1"/>
    </xf>
    <xf numFmtId="0" fontId="49" fillId="2" borderId="0" xfId="0" applyFont="1" applyFill="1" applyBorder="1" applyAlignment="1" applyProtection="1">
      <alignment horizontal="center"/>
    </xf>
    <xf numFmtId="0" fontId="50" fillId="2" borderId="0" xfId="0" applyFont="1" applyFill="1" applyBorder="1" applyAlignment="1" applyProtection="1">
      <alignment horizontal="center"/>
    </xf>
    <xf numFmtId="0" fontId="50" fillId="2" borderId="0" xfId="0" applyFont="1" applyFill="1" applyBorder="1" applyAlignment="1" applyProtection="1">
      <alignment horizontal="center" wrapText="1"/>
    </xf>
    <xf numFmtId="0" fontId="51" fillId="5" borderId="0" xfId="0" applyFont="1" applyFill="1" applyAlignment="1" applyProtection="1">
      <alignment horizontal="center" vertical="center" textRotation="255"/>
      <protection locked="0"/>
    </xf>
    <xf numFmtId="0" fontId="0" fillId="0" borderId="0" xfId="0" applyProtection="1">
      <protection locked="0"/>
    </xf>
    <xf numFmtId="0" fontId="30" fillId="0" borderId="0" xfId="0" applyFont="1" applyAlignment="1" applyProtection="1">
      <alignment horizontal="center"/>
    </xf>
    <xf numFmtId="0" fontId="30" fillId="0" borderId="1" xfId="0" applyFont="1" applyBorder="1" applyAlignment="1" applyProtection="1"/>
    <xf numFmtId="0" fontId="0" fillId="0" borderId="1" xfId="0" applyFont="1" applyBorder="1" applyAlignment="1" applyProtection="1">
      <alignment horizontal="center" vertical="center"/>
    </xf>
    <xf numFmtId="0" fontId="13" fillId="0" borderId="2" xfId="0" applyFont="1" applyBorder="1" applyAlignment="1" applyProtection="1">
      <alignment horizontal="center" vertical="center" wrapText="1"/>
    </xf>
    <xf numFmtId="0" fontId="31" fillId="0" borderId="2" xfId="0" applyFont="1" applyBorder="1" applyAlignment="1" applyProtection="1">
      <alignment horizontal="center" vertical="center" wrapText="1"/>
    </xf>
    <xf numFmtId="0" fontId="32" fillId="0" borderId="2" xfId="0" applyFont="1" applyBorder="1" applyAlignment="1" applyProtection="1">
      <alignment horizontal="center" vertical="center" wrapText="1"/>
    </xf>
    <xf numFmtId="0" fontId="33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33" fillId="0" borderId="24" xfId="0" applyFont="1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1" fillId="0" borderId="1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21" xfId="0" applyFont="1" applyBorder="1" applyAlignment="1" applyProtection="1">
      <alignment horizontal="center" vertical="center" wrapText="1"/>
    </xf>
    <xf numFmtId="0" fontId="13" fillId="0" borderId="25" xfId="0" applyFont="1" applyBorder="1" applyAlignment="1" applyProtection="1">
      <alignment horizontal="center" vertical="center" wrapText="1"/>
    </xf>
    <xf numFmtId="0" fontId="13" fillId="0" borderId="23" xfId="0" applyFont="1" applyBorder="1" applyAlignment="1" applyProtection="1">
      <alignment horizontal="center" vertical="center" wrapText="1"/>
    </xf>
    <xf numFmtId="0" fontId="13" fillId="0" borderId="26" xfId="0" applyFont="1" applyBorder="1" applyAlignment="1" applyProtection="1">
      <alignment horizontal="center" vertical="center" wrapText="1"/>
    </xf>
    <xf numFmtId="0" fontId="13" fillId="0" borderId="27" xfId="0" applyFont="1" applyBorder="1" applyAlignment="1" applyProtection="1">
      <alignment horizontal="center" vertical="center" wrapText="1"/>
    </xf>
    <xf numFmtId="0" fontId="13" fillId="0" borderId="28" xfId="0" applyFont="1" applyBorder="1" applyAlignment="1" applyProtection="1">
      <alignment horizontal="center" vertical="center" wrapText="1"/>
    </xf>
    <xf numFmtId="0" fontId="13" fillId="0" borderId="22" xfId="0" applyFont="1" applyBorder="1" applyAlignment="1" applyProtection="1">
      <alignment horizontal="center" vertical="center" wrapText="1"/>
    </xf>
    <xf numFmtId="0" fontId="0" fillId="0" borderId="29" xfId="0" applyBorder="1" applyAlignment="1" applyProtection="1">
      <alignment horizontal="center" vertical="center" wrapText="1"/>
    </xf>
    <xf numFmtId="0" fontId="13" fillId="0" borderId="29" xfId="0" applyFont="1" applyBorder="1" applyAlignment="1" applyProtection="1">
      <alignment horizontal="center" vertical="center" wrapText="1"/>
    </xf>
    <xf numFmtId="0" fontId="13" fillId="0" borderId="24" xfId="0" applyFont="1" applyBorder="1" applyAlignment="1" applyProtection="1">
      <alignment horizontal="center" vertical="center" wrapText="1"/>
    </xf>
    <xf numFmtId="0" fontId="32" fillId="0" borderId="22" xfId="0" applyFont="1" applyBorder="1" applyAlignment="1" applyProtection="1">
      <alignment horizontal="center" vertical="center" wrapText="1"/>
    </xf>
    <xf numFmtId="0" fontId="52" fillId="0" borderId="29" xfId="0" applyFont="1" applyBorder="1" applyAlignment="1" applyProtection="1">
      <alignment horizontal="center" vertical="center" wrapText="1"/>
    </xf>
    <xf numFmtId="0" fontId="13" fillId="0" borderId="6" xfId="0" applyFont="1" applyBorder="1" applyAlignment="1" applyProtection="1">
      <alignment horizontal="center" vertical="center" wrapText="1"/>
    </xf>
    <xf numFmtId="0" fontId="13" fillId="0" borderId="8" xfId="0" applyFont="1" applyBorder="1" applyAlignment="1" applyProtection="1">
      <alignment horizontal="center" vertical="center" wrapText="1"/>
    </xf>
    <xf numFmtId="177" fontId="32" fillId="0" borderId="2" xfId="0" applyNumberFormat="1" applyFont="1" applyBorder="1" applyAlignment="1" applyProtection="1">
      <alignment horizontal="center" vertical="center" wrapText="1"/>
    </xf>
    <xf numFmtId="177" fontId="32" fillId="0" borderId="29" xfId="0" applyNumberFormat="1" applyFont="1" applyBorder="1" applyAlignment="1" applyProtection="1">
      <alignment horizontal="center" vertical="center" wrapText="1"/>
    </xf>
    <xf numFmtId="177" fontId="52" fillId="0" borderId="29" xfId="0" applyNumberFormat="1" applyFont="1" applyBorder="1" applyAlignment="1" applyProtection="1">
      <alignment horizontal="center" vertical="center" wrapText="1"/>
    </xf>
    <xf numFmtId="0" fontId="32" fillId="0" borderId="29" xfId="0" applyFont="1" applyBorder="1" applyAlignment="1" applyProtection="1">
      <alignment horizontal="center" vertical="center" wrapText="1"/>
    </xf>
    <xf numFmtId="0" fontId="32" fillId="0" borderId="6" xfId="0" applyFont="1" applyBorder="1" applyAlignment="1" applyProtection="1">
      <alignment horizontal="center" vertical="center" wrapText="1"/>
    </xf>
    <xf numFmtId="0" fontId="32" fillId="0" borderId="8" xfId="0" applyFont="1" applyBorder="1" applyAlignment="1" applyProtection="1">
      <alignment horizontal="center" vertical="center" wrapText="1"/>
    </xf>
    <xf numFmtId="0" fontId="0" fillId="0" borderId="21" xfId="0" applyBorder="1" applyProtection="1">
      <protection locked="0"/>
    </xf>
    <xf numFmtId="0" fontId="32" fillId="0" borderId="23" xfId="0" applyFont="1" applyBorder="1" applyAlignment="1" applyProtection="1">
      <alignment horizontal="center" wrapText="1"/>
      <protection locked="0"/>
    </xf>
    <xf numFmtId="0" fontId="32" fillId="0" borderId="10" xfId="0" applyFont="1" applyBorder="1" applyAlignment="1" applyProtection="1">
      <alignment horizontal="center" wrapText="1"/>
      <protection locked="0"/>
    </xf>
    <xf numFmtId="0" fontId="0" fillId="0" borderId="27" xfId="0" applyBorder="1" applyProtection="1">
      <protection locked="0"/>
    </xf>
    <xf numFmtId="0" fontId="32" fillId="0" borderId="28" xfId="0" applyFont="1" applyBorder="1" applyAlignment="1" applyProtection="1">
      <alignment horizontal="center" wrapText="1"/>
      <protection locked="0"/>
    </xf>
    <xf numFmtId="0" fontId="32" fillId="0" borderId="0" xfId="0" applyFont="1" applyBorder="1" applyAlignment="1" applyProtection="1">
      <alignment horizontal="center" wrapText="1"/>
      <protection locked="0"/>
    </xf>
    <xf numFmtId="0" fontId="13" fillId="0" borderId="27" xfId="0" applyFont="1" applyBorder="1" applyAlignment="1" applyProtection="1">
      <alignment horizontal="center" wrapText="1"/>
      <protection locked="0"/>
    </xf>
    <xf numFmtId="0" fontId="32" fillId="0" borderId="27" xfId="0" applyFont="1" applyBorder="1" applyAlignment="1" applyProtection="1">
      <alignment horizontal="center" wrapText="1"/>
      <protection locked="0"/>
    </xf>
    <xf numFmtId="0" fontId="32" fillId="0" borderId="24" xfId="0" applyFont="1" applyBorder="1" applyAlignment="1" applyProtection="1">
      <alignment horizontal="center" wrapText="1"/>
      <protection locked="0"/>
    </xf>
    <xf numFmtId="0" fontId="32" fillId="0" borderId="1" xfId="0" applyFont="1" applyBorder="1" applyAlignment="1" applyProtection="1">
      <alignment horizontal="center" wrapText="1"/>
      <protection locked="0"/>
    </xf>
    <xf numFmtId="0" fontId="13" fillId="0" borderId="10" xfId="0" applyFont="1" applyBorder="1" applyAlignment="1" applyProtection="1">
      <alignment horizontal="center" wrapText="1"/>
      <protection locked="0"/>
    </xf>
    <xf numFmtId="0" fontId="13" fillId="0" borderId="28" xfId="0" applyFont="1" applyBorder="1" applyAlignment="1" applyProtection="1">
      <alignment horizontal="center" wrapText="1"/>
      <protection locked="0"/>
    </xf>
    <xf numFmtId="0" fontId="13" fillId="0" borderId="0" xfId="0" applyFont="1" applyBorder="1" applyAlignment="1" applyProtection="1">
      <alignment horizontal="center" wrapText="1"/>
      <protection locked="0"/>
    </xf>
    <xf numFmtId="0" fontId="0" fillId="0" borderId="27" xfId="0" applyBorder="1" applyAlignment="1" applyProtection="1">
      <alignment wrapText="1"/>
      <protection locked="0"/>
    </xf>
    <xf numFmtId="0" fontId="0" fillId="0" borderId="22" xfId="0" applyBorder="1" applyAlignment="1" applyProtection="1">
      <alignment wrapText="1"/>
      <protection locked="0"/>
    </xf>
    <xf numFmtId="0" fontId="13" fillId="0" borderId="24" xfId="0" applyFont="1" applyBorder="1" applyAlignment="1" applyProtection="1">
      <alignment horizontal="center" wrapText="1"/>
      <protection locked="0"/>
    </xf>
    <xf numFmtId="0" fontId="13" fillId="0" borderId="1" xfId="0" applyFont="1" applyBorder="1" applyAlignment="1" applyProtection="1">
      <alignment horizontal="center" wrapText="1"/>
      <protection locked="0"/>
    </xf>
    <xf numFmtId="0" fontId="0" fillId="0" borderId="0" xfId="0" applyAlignment="1" applyProtection="1">
      <alignment wrapText="1"/>
      <protection locked="0"/>
    </xf>
    <xf numFmtId="0" fontId="35" fillId="0" borderId="0" xfId="0" applyFont="1" applyAlignment="1" applyProtection="1">
      <alignment horizontal="center"/>
      <protection locked="0"/>
    </xf>
    <xf numFmtId="0" fontId="0" fillId="0" borderId="1" xfId="0" applyFont="1" applyBorder="1" applyAlignment="1" applyProtection="1">
      <alignment horizontal="left" vertical="center"/>
    </xf>
    <xf numFmtId="0" fontId="36" fillId="0" borderId="2" xfId="0" applyFont="1" applyBorder="1" applyAlignment="1" applyProtection="1">
      <alignment horizontal="center" vertical="center" wrapText="1"/>
    </xf>
    <xf numFmtId="0" fontId="21" fillId="0" borderId="26" xfId="0" applyFont="1" applyBorder="1" applyAlignment="1" applyProtection="1">
      <alignment horizontal="center" vertical="center"/>
      <protection locked="0"/>
    </xf>
    <xf numFmtId="0" fontId="21" fillId="0" borderId="29" xfId="0" applyFont="1" applyBorder="1" applyAlignment="1" applyProtection="1">
      <alignment horizontal="center" vertical="center"/>
      <protection locked="0"/>
    </xf>
    <xf numFmtId="0" fontId="0" fillId="0" borderId="0" xfId="0" applyProtection="1"/>
    <xf numFmtId="177" fontId="0" fillId="0" borderId="0" xfId="0" applyNumberFormat="1" applyProtection="1"/>
    <xf numFmtId="0" fontId="32" fillId="0" borderId="26" xfId="0" applyFont="1" applyBorder="1" applyAlignment="1" applyProtection="1">
      <alignment horizontal="center" wrapText="1"/>
      <protection locked="0"/>
    </xf>
    <xf numFmtId="0" fontId="32" fillId="0" borderId="25" xfId="0" applyFont="1" applyBorder="1" applyAlignment="1" applyProtection="1">
      <alignment horizontal="center" wrapText="1"/>
      <protection locked="0"/>
    </xf>
    <xf numFmtId="0" fontId="32" fillId="0" borderId="29" xfId="0" applyFont="1" applyBorder="1" applyAlignment="1" applyProtection="1">
      <alignment horizontal="center" wrapText="1"/>
      <protection locked="0"/>
    </xf>
    <xf numFmtId="0" fontId="13" fillId="0" borderId="26" xfId="0" applyFont="1" applyBorder="1" applyAlignment="1" applyProtection="1">
      <alignment horizontal="center" wrapText="1"/>
      <protection locked="0"/>
    </xf>
    <xf numFmtId="0" fontId="13" fillId="0" borderId="25" xfId="0" applyFont="1" applyBorder="1" applyAlignment="1" applyProtection="1">
      <alignment horizontal="center" wrapText="1"/>
      <protection locked="0"/>
    </xf>
    <xf numFmtId="0" fontId="13" fillId="0" borderId="29" xfId="0" applyFont="1" applyBorder="1" applyAlignment="1" applyProtection="1">
      <alignment horizontal="center" wrapText="1"/>
      <protection locked="0"/>
    </xf>
    <xf numFmtId="0" fontId="13" fillId="0" borderId="23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24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26" xfId="0" applyFont="1" applyBorder="1" applyAlignment="1" applyProtection="1">
      <alignment horizontal="center" vertical="center" wrapText="1"/>
      <protection locked="0"/>
    </xf>
    <xf numFmtId="0" fontId="13" fillId="0" borderId="29" xfId="0" applyFont="1" applyBorder="1" applyAlignment="1" applyProtection="1">
      <alignment horizontal="center" vertical="center" wrapText="1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45" fillId="0" borderId="1" xfId="0" applyFont="1" applyBorder="1" applyAlignment="1" applyProtection="1">
      <alignment vertical="center"/>
      <protection locked="0"/>
    </xf>
    <xf numFmtId="0" fontId="0" fillId="0" borderId="1" xfId="0" applyFont="1" applyBorder="1" applyAlignment="1" applyProtection="1">
      <alignment horizontal="right" vertical="center"/>
      <protection locked="0"/>
    </xf>
    <xf numFmtId="0" fontId="0" fillId="0" borderId="1" xfId="0" applyFont="1" applyBorder="1" applyAlignment="1" applyProtection="1">
      <alignment vertical="center"/>
      <protection locked="0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31" fillId="0" borderId="2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0" applyFont="1" applyBorder="1" applyAlignment="1" applyProtection="1">
      <alignment horizontal="center" vertical="center"/>
      <protection locked="0"/>
    </xf>
    <xf numFmtId="0" fontId="53" fillId="0" borderId="0" xfId="0" applyFont="1" applyAlignment="1" applyProtection="1">
      <alignment horizontal="left" vertical="center"/>
      <protection locked="0"/>
    </xf>
    <xf numFmtId="0" fontId="36" fillId="0" borderId="2" xfId="0" applyFont="1" applyBorder="1" applyAlignment="1" applyProtection="1">
      <alignment horizontal="center" vertical="center" wrapText="1"/>
      <protection locked="0"/>
    </xf>
    <xf numFmtId="0" fontId="53" fillId="0" borderId="0" xfId="0" applyFont="1" applyBorder="1" applyAlignment="1" applyProtection="1">
      <alignment horizontal="left" vertical="center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10" xfId="0" applyFont="1" applyBorder="1" applyAlignment="1" applyProtection="1">
      <alignment horizontal="center" vertical="center"/>
      <protection locked="0"/>
    </xf>
    <xf numFmtId="177" fontId="13" fillId="0" borderId="29" xfId="0" applyNumberFormat="1" applyFont="1" applyBorder="1" applyAlignment="1" applyProtection="1">
      <alignment horizontal="center" vertical="center" wrapText="1"/>
    </xf>
    <xf numFmtId="177" fontId="54" fillId="0" borderId="29" xfId="0" applyNumberFormat="1" applyFont="1" applyBorder="1" applyAlignment="1" applyProtection="1">
      <alignment horizontal="center" vertical="center" wrapText="1"/>
    </xf>
    <xf numFmtId="179" fontId="55" fillId="0" borderId="29" xfId="0" applyNumberFormat="1" applyFont="1" applyBorder="1" applyAlignment="1" applyProtection="1">
      <alignment horizontal="center" vertical="center" wrapText="1"/>
    </xf>
    <xf numFmtId="0" fontId="13" fillId="0" borderId="22" xfId="0" applyFont="1" applyBorder="1" applyAlignment="1" applyProtection="1">
      <alignment horizontal="center" vertical="center" wrapText="1"/>
      <protection locked="0"/>
    </xf>
    <xf numFmtId="0" fontId="32" fillId="0" borderId="7" xfId="0" applyFont="1" applyBorder="1" applyAlignment="1" applyProtection="1">
      <alignment horizontal="center" vertical="center" wrapText="1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13" fillId="0" borderId="27" xfId="0" applyFont="1" applyBorder="1" applyAlignment="1" applyProtection="1">
      <alignment horizontal="center" vertical="center" wrapText="1"/>
      <protection locked="0"/>
    </xf>
    <xf numFmtId="0" fontId="32" fillId="0" borderId="27" xfId="0" applyFont="1" applyBorder="1" applyAlignment="1" applyProtection="1">
      <alignment horizontal="center" vertical="center" wrapText="1"/>
      <protection locked="0"/>
    </xf>
    <xf numFmtId="0" fontId="0" fillId="0" borderId="27" xfId="0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vertical="center" wrapText="1"/>
      <protection locked="0"/>
    </xf>
    <xf numFmtId="0" fontId="56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53" fillId="0" borderId="0" xfId="0" applyFont="1" applyBorder="1" applyAlignment="1" applyProtection="1">
      <alignment vertical="center" wrapText="1"/>
      <protection locked="0"/>
    </xf>
    <xf numFmtId="0" fontId="0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44" fillId="0" borderId="0" xfId="0" applyFont="1" applyBorder="1" applyAlignment="1" applyProtection="1">
      <alignment horizontal="center" vertical="center"/>
      <protection hidden="1"/>
    </xf>
    <xf numFmtId="0" fontId="57" fillId="6" borderId="3" xfId="0" applyFont="1" applyFill="1" applyBorder="1" applyAlignment="1" applyProtection="1">
      <alignment horizontal="center" vertical="center"/>
      <protection hidden="1"/>
    </xf>
    <xf numFmtId="0" fontId="57" fillId="6" borderId="4" xfId="0" applyFont="1" applyFill="1" applyBorder="1" applyAlignment="1" applyProtection="1">
      <alignment horizontal="center" vertical="center"/>
      <protection hidden="1"/>
    </xf>
    <xf numFmtId="0" fontId="57" fillId="6" borderId="15" xfId="0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 vertical="center" wrapText="1"/>
      <protection hidden="1"/>
    </xf>
    <xf numFmtId="0" fontId="0" fillId="6" borderId="5" xfId="0" applyFont="1" applyFill="1" applyBorder="1" applyAlignment="1" applyProtection="1">
      <alignment horizontal="center" vertical="center" wrapText="1"/>
      <protection hidden="1"/>
    </xf>
    <xf numFmtId="0" fontId="0" fillId="6" borderId="2" xfId="0" applyFont="1" applyFill="1" applyBorder="1" applyAlignment="1" applyProtection="1">
      <alignment horizontal="center" vertical="center" wrapText="1"/>
      <protection hidden="1"/>
    </xf>
    <xf numFmtId="0" fontId="0" fillId="6" borderId="16" xfId="0" applyFont="1" applyFill="1" applyBorder="1" applyAlignment="1" applyProtection="1">
      <alignment horizontal="center" vertical="center" wrapText="1"/>
      <protection hidden="1"/>
    </xf>
    <xf numFmtId="0" fontId="0" fillId="0" borderId="0" xfId="0" applyFont="1" applyFill="1" applyBorder="1" applyAlignment="1" applyProtection="1">
      <alignment horizontal="center" vertical="center" wrapText="1"/>
      <protection hidden="1"/>
    </xf>
    <xf numFmtId="0" fontId="0" fillId="6" borderId="5" xfId="0" applyFill="1" applyBorder="1" applyAlignment="1" applyProtection="1">
      <alignment horizontal="center" vertical="center" wrapText="1"/>
      <protection hidden="1"/>
    </xf>
    <xf numFmtId="0" fontId="0" fillId="6" borderId="2" xfId="0" applyFill="1" applyBorder="1" applyAlignment="1" applyProtection="1">
      <alignment horizontal="center" vertical="center" wrapText="1"/>
      <protection hidden="1"/>
    </xf>
    <xf numFmtId="0" fontId="0" fillId="0" borderId="0" xfId="0" applyBorder="1" applyAlignment="1" applyProtection="1">
      <alignment horizontal="center" vertical="center" wrapText="1"/>
      <protection hidden="1"/>
    </xf>
    <xf numFmtId="177" fontId="58" fillId="7" borderId="5" xfId="0" applyNumberFormat="1" applyFont="1" applyFill="1" applyBorder="1" applyAlignment="1" applyProtection="1">
      <alignment horizontal="center" vertical="center"/>
      <protection locked="0"/>
    </xf>
    <xf numFmtId="177" fontId="58" fillId="7" borderId="2" xfId="0" applyNumberFormat="1" applyFont="1" applyFill="1" applyBorder="1" applyAlignment="1" applyProtection="1">
      <alignment horizontal="center" vertical="center"/>
      <protection locked="0"/>
    </xf>
    <xf numFmtId="0" fontId="58" fillId="7" borderId="2" xfId="0" applyFont="1" applyFill="1" applyBorder="1" applyAlignment="1" applyProtection="1">
      <alignment horizontal="center" vertical="center" wrapText="1"/>
      <protection locked="0"/>
    </xf>
    <xf numFmtId="0" fontId="58" fillId="7" borderId="16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177" fontId="0" fillId="6" borderId="5" xfId="0" applyNumberFormat="1" applyFill="1" applyBorder="1" applyAlignment="1" applyProtection="1">
      <alignment horizontal="center" vertical="center"/>
      <protection hidden="1"/>
    </xf>
    <xf numFmtId="177" fontId="0" fillId="6" borderId="2" xfId="0" applyNumberFormat="1" applyFill="1" applyBorder="1" applyAlignment="1" applyProtection="1">
      <alignment horizontal="center" vertical="center"/>
      <protection hidden="1"/>
    </xf>
    <xf numFmtId="177" fontId="0" fillId="6" borderId="16" xfId="0" applyNumberFormat="1" applyFill="1" applyBorder="1" applyAlignment="1" applyProtection="1">
      <alignment horizontal="center" vertical="center"/>
      <protection hidden="1"/>
    </xf>
    <xf numFmtId="177" fontId="0" fillId="0" borderId="0" xfId="0" applyNumberFormat="1" applyFill="1" applyBorder="1" applyAlignment="1" applyProtection="1">
      <alignment horizontal="center" vertical="center"/>
      <protection hidden="1"/>
    </xf>
    <xf numFmtId="0" fontId="59" fillId="6" borderId="30" xfId="0" applyFont="1" applyFill="1" applyBorder="1" applyAlignment="1" applyProtection="1">
      <alignment horizontal="center" vertical="center"/>
      <protection hidden="1"/>
    </xf>
    <xf numFmtId="0" fontId="60" fillId="8" borderId="31" xfId="0" applyFont="1" applyFill="1" applyBorder="1" applyAlignment="1" applyProtection="1">
      <alignment horizontal="center" vertical="center"/>
      <protection hidden="1"/>
    </xf>
    <xf numFmtId="0" fontId="59" fillId="6" borderId="31" xfId="0" applyFont="1" applyFill="1" applyBorder="1" applyAlignment="1" applyProtection="1">
      <alignment horizontal="center" vertical="center"/>
      <protection hidden="1"/>
    </xf>
    <xf numFmtId="0" fontId="61" fillId="8" borderId="32" xfId="0" applyFont="1" applyFill="1" applyBorder="1" applyAlignment="1" applyProtection="1">
      <alignment horizontal="center" vertical="center"/>
      <protection hidden="1"/>
    </xf>
    <xf numFmtId="0" fontId="62" fillId="9" borderId="2" xfId="0" applyFont="1" applyFill="1" applyBorder="1" applyAlignment="1" applyProtection="1">
      <alignment horizontal="center" vertical="center" wrapText="1"/>
      <protection hidden="1"/>
    </xf>
    <xf numFmtId="0" fontId="0" fillId="10" borderId="2" xfId="0" applyFont="1" applyFill="1" applyBorder="1" applyAlignment="1" applyProtection="1">
      <alignment horizontal="left" vertical="center" wrapText="1"/>
      <protection hidden="1"/>
    </xf>
    <xf numFmtId="0" fontId="0" fillId="10" borderId="23" xfId="0" applyFill="1" applyBorder="1" applyAlignment="1" applyProtection="1">
      <alignment horizontal="left" vertical="center" wrapText="1"/>
      <protection hidden="1"/>
    </xf>
    <xf numFmtId="0" fontId="0" fillId="10" borderId="10" xfId="0" applyFill="1" applyBorder="1" applyAlignment="1" applyProtection="1">
      <alignment horizontal="left" vertical="center" wrapText="1"/>
      <protection hidden="1"/>
    </xf>
    <xf numFmtId="0" fontId="0" fillId="10" borderId="26" xfId="0" applyFill="1" applyBorder="1" applyAlignment="1" applyProtection="1">
      <alignment horizontal="left" vertical="center" wrapText="1"/>
      <protection hidden="1"/>
    </xf>
    <xf numFmtId="0" fontId="0" fillId="10" borderId="28" xfId="0" applyFill="1" applyBorder="1" applyAlignment="1" applyProtection="1">
      <alignment horizontal="left" vertical="center" wrapText="1"/>
      <protection hidden="1"/>
    </xf>
    <xf numFmtId="0" fontId="0" fillId="10" borderId="0" xfId="0" applyFill="1" applyBorder="1" applyAlignment="1" applyProtection="1">
      <alignment horizontal="left" vertical="center" wrapText="1"/>
      <protection hidden="1"/>
    </xf>
    <xf numFmtId="0" fontId="0" fillId="10" borderId="25" xfId="0" applyFill="1" applyBorder="1" applyAlignment="1" applyProtection="1">
      <alignment horizontal="left" vertical="center" wrapText="1"/>
      <protection hidden="1"/>
    </xf>
    <xf numFmtId="0" fontId="0" fillId="10" borderId="24" xfId="0" applyFill="1" applyBorder="1" applyAlignment="1" applyProtection="1">
      <alignment horizontal="left" vertical="center" wrapText="1"/>
      <protection hidden="1"/>
    </xf>
    <xf numFmtId="0" fontId="0" fillId="10" borderId="1" xfId="0" applyFill="1" applyBorder="1" applyAlignment="1" applyProtection="1">
      <alignment horizontal="left" vertical="center" wrapText="1"/>
      <protection hidden="1"/>
    </xf>
    <xf numFmtId="0" fontId="0" fillId="10" borderId="29" xfId="0" applyFill="1" applyBorder="1" applyAlignment="1" applyProtection="1">
      <alignment horizontal="left" vertical="center" wrapText="1"/>
      <protection hidden="1"/>
    </xf>
    <xf numFmtId="0" fontId="0" fillId="9" borderId="33" xfId="0" applyFont="1" applyFill="1" applyBorder="1" applyAlignment="1" applyProtection="1">
      <alignment horizontal="center" vertical="center"/>
      <protection hidden="1"/>
    </xf>
    <xf numFmtId="0" fontId="0" fillId="9" borderId="34" xfId="0" applyFont="1" applyFill="1" applyBorder="1" applyAlignment="1" applyProtection="1">
      <alignment horizontal="center" vertical="center"/>
      <protection hidden="1"/>
    </xf>
    <xf numFmtId="0" fontId="0" fillId="9" borderId="35" xfId="0" applyFont="1" applyFill="1" applyBorder="1" applyAlignment="1" applyProtection="1">
      <alignment horizontal="center" vertical="center"/>
      <protection hidden="1"/>
    </xf>
    <xf numFmtId="0" fontId="0" fillId="9" borderId="3" xfId="0" applyFill="1" applyBorder="1" applyAlignment="1" applyProtection="1">
      <alignment horizontal="center" vertical="center" wrapText="1"/>
      <protection hidden="1"/>
    </xf>
    <xf numFmtId="0" fontId="0" fillId="9" borderId="4" xfId="0" applyFill="1" applyBorder="1" applyAlignment="1" applyProtection="1">
      <alignment horizontal="center" vertical="center" wrapText="1"/>
      <protection hidden="1"/>
    </xf>
    <xf numFmtId="0" fontId="0" fillId="9" borderId="15" xfId="0" applyFill="1" applyBorder="1" applyAlignment="1" applyProtection="1">
      <alignment horizontal="center" vertical="center" wrapText="1"/>
      <protection hidden="1"/>
    </xf>
    <xf numFmtId="0" fontId="0" fillId="11" borderId="36" xfId="0" applyFill="1" applyBorder="1" applyAlignment="1" applyProtection="1">
      <alignment horizontal="center" vertical="center"/>
      <protection hidden="1"/>
    </xf>
    <xf numFmtId="0" fontId="0" fillId="11" borderId="2" xfId="0" applyFill="1" applyBorder="1" applyAlignment="1" applyProtection="1">
      <alignment horizontal="center" vertical="center"/>
      <protection hidden="1"/>
    </xf>
    <xf numFmtId="0" fontId="0" fillId="11" borderId="16" xfId="0" applyFill="1" applyBorder="1" applyAlignment="1" applyProtection="1">
      <alignment horizontal="center" vertical="center"/>
      <protection hidden="1"/>
    </xf>
    <xf numFmtId="0" fontId="0" fillId="11" borderId="5" xfId="0" applyFont="1" applyFill="1" applyBorder="1" applyAlignment="1" applyProtection="1">
      <alignment horizontal="center" vertical="center"/>
      <protection hidden="1"/>
    </xf>
    <xf numFmtId="177" fontId="0" fillId="12" borderId="5" xfId="0" applyNumberFormat="1" applyFill="1" applyBorder="1" applyAlignment="1" applyProtection="1">
      <alignment horizontal="center" vertical="center"/>
      <protection hidden="1"/>
    </xf>
    <xf numFmtId="177" fontId="0" fillId="12" borderId="2" xfId="0" applyNumberFormat="1" applyFill="1" applyBorder="1" applyAlignment="1" applyProtection="1">
      <alignment horizontal="center" vertical="center"/>
      <protection hidden="1"/>
    </xf>
    <xf numFmtId="177" fontId="0" fillId="12" borderId="16" xfId="0" applyNumberFormat="1" applyFill="1" applyBorder="1" applyAlignment="1" applyProtection="1">
      <alignment horizontal="center" vertical="center"/>
      <protection hidden="1"/>
    </xf>
    <xf numFmtId="0" fontId="0" fillId="11" borderId="5" xfId="0" applyFill="1" applyBorder="1" applyAlignment="1" applyProtection="1">
      <alignment horizontal="center" vertical="center"/>
      <protection hidden="1"/>
    </xf>
    <xf numFmtId="177" fontId="0" fillId="12" borderId="30" xfId="0" applyNumberFormat="1" applyFill="1" applyBorder="1" applyAlignment="1" applyProtection="1">
      <alignment horizontal="center" vertical="center"/>
      <protection hidden="1"/>
    </xf>
    <xf numFmtId="177" fontId="0" fillId="12" borderId="31" xfId="0" applyNumberFormat="1" applyFill="1" applyBorder="1" applyAlignment="1" applyProtection="1">
      <alignment horizontal="center" vertical="center"/>
      <protection hidden="1"/>
    </xf>
    <xf numFmtId="177" fontId="0" fillId="12" borderId="32" xfId="0" applyNumberFormat="1" applyFill="1" applyBorder="1" applyAlignment="1" applyProtection="1">
      <alignment horizontal="center" vertical="center"/>
      <protection hidden="1"/>
    </xf>
    <xf numFmtId="0" fontId="59" fillId="11" borderId="5" xfId="0" applyFont="1" applyFill="1" applyBorder="1" applyAlignment="1" applyProtection="1">
      <alignment horizontal="center" vertical="center"/>
      <protection hidden="1"/>
    </xf>
    <xf numFmtId="0" fontId="59" fillId="11" borderId="2" xfId="0" applyFont="1" applyFill="1" applyBorder="1" applyAlignment="1" applyProtection="1">
      <alignment horizontal="center" vertical="center"/>
      <protection hidden="1"/>
    </xf>
    <xf numFmtId="0" fontId="0" fillId="12" borderId="5" xfId="0" applyFill="1" applyBorder="1" applyAlignment="1" applyProtection="1">
      <alignment horizontal="center" vertical="center"/>
      <protection hidden="1"/>
    </xf>
    <xf numFmtId="0" fontId="0" fillId="12" borderId="2" xfId="0" applyFill="1" applyBorder="1" applyAlignment="1" applyProtection="1">
      <alignment horizontal="center" vertical="center"/>
      <protection hidden="1"/>
    </xf>
    <xf numFmtId="0" fontId="0" fillId="12" borderId="16" xfId="0" applyFill="1" applyBorder="1" applyAlignment="1" applyProtection="1">
      <alignment horizontal="center" vertical="center"/>
      <protection hidden="1"/>
    </xf>
    <xf numFmtId="0" fontId="0" fillId="7" borderId="2" xfId="0" applyFill="1" applyBorder="1" applyAlignment="1" applyProtection="1">
      <alignment horizontal="center" vertical="center"/>
      <protection hidden="1"/>
    </xf>
    <xf numFmtId="0" fontId="0" fillId="10" borderId="30" xfId="0" applyFont="1" applyFill="1" applyBorder="1" applyAlignment="1" applyProtection="1">
      <alignment horizontal="center" vertical="center"/>
      <protection hidden="1"/>
    </xf>
    <xf numFmtId="0" fontId="0" fillId="10" borderId="31" xfId="0" applyFill="1" applyBorder="1" applyAlignment="1" applyProtection="1">
      <alignment horizontal="center" vertical="center"/>
      <protection hidden="1"/>
    </xf>
    <xf numFmtId="0" fontId="0" fillId="10" borderId="32" xfId="0" applyFill="1" applyBorder="1" applyAlignment="1" applyProtection="1">
      <alignment horizontal="center" vertical="center"/>
      <protection hidden="1"/>
    </xf>
    <xf numFmtId="0" fontId="0" fillId="11" borderId="30" xfId="0" applyFont="1" applyFill="1" applyBorder="1" applyAlignment="1" applyProtection="1">
      <alignment horizontal="center" vertical="center"/>
      <protection hidden="1"/>
    </xf>
    <xf numFmtId="0" fontId="0" fillId="11" borderId="31" xfId="0" applyFill="1" applyBorder="1" applyAlignment="1" applyProtection="1">
      <alignment horizontal="center" vertical="center"/>
      <protection hidden="1"/>
    </xf>
    <xf numFmtId="0" fontId="0" fillId="11" borderId="32" xfId="0" applyFill="1" applyBorder="1" applyAlignment="1" applyProtection="1">
      <alignment horizontal="center" vertical="center"/>
      <protection hidden="1"/>
    </xf>
    <xf numFmtId="0" fontId="0" fillId="0" borderId="2" xfId="0" applyFont="1" applyBorder="1" applyAlignment="1" applyProtection="1" quotePrefix="1">
      <alignment horizontal="center" vertical="center"/>
      <protection locked="0"/>
    </xf>
    <xf numFmtId="0" fontId="36" fillId="0" borderId="2" xfId="0" applyFont="1" applyBorder="1" applyAlignment="1" applyProtection="1" quotePrefix="1">
      <alignment horizontal="center" vertical="center"/>
    </xf>
    <xf numFmtId="0" fontId="36" fillId="0" borderId="2" xfId="0" applyFont="1" applyFill="1" applyBorder="1" applyAlignment="1" applyProtection="1" quotePrefix="1">
      <alignment horizontal="center" vertical="center"/>
    </xf>
    <xf numFmtId="0" fontId="36" fillId="0" borderId="2" xfId="0" applyNumberFormat="1" applyFont="1" applyBorder="1" applyAlignment="1" applyProtection="1" quotePrefix="1">
      <alignment horizontal="center" vertical="center"/>
    </xf>
    <xf numFmtId="0" fontId="43" fillId="0" borderId="2" xfId="49" applyNumberFormat="1" applyFont="1" applyBorder="1" applyAlignment="1" applyProtection="1" quotePrefix="1">
      <alignment horizontal="center" vertical="center"/>
    </xf>
    <xf numFmtId="0" fontId="36" fillId="0" borderId="2" xfId="50" applyFont="1" applyBorder="1" applyAlignment="1" quotePrefix="1">
      <alignment horizontal="center" vertical="center"/>
    </xf>
    <xf numFmtId="0" fontId="9" fillId="0" borderId="2" xfId="0" applyFont="1" applyBorder="1" applyAlignment="1" quotePrefix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9" defaultPivotStyle="PivotStyleLight16"/>
  <colors>
    <mruColors>
      <color rgb="007C55DD"/>
      <color rgb="00CCFF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125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lang="zh-CN" altLang="en-US"/>
              <a:t>含水量与干密度的关系曲线</a:t>
            </a:r>
            <a:endParaRPr lang="zh-CN" altLang="en-US"/>
          </a:p>
        </c:rich>
      </c:tx>
      <c:layout>
        <c:manualLayout>
          <c:xMode val="edge"/>
          <c:yMode val="edge"/>
          <c:x val="0.383226314452631"/>
          <c:y val="0.033019791444988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3333502667005"/>
          <c:y val="0.144154278012546"/>
          <c:w val="0.801721784776903"/>
          <c:h val="0.65941243831008"/>
        </c:manualLayout>
      </c:layout>
      <c:scatterChart>
        <c:scatterStyle val="smoothMarker"/>
        <c:varyColors val="0"/>
        <c:ser>
          <c:idx val="0"/>
          <c:order val="0"/>
          <c:spPr>
            <a:ln w="12700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numFmt formatCode="0.00_ 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25" b="0" i="0" u="none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numRef>
              <c:f>击实!$N$10:$N$14</c:f>
              <c:numCache>
                <c:formatCode>0.0_ </c:formatCode>
                <c:ptCount val="5"/>
                <c:pt idx="0">
                  <c:v>7.1214728908843</c:v>
                </c:pt>
                <c:pt idx="1">
                  <c:v>9.29402499568137</c:v>
                </c:pt>
                <c:pt idx="2">
                  <c:v>11</c:v>
                </c:pt>
                <c:pt idx="3">
                  <c:v>13.0699718248298</c:v>
                </c:pt>
                <c:pt idx="4">
                  <c:v>15.2122736169712</c:v>
                </c:pt>
              </c:numCache>
            </c:numRef>
          </c:xVal>
          <c:yVal>
            <c:numRef>
              <c:f>击实!$O$10:$O$14</c:f>
              <c:numCache>
                <c:formatCode>0.000_ </c:formatCode>
                <c:ptCount val="5"/>
                <c:pt idx="0">
                  <c:v>1.78</c:v>
                </c:pt>
                <c:pt idx="1">
                  <c:v>1.84</c:v>
                </c:pt>
                <c:pt idx="2">
                  <c:v>1.89</c:v>
                </c:pt>
                <c:pt idx="3">
                  <c:v>1.86</c:v>
                </c:pt>
                <c:pt idx="4">
                  <c:v>1.82</c:v>
                </c:pt>
              </c:numCache>
            </c:numRef>
          </c:yVal>
          <c:smooth val="1"/>
        </c:ser>
        <c:ser>
          <c:idx val="1"/>
          <c:order val="1"/>
          <c:spPr>
            <a:ln w="19050" cap="rnd" cmpd="sng" algn="ctr">
              <a:solidFill>
                <a:sysClr val="windowText" lastClr="000000"/>
              </a:solidFill>
              <a:prstDash val="sysDot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击实!$M$15:$N$15</c:f>
              <c:numCache>
                <c:formatCode>General</c:formatCode>
                <c:ptCount val="2"/>
                <c:pt idx="0">
                  <c:v>0</c:v>
                </c:pt>
                <c:pt idx="1" c:formatCode="0.0_ ">
                  <c:v>11</c:v>
                </c:pt>
              </c:numCache>
            </c:numRef>
          </c:xVal>
          <c:yVal>
            <c:numRef>
              <c:f>击实!$M$16:$N$16</c:f>
              <c:numCache>
                <c:formatCode>0.00_);[Red]\(0.00\)</c:formatCode>
                <c:ptCount val="2"/>
                <c:pt idx="0">
                  <c:v>1.89</c:v>
                </c:pt>
                <c:pt idx="1">
                  <c:v>1.89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59520"/>
        <c:axId val="91693056"/>
      </c:scatterChart>
      <c:valAx>
        <c:axId val="92059520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>
          <c:spPr>
            <a:ln w="3175" cap="flat" cmpd="sng" algn="ctr">
              <a:solidFill>
                <a:srgbClr val="000000"/>
              </a:solidFill>
              <a:prstDash val="sysDot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lang="zh-CN" altLang="en-US" sz="1125" b="0" i="0" strike="noStrike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含水量</a:t>
                </a:r>
                <a:r>
                  <a:rPr lang="en-US" altLang="zh-CN" sz="1125" b="0" i="0" strike="noStrike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w,%</a:t>
                </a:r>
                <a:endParaRPr lang="en-US" altLang="zh-CN" sz="1125" b="0" i="0" strike="noStrike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0215900431801"/>
              <c:y val="0.9051125366086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125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1693056"/>
        <c:crosses val="autoZero"/>
        <c:crossBetween val="midCat"/>
      </c:valAx>
      <c:valAx>
        <c:axId val="91693056"/>
        <c:scaling>
          <c:orientation val="minMax"/>
        </c:scaling>
        <c:delete val="0"/>
        <c:axPos val="l"/>
        <c:majorGridlines/>
        <c:minorGridlines>
          <c:spPr>
            <a:ln w="3175" cap="flat" cmpd="sng" algn="ctr">
              <a:solidFill>
                <a:schemeClr val="bg1"/>
              </a:solidFill>
              <a:prstDash val="sysDot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25" b="0" i="0" u="none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lang="zh-CN" altLang="en-US"/>
                  <a:t>干密度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266666666666667"/>
              <c:y val="0.385497104690707"/>
            </c:manualLayout>
          </c:layout>
          <c:overlay val="0"/>
          <c:spPr>
            <a:noFill/>
            <a:ln w="25400">
              <a:noFill/>
            </a:ln>
          </c:spPr>
        </c:title>
        <c:numFmt formatCode="0.00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125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205952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125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287167149424218"/>
          <c:y val="0.0262125311609027"/>
          <c:w val="0.600045776180615"/>
          <c:h val="0.732484076433132"/>
        </c:manualLayout>
      </c:layout>
      <c:scatterChart>
        <c:scatterStyle val="marker"/>
        <c:varyColors val="0"/>
        <c:ser>
          <c:idx val="0"/>
          <c:order val="0"/>
          <c:tx>
            <c:strRef>
              <c:f>液塑限!$O$20</c:f>
              <c:strCache>
                <c:ptCount val="1"/>
                <c:pt idx="0">
                  <c:v/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/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液塑限!$O$26:$Q$26</c:f>
              <c:numCache>
                <c:formatCode>0.0000_ </c:formatCode>
                <c:ptCount val="3"/>
                <c:pt idx="0">
                  <c:v>2.76631910922619</c:v>
                </c:pt>
                <c:pt idx="1">
                  <c:v>3.10009228887823</c:v>
                </c:pt>
                <c:pt idx="2">
                  <c:v>3.32862668882732</c:v>
                </c:pt>
              </c:numCache>
            </c:numRef>
          </c:xVal>
          <c:yVal>
            <c:numRef>
              <c:f>液塑限!$O$25:$Q$25</c:f>
              <c:numCache>
                <c:formatCode>0.0000_ </c:formatCode>
                <c:ptCount val="3"/>
                <c:pt idx="0">
                  <c:v>1.56861591791385</c:v>
                </c:pt>
                <c:pt idx="1">
                  <c:v>2.32238772029023</c:v>
                </c:pt>
                <c:pt idx="2">
                  <c:v>2.99573227355399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2443008"/>
        <c:axId val="92444928"/>
      </c:scatterChart>
      <c:valAx>
        <c:axId val="92443008"/>
        <c:scaling>
          <c:orientation val="minMax"/>
        </c:scaling>
        <c:delete val="0"/>
        <c:axPos val="b"/>
        <c:majorGridlines/>
        <c:min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含水量对数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42287015593639"/>
              <c:y val="0.854416093557926"/>
            </c:manualLayout>
          </c:layout>
          <c:overlay val="0"/>
        </c:title>
        <c:numFmt formatCode="0.00_ 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2444928"/>
        <c:crosses val="autoZero"/>
        <c:crossBetween val="midCat"/>
      </c:valAx>
      <c:valAx>
        <c:axId val="92444928"/>
        <c:scaling>
          <c:orientation val="minMax"/>
          <c:min val="1"/>
        </c:scaling>
        <c:delete val="0"/>
        <c:axPos val="l"/>
        <c:majorGridlines/>
        <c:minorGridlines/>
        <c:title>
          <c:tx>
            <c:rich>
              <a:bodyPr rot="0" spcFirstLastPara="0" vertOverflow="ellipsis" vert="eaVert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入土深度对数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00496629097833367"/>
              <c:y val="0.312836639091003"/>
            </c:manualLayout>
          </c:layout>
          <c:overlay val="0"/>
        </c:title>
        <c:numFmt formatCode="0.00_ 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244300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4467291801143"/>
          <c:y val="0.0473363285725748"/>
          <c:w val="0.57762332726347"/>
          <c:h val="0.720380887540214"/>
        </c:manualLayout>
      </c:layout>
      <c:scatterChart>
        <c:scatterStyle val="lineMarker"/>
        <c:varyColors val="0"/>
        <c:ser>
          <c:idx val="0"/>
          <c:order val="0"/>
          <c:tx>
            <c:strRef>
              <c:f>1</c:f>
              <c:strCache>
                <c:ptCount val="1"/>
                <c:pt idx="0">
                  <c:v>1</c:v>
                </c:pt>
              </c:strCache>
            </c:strRef>
          </c:tx>
          <c:spPr>
            <a:ln w="127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2"/>
            <c:spPr>
              <a:solidFill>
                <a:srgbClr val="FF0000"/>
              </a:solidFill>
            </c:spPr>
          </c:marker>
          <c:dLbls>
            <c:delete val="1"/>
          </c:dLbls>
          <c:xVal>
            <c:numRef>
              <c:f>液塑限!$N$3:$Q$3</c:f>
              <c:numCache>
                <c:formatCode>0.00_ </c:formatCode>
                <c:ptCount val="4"/>
                <c:pt idx="0">
                  <c:v>15.9</c:v>
                </c:pt>
                <c:pt idx="1">
                  <c:v>27.9</c:v>
                </c:pt>
                <c:pt idx="2" c:formatCode="General">
                  <c:v>18.4508721454882</c:v>
                </c:pt>
                <c:pt idx="3" c:formatCode="General">
                  <c:v>8.56991958027347</c:v>
                </c:pt>
              </c:numCache>
            </c:numRef>
          </c:xVal>
          <c:yVal>
            <c:numRef>
              <c:f>液塑限!$N$4:$Q$4</c:f>
              <c:numCache>
                <c:formatCode>0.0_ </c:formatCode>
                <c:ptCount val="4"/>
                <c:pt idx="0">
                  <c:v>4.8</c:v>
                </c:pt>
                <c:pt idx="1">
                  <c:v>20</c:v>
                </c:pt>
                <c:pt idx="2" c:formatCode="0.00_ ">
                  <c:v>7.00235131413219</c:v>
                </c:pt>
                <c:pt idx="3" c:formatCode="0.00_ 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2</c:f>
              <c:strCache>
                <c:ptCount val="1"/>
                <c:pt idx="0">
                  <c:v>2</c:v>
                </c:pt>
              </c:strCache>
            </c:strRef>
          </c:tx>
          <c:spPr>
            <a:ln w="12700" cap="rnd" cmpd="dbl" algn="ctr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液塑限!$N$5:$Q$5</c:f>
              <c:numCache>
                <c:formatCode>0.00_ </c:formatCode>
                <c:ptCount val="4"/>
                <c:pt idx="0">
                  <c:v>22.2</c:v>
                </c:pt>
                <c:pt idx="1">
                  <c:v>27.9</c:v>
                </c:pt>
                <c:pt idx="2" c:formatCode="General">
                  <c:v>19.5393246609934</c:v>
                </c:pt>
                <c:pt idx="3" c:formatCode="General">
                  <c:v>10.0932769708657</c:v>
                </c:pt>
              </c:numCache>
            </c:numRef>
          </c:xVal>
          <c:yVal>
            <c:numRef>
              <c:f>液塑限!$N$6:$Q$6</c:f>
              <c:numCache>
                <c:formatCode>0.0_ </c:formatCode>
                <c:ptCount val="4"/>
                <c:pt idx="0">
                  <c:v>10.2</c:v>
                </c:pt>
                <c:pt idx="1">
                  <c:v>20</c:v>
                </c:pt>
                <c:pt idx="2" c:formatCode="0.00_ ">
                  <c:v>7.00235131413219</c:v>
                </c:pt>
                <c:pt idx="3" c:formatCode="0.00_ ">
                  <c:v>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3</c:f>
              <c:strCache>
                <c:ptCount val="1"/>
                <c:pt idx="0">
                  <c:v>3</c:v>
                </c:pt>
              </c:strCache>
            </c:strRef>
          </c:tx>
          <c:spPr>
            <a:ln w="9525" cap="rnd" cmpd="sng" algn="ctr">
              <a:solidFill>
                <a:sysClr val="windowText" lastClr="000000"/>
              </a:solidFill>
              <a:prstDash val="sysDot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液塑限!$S$3:$T$3</c:f>
              <c:numCache>
                <c:formatCode>0.0_ </c:formatCode>
                <c:ptCount val="2"/>
                <c:pt idx="0">
                  <c:v>28.3</c:v>
                </c:pt>
                <c:pt idx="1" c:formatCode="General">
                  <c:v>0</c:v>
                </c:pt>
              </c:numCache>
            </c:numRef>
          </c:xVal>
          <c:yVal>
            <c:numRef>
              <c:f>液塑限!$S$4:$T$4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4</c:f>
              <c:strCache>
                <c:ptCount val="1"/>
                <c:pt idx="0">
                  <c:v>4</c:v>
                </c:pt>
              </c:strCache>
            </c:strRef>
          </c:tx>
          <c:spPr>
            <a:ln w="9525" cap="rnd" cmpd="sng" algn="ctr">
              <a:solidFill>
                <a:sysClr val="windowText" lastClr="000000"/>
              </a:solidFill>
              <a:prstDash val="sysDot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液塑限!$S$5:$T$5</c:f>
              <c:numCache>
                <c:formatCode>0.0_ </c:formatCode>
                <c:ptCount val="2"/>
                <c:pt idx="0">
                  <c:v>28.3</c:v>
                </c:pt>
                <c:pt idx="1">
                  <c:v>28.3</c:v>
                </c:pt>
              </c:numCache>
            </c:numRef>
          </c:xVal>
          <c:yVal>
            <c:numRef>
              <c:f>液塑限!$S$6:$T$6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5</c:f>
              <c:strCache>
                <c:ptCount val="1"/>
                <c:pt idx="0">
                  <c:v>5</c:v>
                </c:pt>
              </c:strCache>
            </c:strRef>
          </c:tx>
          <c:spPr>
            <a:ln w="9525" cap="rnd" cmpd="sng" algn="ctr">
              <a:solidFill>
                <a:sysClr val="windowText" lastClr="000000"/>
              </a:solidFill>
              <a:prstDash val="sysDot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液塑限!$V$3:$W$3</c:f>
              <c:numCache>
                <c:formatCode>0.0_ </c:formatCode>
                <c:ptCount val="2"/>
                <c:pt idx="0">
                  <c:v>18.9950984032408</c:v>
                </c:pt>
                <c:pt idx="1" c:formatCode="General">
                  <c:v>0</c:v>
                </c:pt>
              </c:numCache>
            </c:numRef>
          </c:xVal>
          <c:yVal>
            <c:numRef>
              <c:f>液塑限!$V$4:$W$4</c:f>
              <c:numCache>
                <c:formatCode>0.00_ </c:formatCode>
                <c:ptCount val="2"/>
                <c:pt idx="0">
                  <c:v>7.00235131413219</c:v>
                </c:pt>
                <c:pt idx="1">
                  <c:v>7.00235131413219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6</c:f>
              <c:strCache>
                <c:ptCount val="1"/>
                <c:pt idx="0">
                  <c:v>6</c:v>
                </c:pt>
              </c:strCache>
            </c:strRef>
          </c:tx>
          <c:spPr>
            <a:ln w="9525" cap="rnd" cmpd="sng" algn="ctr">
              <a:solidFill>
                <a:schemeClr val="tx1"/>
              </a:solidFill>
              <a:prstDash val="sysDot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液塑限!$V$5:$W$5</c:f>
              <c:numCache>
                <c:formatCode>0.0_ </c:formatCode>
                <c:ptCount val="2"/>
                <c:pt idx="0">
                  <c:v>18.9950984032408</c:v>
                </c:pt>
                <c:pt idx="1">
                  <c:v>18.9950984032408</c:v>
                </c:pt>
              </c:numCache>
            </c:numRef>
          </c:xVal>
          <c:yVal>
            <c:numRef>
              <c:f>液塑限!$V$6:$W$6</c:f>
              <c:numCache>
                <c:formatCode>0.00_ </c:formatCode>
                <c:ptCount val="2"/>
                <c:pt idx="0">
                  <c:v>7.00235131413219</c:v>
                </c:pt>
                <c:pt idx="1" c:formatCode="General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13024"/>
        <c:axId val="92514944"/>
      </c:scatterChart>
      <c:valAx>
        <c:axId val="92513024"/>
        <c:scaling>
          <c:logBase val="10"/>
          <c:orientation val="minMax"/>
        </c:scaling>
        <c:delete val="0"/>
        <c:axPos val="b"/>
        <c:majorGridlines/>
        <c:min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含水量</a:t>
                </a:r>
                <a:r>
                  <a:rPr lang="en-US" altLang="zh-CN"/>
                  <a:t>%</a:t>
                </a:r>
                <a:endParaRPr lang="zh-CN" altLang="en-US"/>
              </a:p>
            </c:rich>
          </c:tx>
          <c:layout/>
          <c:overlay val="0"/>
        </c:title>
        <c:numFmt formatCode="0.0_ " sourceLinked="0"/>
        <c:majorTickMark val="out"/>
        <c:minorTickMark val="out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2514944"/>
        <c:crosses val="autoZero"/>
        <c:crossBetween val="midCat"/>
      </c:valAx>
      <c:valAx>
        <c:axId val="92514944"/>
        <c:scaling>
          <c:logBase val="10"/>
          <c:orientation val="minMax"/>
        </c:scaling>
        <c:delete val="0"/>
        <c:axPos val="l"/>
        <c:majorGridlines/>
        <c:minorGridlines/>
        <c:title>
          <c:tx>
            <c:rich>
              <a:bodyPr rot="0" spcFirstLastPara="0" vertOverflow="ellipsis" vert="wordArtVertRtl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锥入深度</a:t>
                </a:r>
                <a:r>
                  <a:rPr lang="en-US" altLang="zh-CN" sz="700" spc="-100" baseline="0"/>
                  <a:t>mm</a:t>
                </a:r>
                <a:endParaRPr lang="zh-CN" altLang="en-US" spc="-100" baseline="0"/>
              </a:p>
            </c:rich>
          </c:tx>
          <c:layout/>
          <c:overlay val="0"/>
        </c:title>
        <c:numFmt formatCode="0.0_ " sourceLinked="1"/>
        <c:majorTickMark val="out"/>
        <c:minorTickMark val="out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251302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130423511876"/>
          <c:y val="0.0863763620456541"/>
          <c:w val="0.858938628041866"/>
          <c:h val="0.764730374612264"/>
        </c:manualLayout>
      </c:layout>
      <c:lineChart>
        <c:grouping val="stacked"/>
        <c:varyColors val="0"/>
        <c:ser>
          <c:idx val="3"/>
          <c:order val="0"/>
          <c:tx>
            <c:strRef>
              <c:f>"累计曲线"</c:f>
              <c:strCache>
                <c:ptCount val="1"/>
                <c:pt idx="0">
                  <c:v>累计曲线</c:v>
                </c:pt>
              </c:strCache>
            </c:strRef>
          </c:tx>
          <c:spPr>
            <a:ln w="12700" cap="rnd" cmpd="sng" algn="ctr">
              <a:solidFill>
                <a:srgbClr val="C0504D">
                  <a:shade val="95000"/>
                  <a:satMod val="105000"/>
                </a:srgbClr>
              </a:solidFill>
              <a:prstDash val="solid"/>
              <a:round/>
            </a:ln>
          </c:spPr>
          <c:marker>
            <c:symbol val="circle"/>
            <c:size val="2"/>
          </c:marker>
          <c:dLbls>
            <c:delete val="1"/>
          </c:dLbls>
          <c:cat>
            <c:strRef>
              <c:f>累计曲线!$M$12:$M$22</c:f>
              <c:strCache>
                <c:ptCount val="11"/>
                <c:pt idx="0">
                  <c:v>60</c:v>
                </c:pt>
                <c:pt idx="1">
                  <c:v>40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0.5</c:v>
                </c:pt>
                <c:pt idx="8">
                  <c:v>0.25</c:v>
                </c:pt>
                <c:pt idx="9">
                  <c:v>0.074</c:v>
                </c:pt>
                <c:pt idx="10">
                  <c:v>&lt;0.074</c:v>
                </c:pt>
              </c:strCache>
            </c:strRef>
          </c:cat>
          <c:val>
            <c:numRef>
              <c:f>累计曲线!$N$12:$N$22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c:formatCode="0.0_ ">
                  <c:v>2.8</c:v>
                </c:pt>
                <c:pt idx="7" c:formatCode="0.0_ ">
                  <c:v>12.6</c:v>
                </c:pt>
                <c:pt idx="8" c:formatCode="0.0_ ">
                  <c:v>19.08</c:v>
                </c:pt>
                <c:pt idx="9" c:formatCode="0.0_ ">
                  <c:v>70.7</c:v>
                </c:pt>
                <c:pt idx="10" c:formatCode="0.0_ ">
                  <c:v>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480640"/>
        <c:axId val="92482560"/>
      </c:lineChart>
      <c:catAx>
        <c:axId val="9248064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筛孔   </a:t>
                </a:r>
                <a:r>
                  <a:rPr lang="en-US" altLang="zh-CN"/>
                  <a:t>mm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48781633777259"/>
              <c:y val="0.919191919191919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2482560"/>
        <c:crosses val="autoZero"/>
        <c:auto val="0"/>
        <c:lblAlgn val="ctr"/>
        <c:lblOffset val="50"/>
        <c:noMultiLvlLbl val="0"/>
      </c:catAx>
      <c:valAx>
        <c:axId val="92482560"/>
        <c:scaling>
          <c:orientation val="minMax"/>
          <c:max val="100"/>
        </c:scaling>
        <c:delete val="0"/>
        <c:axPos val="l"/>
        <c:majorGridlines/>
        <c:title>
          <c:tx>
            <c:rich>
              <a:bodyPr rot="0" spcFirstLastPara="0" vertOverflow="ellipsis" vert="eaVert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累计筛余百分率   </a:t>
                </a:r>
                <a:r>
                  <a:rPr lang="en-US" altLang="zh-CN"/>
                  <a:t>%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2480640"/>
        <c:crosses val="autoZero"/>
        <c:crossBetween val="midCat"/>
        <c:majorUnit val="10"/>
        <c:minorUnit val="1"/>
      </c:valAx>
    </c:plotArea>
    <c:legend>
      <c:legendPos val="r"/>
      <c:layout>
        <c:manualLayout>
          <c:xMode val="edge"/>
          <c:yMode val="edge"/>
          <c:x val="0.361995884773664"/>
          <c:y val="0.00484092897478718"/>
          <c:w val="0.32098765432099"/>
          <c:h val="0.0913278453829645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10</xdr:row>
      <xdr:rowOff>9525</xdr:rowOff>
    </xdr:from>
    <xdr:to>
      <xdr:col>2</xdr:col>
      <xdr:colOff>1228725</xdr:colOff>
      <xdr:row>17</xdr:row>
      <xdr:rowOff>19050</xdr:rowOff>
    </xdr:to>
    <xdr:sp>
      <xdr:nvSpPr>
        <xdr:cNvPr id="13344" name="Line 2"/>
        <xdr:cNvSpPr>
          <a:spLocks noChangeShapeType="1"/>
        </xdr:cNvSpPr>
      </xdr:nvSpPr>
      <xdr:spPr>
        <a:xfrm flipV="1">
          <a:off x="2000250" y="3790950"/>
          <a:ext cx="1228725" cy="2076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 editAs="oneCell">
    <xdr:from>
      <xdr:col>7</xdr:col>
      <xdr:colOff>276225</xdr:colOff>
      <xdr:row>23</xdr:row>
      <xdr:rowOff>38100</xdr:rowOff>
    </xdr:from>
    <xdr:to>
      <xdr:col>8</xdr:col>
      <xdr:colOff>523875</xdr:colOff>
      <xdr:row>24</xdr:row>
      <xdr:rowOff>142875</xdr:rowOff>
    </xdr:to>
    <xdr:pic>
      <xdr:nvPicPr>
        <xdr:cNvPr id="3" name="Picture 4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896225" y="7694295"/>
          <a:ext cx="933450" cy="3028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15</xdr:row>
      <xdr:rowOff>9525</xdr:rowOff>
    </xdr:from>
    <xdr:to>
      <xdr:col>4</xdr:col>
      <xdr:colOff>0</xdr:colOff>
      <xdr:row>21</xdr:row>
      <xdr:rowOff>266700</xdr:rowOff>
    </xdr:to>
    <xdr:sp>
      <xdr:nvSpPr>
        <xdr:cNvPr id="1040" name="Line 1"/>
        <xdr:cNvSpPr>
          <a:spLocks noChangeShapeType="1"/>
        </xdr:cNvSpPr>
      </xdr:nvSpPr>
      <xdr:spPr>
        <a:xfrm flipV="1">
          <a:off x="685800" y="4417695"/>
          <a:ext cx="2057400" cy="1914525"/>
        </a:xfrm>
        <a:prstGeom prst="line">
          <a:avLst/>
        </a:prstGeom>
        <a:noFill/>
        <a:ln w="9525">
          <a:solidFill>
            <a:srgbClr val="29384E"/>
          </a:solidFill>
          <a:rou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0</xdr:rowOff>
    </xdr:from>
    <xdr:to>
      <xdr:col>4</xdr:col>
      <xdr:colOff>0</xdr:colOff>
      <xdr:row>0</xdr:row>
      <xdr:rowOff>0</xdr:rowOff>
    </xdr:to>
    <xdr:sp>
      <xdr:nvSpPr>
        <xdr:cNvPr id="12335" name="Line 1"/>
        <xdr:cNvSpPr>
          <a:spLocks noChangeShapeType="1"/>
        </xdr:cNvSpPr>
      </xdr:nvSpPr>
      <xdr:spPr>
        <a:xfrm flipV="1">
          <a:off x="771525" y="0"/>
          <a:ext cx="1552575" cy="0"/>
        </a:xfrm>
        <a:prstGeom prst="line">
          <a:avLst/>
        </a:prstGeom>
        <a:noFill/>
        <a:ln w="9525">
          <a:solidFill>
            <a:srgbClr val="29384E"/>
          </a:solidFill>
          <a:round/>
        </a:ln>
      </xdr:spPr>
    </xdr:sp>
    <xdr:clientData/>
  </xdr:twoCellAnchor>
  <xdr:twoCellAnchor>
    <xdr:from>
      <xdr:col>0</xdr:col>
      <xdr:colOff>0</xdr:colOff>
      <xdr:row>29</xdr:row>
      <xdr:rowOff>0</xdr:rowOff>
    </xdr:from>
    <xdr:to>
      <xdr:col>12</xdr:col>
      <xdr:colOff>0</xdr:colOff>
      <xdr:row>47</xdr:row>
      <xdr:rowOff>0</xdr:rowOff>
    </xdr:to>
    <xdr:graphicFrame>
      <xdr:nvGraphicFramePr>
        <xdr:cNvPr id="12337" name="Chart 3"/>
        <xdr:cNvGraphicFramePr/>
      </xdr:nvGraphicFramePr>
      <xdr:xfrm>
        <a:off x="0" y="5429250"/>
        <a:ext cx="5905500" cy="2594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8</xdr:row>
      <xdr:rowOff>219075</xdr:rowOff>
    </xdr:from>
    <xdr:to>
      <xdr:col>1</xdr:col>
      <xdr:colOff>381000</xdr:colOff>
      <xdr:row>8</xdr:row>
      <xdr:rowOff>476250</xdr:rowOff>
    </xdr:to>
    <xdr:sp>
      <xdr:nvSpPr>
        <xdr:cNvPr id="2" name="Text Box 3"/>
        <xdr:cNvSpPr txBox="1">
          <a:spLocks noChangeArrowheads="1"/>
        </xdr:cNvSpPr>
      </xdr:nvSpPr>
      <xdr:spPr>
        <a:xfrm>
          <a:off x="28575" y="3396615"/>
          <a:ext cx="781050" cy="257175"/>
        </a:xfrm>
        <a:prstGeom prst="rect">
          <a:avLst/>
        </a:prstGeom>
        <a:solidFill>
          <a:srgbClr val="FFFFFF"/>
        </a:solidFill>
        <a:ln w="9525" algn="ctr">
          <a:noFill/>
          <a:miter lim="800000"/>
        </a:ln>
        <a:effectLst/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zh-CN" altLang="en-US" sz="1100" b="0" i="0" strike="noStrike">
              <a:solidFill>
                <a:srgbClr val="29384E"/>
              </a:solidFill>
              <a:latin typeface="宋体" panose="02010600030101010101" pitchFamily="7" charset="-122"/>
              <a:ea typeface="宋体" panose="02010600030101010101" pitchFamily="7" charset="-122"/>
            </a:rPr>
            <a:t>试验项目</a:t>
          </a:r>
          <a:endParaRPr lang="zh-CN" altLang="en-US" sz="1100" b="0" i="0" strike="noStrike">
            <a:solidFill>
              <a:srgbClr val="29384E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</xdr:col>
      <xdr:colOff>466725</xdr:colOff>
      <xdr:row>8</xdr:row>
      <xdr:rowOff>47625</xdr:rowOff>
    </xdr:from>
    <xdr:to>
      <xdr:col>2</xdr:col>
      <xdr:colOff>0</xdr:colOff>
      <xdr:row>8</xdr:row>
      <xdr:rowOff>285750</xdr:rowOff>
    </xdr:to>
    <xdr:sp>
      <xdr:nvSpPr>
        <xdr:cNvPr id="3" name="Text Box 2"/>
        <xdr:cNvSpPr txBox="1">
          <a:spLocks noChangeArrowheads="1"/>
        </xdr:cNvSpPr>
      </xdr:nvSpPr>
      <xdr:spPr>
        <a:xfrm>
          <a:off x="895350" y="3225165"/>
          <a:ext cx="72390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zh-CN" altLang="en-US" sz="1100" b="0" i="0" strike="noStrike">
              <a:solidFill>
                <a:srgbClr val="29384E"/>
              </a:solidFill>
              <a:latin typeface="宋体" panose="02010600030101010101" pitchFamily="7" charset="-122"/>
              <a:ea typeface="宋体" panose="02010600030101010101" pitchFamily="7" charset="-122"/>
            </a:rPr>
            <a:t>试验次数</a:t>
          </a:r>
          <a:endParaRPr lang="zh-CN" altLang="en-US" sz="1100" b="0" i="0" strike="noStrike">
            <a:solidFill>
              <a:srgbClr val="29384E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0</xdr:col>
      <xdr:colOff>9525</xdr:colOff>
      <xdr:row>8</xdr:row>
      <xdr:rowOff>0</xdr:rowOff>
    </xdr:from>
    <xdr:to>
      <xdr:col>2</xdr:col>
      <xdr:colOff>0</xdr:colOff>
      <xdr:row>9</xdr:row>
      <xdr:rowOff>0</xdr:rowOff>
    </xdr:to>
    <xdr:sp>
      <xdr:nvSpPr>
        <xdr:cNvPr id="4" name="Line 1"/>
        <xdr:cNvSpPr>
          <a:spLocks noChangeShapeType="1"/>
        </xdr:cNvSpPr>
      </xdr:nvSpPr>
      <xdr:spPr>
        <a:xfrm>
          <a:off x="9525" y="3177540"/>
          <a:ext cx="1609725" cy="507365"/>
        </a:xfrm>
        <a:prstGeom prst="line">
          <a:avLst/>
        </a:prstGeom>
        <a:noFill/>
        <a:ln w="9525">
          <a:solidFill>
            <a:srgbClr val="29384E"/>
          </a:solidFill>
          <a:round/>
        </a:ln>
      </xdr:spPr>
    </xdr:sp>
    <xdr:clientData/>
  </xdr:twoCellAnchor>
  <xdr:twoCellAnchor>
    <xdr:from>
      <xdr:col>12</xdr:col>
      <xdr:colOff>103908</xdr:colOff>
      <xdr:row>5</xdr:row>
      <xdr:rowOff>320387</xdr:rowOff>
    </xdr:from>
    <xdr:to>
      <xdr:col>14</xdr:col>
      <xdr:colOff>320386</xdr:colOff>
      <xdr:row>14</xdr:row>
      <xdr:rowOff>235528</xdr:rowOff>
    </xdr:to>
    <xdr:graphicFrame>
      <xdr:nvGraphicFramePr>
        <xdr:cNvPr id="5" name="Chart 6"/>
        <xdr:cNvGraphicFramePr/>
      </xdr:nvGraphicFramePr>
      <xdr:xfrm>
        <a:off x="6237605" y="2480310"/>
        <a:ext cx="1940560" cy="3023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</xdr:colOff>
      <xdr:row>8</xdr:row>
      <xdr:rowOff>1</xdr:rowOff>
    </xdr:from>
    <xdr:to>
      <xdr:col>12</xdr:col>
      <xdr:colOff>0</xdr:colOff>
      <xdr:row>16</xdr:row>
      <xdr:rowOff>294410</xdr:rowOff>
    </xdr:to>
    <xdr:graphicFrame>
      <xdr:nvGraphicFramePr>
        <xdr:cNvPr id="6" name="图表 5"/>
        <xdr:cNvGraphicFramePr/>
      </xdr:nvGraphicFramePr>
      <xdr:xfrm>
        <a:off x="4191000" y="3177540"/>
        <a:ext cx="1943100" cy="3019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22</xdr:row>
      <xdr:rowOff>0</xdr:rowOff>
    </xdr:from>
    <xdr:to>
      <xdr:col>10</xdr:col>
      <xdr:colOff>0</xdr:colOff>
      <xdr:row>25</xdr:row>
      <xdr:rowOff>0</xdr:rowOff>
    </xdr:to>
    <xdr:graphicFrame>
      <xdr:nvGraphicFramePr>
        <xdr:cNvPr id="3" name="图表 2"/>
        <xdr:cNvGraphicFramePr/>
      </xdr:nvGraphicFramePr>
      <xdr:xfrm>
        <a:off x="0" y="5953125"/>
        <a:ext cx="6172200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0</xdr:rowOff>
    </xdr:from>
    <xdr:to>
      <xdr:col>4</xdr:col>
      <xdr:colOff>0</xdr:colOff>
      <xdr:row>0</xdr:row>
      <xdr:rowOff>0</xdr:rowOff>
    </xdr:to>
    <xdr:sp>
      <xdr:nvSpPr>
        <xdr:cNvPr id="10256" name="Line 1"/>
        <xdr:cNvSpPr>
          <a:spLocks noChangeShapeType="1"/>
        </xdr:cNvSpPr>
      </xdr:nvSpPr>
      <xdr:spPr>
        <a:xfrm flipV="1">
          <a:off x="504825" y="0"/>
          <a:ext cx="1857375" cy="0"/>
        </a:xfrm>
        <a:prstGeom prst="line">
          <a:avLst/>
        </a:prstGeom>
        <a:noFill/>
        <a:ln w="9525">
          <a:solidFill>
            <a:srgbClr val="29384E"/>
          </a:solidFill>
          <a:rou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0</xdr:rowOff>
    </xdr:from>
    <xdr:to>
      <xdr:col>4</xdr:col>
      <xdr:colOff>0</xdr:colOff>
      <xdr:row>0</xdr:row>
      <xdr:rowOff>0</xdr:rowOff>
    </xdr:to>
    <xdr:sp>
      <xdr:nvSpPr>
        <xdr:cNvPr id="5211" name="Line 1"/>
        <xdr:cNvSpPr>
          <a:spLocks noChangeShapeType="1"/>
        </xdr:cNvSpPr>
      </xdr:nvSpPr>
      <xdr:spPr>
        <a:xfrm flipV="1">
          <a:off x="1333500" y="0"/>
          <a:ext cx="2314575" cy="0"/>
        </a:xfrm>
        <a:prstGeom prst="line">
          <a:avLst/>
        </a:prstGeom>
        <a:noFill/>
        <a:ln w="9525">
          <a:solidFill>
            <a:srgbClr val="29384E"/>
          </a:solidFill>
          <a:round/>
        </a:ln>
      </xdr:spPr>
    </xdr:sp>
    <xdr:clientData/>
  </xdr:twoCellAnchor>
  <xdr:twoCellAnchor>
    <xdr:from>
      <xdr:col>0</xdr:col>
      <xdr:colOff>9525</xdr:colOff>
      <xdr:row>7</xdr:row>
      <xdr:rowOff>9525</xdr:rowOff>
    </xdr:from>
    <xdr:to>
      <xdr:col>0</xdr:col>
      <xdr:colOff>1438275</xdr:colOff>
      <xdr:row>8</xdr:row>
      <xdr:rowOff>9525</xdr:rowOff>
    </xdr:to>
    <xdr:sp>
      <xdr:nvSpPr>
        <xdr:cNvPr id="5212" name="Line 2"/>
        <xdr:cNvSpPr>
          <a:spLocks noChangeShapeType="1"/>
        </xdr:cNvSpPr>
      </xdr:nvSpPr>
      <xdr:spPr>
        <a:xfrm>
          <a:off x="9525" y="2460625"/>
          <a:ext cx="1323975" cy="316865"/>
        </a:xfrm>
        <a:prstGeom prst="line">
          <a:avLst/>
        </a:prstGeom>
        <a:noFill/>
        <a:ln w="9525">
          <a:solidFill>
            <a:srgbClr val="29384E"/>
          </a:solidFill>
          <a:round/>
        </a:ln>
      </xdr:spPr>
    </xdr:sp>
    <xdr:clientData/>
  </xdr:twoCellAnchor>
  <xdr:twoCellAnchor>
    <xdr:from>
      <xdr:col>0</xdr:col>
      <xdr:colOff>19050</xdr:colOff>
      <xdr:row>7</xdr:row>
      <xdr:rowOff>28575</xdr:rowOff>
    </xdr:from>
    <xdr:to>
      <xdr:col>0</xdr:col>
      <xdr:colOff>1219200</xdr:colOff>
      <xdr:row>8</xdr:row>
      <xdr:rowOff>295275</xdr:rowOff>
    </xdr:to>
    <xdr:sp>
      <xdr:nvSpPr>
        <xdr:cNvPr id="5213" name="Line 3"/>
        <xdr:cNvSpPr>
          <a:spLocks noChangeShapeType="1"/>
        </xdr:cNvSpPr>
      </xdr:nvSpPr>
      <xdr:spPr>
        <a:xfrm>
          <a:off x="19050" y="2479675"/>
          <a:ext cx="1200150" cy="583565"/>
        </a:xfrm>
        <a:prstGeom prst="line">
          <a:avLst/>
        </a:prstGeom>
        <a:noFill/>
        <a:ln w="9525">
          <a:solidFill>
            <a:srgbClr val="29384E"/>
          </a:solidFill>
          <a:round/>
        </a:ln>
      </xdr:spPr>
    </xdr:sp>
    <xdr:clientData/>
  </xdr:twoCellAnchor>
  <xdr:twoCellAnchor>
    <xdr:from>
      <xdr:col>0</xdr:col>
      <xdr:colOff>876300</xdr:colOff>
      <xdr:row>7</xdr:row>
      <xdr:rowOff>38100</xdr:rowOff>
    </xdr:from>
    <xdr:to>
      <xdr:col>0</xdr:col>
      <xdr:colOff>1333500</xdr:colOff>
      <xdr:row>7</xdr:row>
      <xdr:rowOff>247650</xdr:rowOff>
    </xdr:to>
    <xdr:sp>
      <xdr:nvSpPr>
        <xdr:cNvPr id="5124" name="Text Box 4"/>
        <xdr:cNvSpPr txBox="1">
          <a:spLocks noChangeArrowheads="1"/>
        </xdr:cNvSpPr>
      </xdr:nvSpPr>
      <xdr:spPr>
        <a:xfrm>
          <a:off x="876300" y="2489200"/>
          <a:ext cx="457200" cy="20955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000" b="0" i="0" strike="noStrike">
              <a:solidFill>
                <a:srgbClr val="29384E"/>
              </a:solidFill>
              <a:latin typeface="宋体" panose="02010600030101010101" pitchFamily="7" charset="-122"/>
              <a:ea typeface="宋体" panose="02010600030101010101" pitchFamily="7" charset="-122"/>
            </a:rPr>
            <a:t>桩号层次</a:t>
          </a:r>
          <a:endParaRPr lang="zh-CN" altLang="en-US" sz="1000" b="0" i="0" strike="noStrike">
            <a:solidFill>
              <a:srgbClr val="29384E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0</xdr:col>
      <xdr:colOff>971550</xdr:colOff>
      <xdr:row>8</xdr:row>
      <xdr:rowOff>57150</xdr:rowOff>
    </xdr:from>
    <xdr:to>
      <xdr:col>0</xdr:col>
      <xdr:colOff>1314450</xdr:colOff>
      <xdr:row>8</xdr:row>
      <xdr:rowOff>228600</xdr:rowOff>
    </xdr:to>
    <xdr:sp>
      <xdr:nvSpPr>
        <xdr:cNvPr id="5125" name="Text Box 5"/>
        <xdr:cNvSpPr txBox="1">
          <a:spLocks noChangeArrowheads="1"/>
        </xdr:cNvSpPr>
      </xdr:nvSpPr>
      <xdr:spPr>
        <a:xfrm>
          <a:off x="971550" y="2825115"/>
          <a:ext cx="342900" cy="17145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000" b="0" i="0" strike="noStrike">
              <a:solidFill>
                <a:srgbClr val="29384E"/>
              </a:solidFill>
              <a:latin typeface="宋体" panose="02010600030101010101" pitchFamily="7" charset="-122"/>
              <a:ea typeface="宋体" panose="02010600030101010101" pitchFamily="7" charset="-122"/>
            </a:rPr>
            <a:t>位置</a:t>
          </a:r>
          <a:endParaRPr lang="zh-CN" altLang="en-US" sz="1000" b="0" i="0" strike="noStrike">
            <a:solidFill>
              <a:srgbClr val="29384E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0</xdr:col>
      <xdr:colOff>276225</xdr:colOff>
      <xdr:row>8</xdr:row>
      <xdr:rowOff>123825</xdr:rowOff>
    </xdr:from>
    <xdr:to>
      <xdr:col>0</xdr:col>
      <xdr:colOff>600075</xdr:colOff>
      <xdr:row>8</xdr:row>
      <xdr:rowOff>295275</xdr:rowOff>
    </xdr:to>
    <xdr:sp>
      <xdr:nvSpPr>
        <xdr:cNvPr id="5126" name="Text Box 6"/>
        <xdr:cNvSpPr txBox="1">
          <a:spLocks noChangeArrowheads="1"/>
        </xdr:cNvSpPr>
      </xdr:nvSpPr>
      <xdr:spPr>
        <a:xfrm>
          <a:off x="276225" y="2891790"/>
          <a:ext cx="323850" cy="17145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000" b="0" i="0" strike="noStrike">
              <a:solidFill>
                <a:srgbClr val="29384E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  <a:endParaRPr lang="zh-CN" altLang="en-US" sz="1000" b="0" i="0" strike="noStrike">
            <a:solidFill>
              <a:srgbClr val="29384E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8</xdr:row>
      <xdr:rowOff>0</xdr:rowOff>
    </xdr:from>
    <xdr:to>
      <xdr:col>0</xdr:col>
      <xdr:colOff>1371600</xdr:colOff>
      <xdr:row>9</xdr:row>
      <xdr:rowOff>0</xdr:rowOff>
    </xdr:to>
    <xdr:sp>
      <xdr:nvSpPr>
        <xdr:cNvPr id="3" name="Line 8"/>
        <xdr:cNvSpPr>
          <a:spLocks noChangeShapeType="1"/>
        </xdr:cNvSpPr>
      </xdr:nvSpPr>
      <xdr:spPr>
        <a:xfrm>
          <a:off x="19050" y="2200275"/>
          <a:ext cx="1352550" cy="428625"/>
        </a:xfrm>
        <a:prstGeom prst="line">
          <a:avLst/>
        </a:prstGeom>
        <a:noFill/>
        <a:ln w="9525">
          <a:solidFill>
            <a:srgbClr val="29384E"/>
          </a:solidFill>
          <a:round/>
        </a:ln>
      </xdr:spPr>
    </xdr:sp>
    <xdr:clientData/>
  </xdr:twoCellAnchor>
  <xdr:twoCellAnchor>
    <xdr:from>
      <xdr:col>0</xdr:col>
      <xdr:colOff>690553</xdr:colOff>
      <xdr:row>8</xdr:row>
      <xdr:rowOff>32802</xdr:rowOff>
    </xdr:from>
    <xdr:to>
      <xdr:col>1</xdr:col>
      <xdr:colOff>76200</xdr:colOff>
      <xdr:row>8</xdr:row>
      <xdr:rowOff>288446</xdr:rowOff>
    </xdr:to>
    <xdr:sp>
      <xdr:nvSpPr>
        <xdr:cNvPr id="5" name="Text Box 10"/>
        <xdr:cNvSpPr txBox="1">
          <a:spLocks noChangeArrowheads="1"/>
        </xdr:cNvSpPr>
      </xdr:nvSpPr>
      <xdr:spPr>
        <a:xfrm>
          <a:off x="690245" y="2232660"/>
          <a:ext cx="767080" cy="25590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000" b="0" i="0" strike="noStrike">
              <a:solidFill>
                <a:srgbClr val="29384E"/>
              </a:solidFill>
              <a:latin typeface="宋体" panose="02010600030101010101" pitchFamily="7" charset="-122"/>
              <a:ea typeface="宋体" panose="02010600030101010101" pitchFamily="7" charset="-122"/>
            </a:rPr>
            <a:t>桩号、位置</a:t>
          </a:r>
          <a:endParaRPr lang="zh-CN" altLang="en-US" sz="1000" b="0" i="0" strike="noStrike">
            <a:solidFill>
              <a:srgbClr val="29384E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0</xdr:col>
      <xdr:colOff>161925</xdr:colOff>
      <xdr:row>8</xdr:row>
      <xdr:rowOff>219075</xdr:rowOff>
    </xdr:from>
    <xdr:to>
      <xdr:col>0</xdr:col>
      <xdr:colOff>485775</xdr:colOff>
      <xdr:row>8</xdr:row>
      <xdr:rowOff>390525</xdr:rowOff>
    </xdr:to>
    <xdr:sp>
      <xdr:nvSpPr>
        <xdr:cNvPr id="6" name="Text Box 11"/>
        <xdr:cNvSpPr txBox="1">
          <a:spLocks noChangeArrowheads="1"/>
        </xdr:cNvSpPr>
      </xdr:nvSpPr>
      <xdr:spPr>
        <a:xfrm>
          <a:off x="161925" y="2419350"/>
          <a:ext cx="323850" cy="17145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000" b="0" i="0" strike="noStrike">
              <a:solidFill>
                <a:srgbClr val="29384E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  <a:endParaRPr lang="zh-CN" altLang="en-US" sz="1000" b="0" i="0" strike="noStrike">
            <a:solidFill>
              <a:srgbClr val="29384E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 editAs="oneCell">
    <xdr:from>
      <xdr:col>8</xdr:col>
      <xdr:colOff>390525</xdr:colOff>
      <xdr:row>26</xdr:row>
      <xdr:rowOff>47625</xdr:rowOff>
    </xdr:from>
    <xdr:to>
      <xdr:col>10</xdr:col>
      <xdr:colOff>219075</xdr:colOff>
      <xdr:row>26</xdr:row>
      <xdr:rowOff>438150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277100" y="8220075"/>
          <a:ext cx="1200150" cy="390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685801</xdr:colOff>
      <xdr:row>25</xdr:row>
      <xdr:rowOff>257176</xdr:rowOff>
    </xdr:from>
    <xdr:to>
      <xdr:col>5</xdr:col>
      <xdr:colOff>152401</xdr:colOff>
      <xdr:row>25</xdr:row>
      <xdr:rowOff>657226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3686175" y="7762875"/>
          <a:ext cx="1066800" cy="400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0</xdr:rowOff>
    </xdr:from>
    <xdr:to>
      <xdr:col>4</xdr:col>
      <xdr:colOff>0</xdr:colOff>
      <xdr:row>0</xdr:row>
      <xdr:rowOff>0</xdr:rowOff>
    </xdr:to>
    <xdr:sp>
      <xdr:nvSpPr>
        <xdr:cNvPr id="7184" name="Line 1"/>
        <xdr:cNvSpPr>
          <a:spLocks noChangeShapeType="1"/>
        </xdr:cNvSpPr>
      </xdr:nvSpPr>
      <xdr:spPr>
        <a:xfrm flipV="1">
          <a:off x="438150" y="0"/>
          <a:ext cx="1143000" cy="0"/>
        </a:xfrm>
        <a:prstGeom prst="line">
          <a:avLst/>
        </a:prstGeom>
        <a:noFill/>
        <a:ln w="9525">
          <a:solidFill>
            <a:srgbClr val="29384E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29384E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29384E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showGridLines="0" zoomScale="75" zoomScaleNormal="75" workbookViewId="0">
      <selection activeCell="E5" sqref="E5"/>
    </sheetView>
  </sheetViews>
  <sheetFormatPr defaultColWidth="9" defaultRowHeight="15.6"/>
  <cols>
    <col min="1" max="1" width="5.25" style="495" customWidth="1"/>
    <col min="2" max="2" width="16.25" style="495" customWidth="1"/>
    <col min="3" max="3" width="17.375" style="495" customWidth="1"/>
    <col min="4" max="4" width="16.25" style="495" customWidth="1"/>
    <col min="5" max="5" width="21" style="495" customWidth="1"/>
    <col min="6" max="6" width="27.5" style="495" customWidth="1"/>
    <col min="7" max="8" width="14.75" style="495" customWidth="1"/>
    <col min="9" max="9" width="12.625" style="493" hidden="1" customWidth="1"/>
    <col min="10" max="10" width="13.875" style="495" hidden="1" customWidth="1"/>
    <col min="11" max="11" width="16" style="495" hidden="1" customWidth="1"/>
    <col min="12" max="12" width="14" style="495" hidden="1" customWidth="1"/>
    <col min="13" max="13" width="12.125" style="495" hidden="1" customWidth="1"/>
    <col min="14" max="14" width="21.25" style="495" hidden="1" customWidth="1"/>
    <col min="15" max="15" width="12" style="495" hidden="1" customWidth="1"/>
    <col min="16" max="16" width="22.625" style="495" hidden="1" customWidth="1"/>
    <col min="17" max="16384" width="9" style="495"/>
  </cols>
  <sheetData>
    <row r="1" ht="66" customHeight="1" spans="1:13">
      <c r="A1" s="496"/>
      <c r="B1" s="493"/>
      <c r="C1" s="493"/>
      <c r="D1" s="493"/>
      <c r="E1" s="493"/>
      <c r="F1" s="493"/>
      <c r="G1" s="493"/>
      <c r="H1" s="493"/>
      <c r="J1" s="493"/>
      <c r="K1" s="493"/>
      <c r="L1" s="493"/>
      <c r="M1" s="493"/>
    </row>
    <row r="2" ht="44.25" customHeight="1" spans="1:16">
      <c r="A2" s="496"/>
      <c r="B2" s="497" t="s">
        <v>0</v>
      </c>
      <c r="C2" s="498"/>
      <c r="D2" s="498"/>
      <c r="E2" s="498"/>
      <c r="F2" s="499"/>
      <c r="G2" s="500"/>
      <c r="H2" s="500"/>
      <c r="I2" s="533" t="s">
        <v>1</v>
      </c>
      <c r="J2" s="534"/>
      <c r="K2" s="534"/>
      <c r="L2" s="535"/>
      <c r="M2" s="536" t="s">
        <v>2</v>
      </c>
      <c r="N2" s="537"/>
      <c r="O2" s="537"/>
      <c r="P2" s="538"/>
    </row>
    <row r="3" ht="32.1" customHeight="1" spans="1:16">
      <c r="A3" s="496"/>
      <c r="B3" s="501" t="s">
        <v>3</v>
      </c>
      <c r="C3" s="502"/>
      <c r="D3" s="502"/>
      <c r="E3" s="502"/>
      <c r="F3" s="503"/>
      <c r="G3" s="504"/>
      <c r="H3" s="504"/>
      <c r="I3" s="539" t="s">
        <v>4</v>
      </c>
      <c r="J3" s="540" t="s">
        <v>5</v>
      </c>
      <c r="K3" s="540" t="s">
        <v>6</v>
      </c>
      <c r="L3" s="541" t="s">
        <v>7</v>
      </c>
      <c r="M3" s="542" t="s">
        <v>8</v>
      </c>
      <c r="N3" s="540" t="s">
        <v>9</v>
      </c>
      <c r="O3" s="540" t="s">
        <v>8</v>
      </c>
      <c r="P3" s="541" t="s">
        <v>9</v>
      </c>
    </row>
    <row r="4" s="493" customFormat="1" ht="48" customHeight="1" spans="2:16">
      <c r="B4" s="505" t="s">
        <v>10</v>
      </c>
      <c r="C4" s="506" t="s">
        <v>11</v>
      </c>
      <c r="D4" s="502" t="s">
        <v>12</v>
      </c>
      <c r="E4" s="502" t="s">
        <v>13</v>
      </c>
      <c r="F4" s="503" t="s">
        <v>14</v>
      </c>
      <c r="G4" s="500"/>
      <c r="H4" s="500"/>
      <c r="I4" s="543">
        <f ca="1">100-E5</f>
        <v>73.4906034822355</v>
      </c>
      <c r="J4" s="544">
        <f>100-D5</f>
        <v>0</v>
      </c>
      <c r="K4" s="544">
        <f ca="1">D5-E5</f>
        <v>73.4906034822355</v>
      </c>
      <c r="L4" s="545">
        <f ca="1">E5</f>
        <v>26.5093965177645</v>
      </c>
      <c r="M4" s="542" t="s">
        <v>15</v>
      </c>
      <c r="N4" s="540" t="s">
        <v>16</v>
      </c>
      <c r="O4" s="540" t="s">
        <v>17</v>
      </c>
      <c r="P4" s="541" t="s">
        <v>18</v>
      </c>
    </row>
    <row r="5" s="494" customFormat="1" ht="36.75" customHeight="1" spans="1:16">
      <c r="A5" s="507"/>
      <c r="B5" s="508">
        <f>液塑限!K18</f>
        <v>28.3</v>
      </c>
      <c r="C5" s="509">
        <f ca="1">液塑限!K19</f>
        <v>18.9950984032408</v>
      </c>
      <c r="D5" s="510">
        <f>颗粒分析!J16</f>
        <v>100</v>
      </c>
      <c r="E5" s="510">
        <f ca="1">颗粒分析!J20</f>
        <v>26.5093965177645</v>
      </c>
      <c r="F5" s="511" t="s">
        <v>19</v>
      </c>
      <c r="G5" s="512"/>
      <c r="H5" s="512"/>
      <c r="I5" s="546" t="s">
        <v>20</v>
      </c>
      <c r="J5" s="540" t="s">
        <v>21</v>
      </c>
      <c r="K5" s="540" t="s">
        <v>22</v>
      </c>
      <c r="L5" s="541" t="s">
        <v>23</v>
      </c>
      <c r="M5" s="542" t="s">
        <v>24</v>
      </c>
      <c r="N5" s="540" t="s">
        <v>25</v>
      </c>
      <c r="O5" s="540" t="s">
        <v>26</v>
      </c>
      <c r="P5" s="541" t="s">
        <v>27</v>
      </c>
    </row>
    <row r="6" ht="32.1" customHeight="1" spans="1:16">
      <c r="A6" s="513"/>
      <c r="B6" s="514" t="s">
        <v>28</v>
      </c>
      <c r="C6" s="515"/>
      <c r="D6" s="515"/>
      <c r="E6" s="515"/>
      <c r="F6" s="516"/>
      <c r="G6" s="517"/>
      <c r="H6" s="517"/>
      <c r="I6" s="547">
        <f>B5</f>
        <v>28.3</v>
      </c>
      <c r="J6" s="548">
        <f ca="1">C5</f>
        <v>18.9950984032408</v>
      </c>
      <c r="K6" s="548">
        <f ca="1">I6-J6</f>
        <v>9.30490159675922</v>
      </c>
      <c r="L6" s="549">
        <f>0.73*(I6-20)</f>
        <v>6.059</v>
      </c>
      <c r="M6" s="542" t="s">
        <v>29</v>
      </c>
      <c r="N6" s="540" t="s">
        <v>30</v>
      </c>
      <c r="O6" s="540" t="s">
        <v>31</v>
      </c>
      <c r="P6" s="541" t="s">
        <v>32</v>
      </c>
    </row>
    <row r="7" ht="32.1" customHeight="1" spans="1:16">
      <c r="A7" s="513"/>
      <c r="B7" s="518" t="s">
        <v>9</v>
      </c>
      <c r="C7" s="519" t="str">
        <f ca="1">IF(F7=M5,N5,IF(F7=M6,N6,IF(F7=M7,N7,IF(F7=M8,N8,IF(F7=M9,N9,IF(F7=M10,N10,IF(F7=M11,N11,IF(F7=M12,N12,J12))))))))</f>
        <v>粘土质砂</v>
      </c>
      <c r="D7" s="519"/>
      <c r="E7" s="520" t="s">
        <v>8</v>
      </c>
      <c r="F7" s="521" t="str">
        <f ca="1">IF(I4&gt;50,I8,K8)</f>
        <v>SC</v>
      </c>
      <c r="G7" s="512"/>
      <c r="H7" s="512"/>
      <c r="I7" s="550" t="s">
        <v>33</v>
      </c>
      <c r="J7" s="551"/>
      <c r="K7" s="540" t="s">
        <v>34</v>
      </c>
      <c r="L7" s="541"/>
      <c r="M7" s="542" t="s">
        <v>35</v>
      </c>
      <c r="N7" s="540" t="s">
        <v>36</v>
      </c>
      <c r="O7" s="540" t="s">
        <v>37</v>
      </c>
      <c r="P7" s="541" t="s">
        <v>38</v>
      </c>
    </row>
    <row r="8" ht="27" customHeight="1" spans="1:16">
      <c r="A8" s="513"/>
      <c r="F8" s="517"/>
      <c r="G8" s="517"/>
      <c r="H8" s="517"/>
      <c r="I8" s="552" t="str">
        <f ca="1">IF(L4&gt;=50,"——",IF(J4&gt;50,J9,J10))</f>
        <v>SC</v>
      </c>
      <c r="J8" s="553"/>
      <c r="K8" s="553" t="str">
        <f ca="1">IF(L4&lt;50,"——",IF(F5="是",L11,IF(L4&gt;=75,L10,L9)))</f>
        <v>——</v>
      </c>
      <c r="L8" s="554"/>
      <c r="M8" s="542" t="s">
        <v>39</v>
      </c>
      <c r="N8" s="540" t="s">
        <v>40</v>
      </c>
      <c r="O8" s="540" t="s">
        <v>41</v>
      </c>
      <c r="P8" s="541" t="s">
        <v>42</v>
      </c>
    </row>
    <row r="9" ht="24.95" customHeight="1" spans="1:16">
      <c r="A9" s="507"/>
      <c r="I9" s="546" t="s">
        <v>43</v>
      </c>
      <c r="J9" s="553" t="str">
        <f ca="1">IF(OR(L4&gt;=50,J4&lt;=50),"——",IF(L4&lt;5,"GW or GP",IF(L4&gt;15,IF(K6&gt;L6,"GC","GM"),"GF")))</f>
        <v>——</v>
      </c>
      <c r="K9" s="555" t="s">
        <v>44</v>
      </c>
      <c r="L9" s="554" t="str">
        <f ca="1">IF(OR(L4&lt;50,L4&gt;75),"——",IF(K6&gt;L6,IF(I6&gt;=50,IF(J4&gt;K4,"CHG","CHS"),IF(K6&gt;=10,IF(J4&gt;K4,"CLG","CLS"),"Ip=10、A、B线三角区内，不能判定！")),IF(I6&gt;=50,IF(J4&gt;K4,"MHG","MHS"),IF(K6&gt;=10,IF(J4&gt;K4,"MLG","MLS"),"在Ip=10、A、B线三角区内，不能判定！"))))</f>
        <v>——</v>
      </c>
      <c r="M9" s="542" t="s">
        <v>45</v>
      </c>
      <c r="N9" s="540" t="s">
        <v>46</v>
      </c>
      <c r="O9" s="540" t="s">
        <v>47</v>
      </c>
      <c r="P9" s="541" t="s">
        <v>48</v>
      </c>
    </row>
    <row r="10" ht="24.95" customHeight="1" spans="1:16">
      <c r="A10" s="513"/>
      <c r="B10" s="522" t="s">
        <v>49</v>
      </c>
      <c r="C10" s="523" t="s">
        <v>50</v>
      </c>
      <c r="D10" s="523"/>
      <c r="E10" s="523"/>
      <c r="F10" s="523"/>
      <c r="I10" s="546" t="s">
        <v>51</v>
      </c>
      <c r="J10" s="553" t="str">
        <f ca="1">IF(OR(L4&gt;=50,J4&gt;50),"——",IF(L4&lt;5,"SW or SP",IF(L4&gt;15,IF(K6&gt;L6,"SC","SM"),"SF")))</f>
        <v>SC</v>
      </c>
      <c r="K10" s="555" t="s">
        <v>52</v>
      </c>
      <c r="L10" s="554" t="str">
        <f ca="1">IF(OR(L4&lt;50,L4&lt;75),"——",IF(K6&gt;L6,IF(I6&gt;=50,"CH",IF(K6&gt;=10,"CL","Ip=10、A、B线三角区内，不能判定！")),IF(I6&gt;=50,"MH",IF(K6&gt;=10,"ML","Ip=10、A、B线三角区内，不能判定！"))))</f>
        <v>——</v>
      </c>
      <c r="M10" s="542" t="s">
        <v>53</v>
      </c>
      <c r="N10" s="540" t="s">
        <v>54</v>
      </c>
      <c r="O10" s="540" t="s">
        <v>55</v>
      </c>
      <c r="P10" s="541" t="s">
        <v>56</v>
      </c>
    </row>
    <row r="11" ht="16.5" customHeight="1" spans="1:16">
      <c r="A11" s="513"/>
      <c r="B11" s="522"/>
      <c r="C11" s="523"/>
      <c r="D11" s="523"/>
      <c r="E11" s="523"/>
      <c r="F11" s="523"/>
      <c r="I11" s="546"/>
      <c r="J11" s="553"/>
      <c r="K11" s="555" t="s">
        <v>57</v>
      </c>
      <c r="L11" s="554" t="str">
        <f ca="1">IF(OR(L4&lt;50,F5="否"),"——",IF(K6&gt;L6,IF(I6&gt;=50,"CHO",IF(K6&gt;=10,"CLO","Ip=10、A、B线三角区内，不能判定！")),IF(I6&gt;=50,"MHO",IF(K6&gt;=10,"MLO","Ip=10、A、B线三角区内，不能判定！"))))</f>
        <v>——</v>
      </c>
      <c r="M11" s="542" t="s">
        <v>58</v>
      </c>
      <c r="N11" s="540" t="s">
        <v>59</v>
      </c>
      <c r="O11" s="540" t="s">
        <v>60</v>
      </c>
      <c r="P11" s="541" t="s">
        <v>61</v>
      </c>
    </row>
    <row r="12" ht="24.95" customHeight="1" spans="1:16">
      <c r="A12" s="513"/>
      <c r="B12" s="522"/>
      <c r="C12" s="524" t="s">
        <v>62</v>
      </c>
      <c r="D12" s="525"/>
      <c r="E12" s="525"/>
      <c r="F12" s="526"/>
      <c r="I12" s="556" t="s">
        <v>63</v>
      </c>
      <c r="J12" s="557" t="str">
        <f ca="1">IF(F7=M13,N13,IF(F7=M14,N14,IF(F7=M15,N15,IF(F7=M16,N16,IF(F7=O5,P5,IF(F7=O6,P6,IF(F7=O7,P7,IF(F7=O8,P8,K12))))))))</f>
        <v>不能判定！</v>
      </c>
      <c r="K12" s="557" t="str">
        <f ca="1">IF(F7=O9,P9,IF(F7=O10,P10,IF(F7=O11,P11,IF(F7=O12,P12,IF(F7=O13,P13,IF(F7=O14,P14,IF(F7=O15,P15,IF(F7=O16,P16,L12))))))))</f>
        <v>不能判定！</v>
      </c>
      <c r="L12" s="558" t="str">
        <f ca="1">IF(F7=M17,N17,IF(F7=O17,P17,IF(F7=M4,N4,IF(F7=O4,P4,"不能判定！"))))</f>
        <v>不能判定！</v>
      </c>
      <c r="M12" s="542" t="s">
        <v>64</v>
      </c>
      <c r="N12" s="540" t="s">
        <v>65</v>
      </c>
      <c r="O12" s="540" t="s">
        <v>66</v>
      </c>
      <c r="P12" s="541" t="s">
        <v>67</v>
      </c>
    </row>
    <row r="13" ht="24.95" customHeight="1" spans="1:16">
      <c r="A13" s="513"/>
      <c r="B13" s="522"/>
      <c r="C13" s="527"/>
      <c r="D13" s="528"/>
      <c r="E13" s="528"/>
      <c r="F13" s="529"/>
      <c r="M13" s="542" t="s">
        <v>68</v>
      </c>
      <c r="N13" s="540" t="s">
        <v>69</v>
      </c>
      <c r="O13" s="540" t="s">
        <v>70</v>
      </c>
      <c r="P13" s="541" t="s">
        <v>71</v>
      </c>
    </row>
    <row r="14" ht="24.95" customHeight="1" spans="1:16">
      <c r="A14" s="513"/>
      <c r="B14" s="522"/>
      <c r="C14" s="530"/>
      <c r="D14" s="531"/>
      <c r="E14" s="531"/>
      <c r="F14" s="532"/>
      <c r="M14" s="542" t="s">
        <v>72</v>
      </c>
      <c r="N14" s="540" t="s">
        <v>73</v>
      </c>
      <c r="O14" s="540" t="s">
        <v>74</v>
      </c>
      <c r="P14" s="541" t="s">
        <v>75</v>
      </c>
    </row>
    <row r="15" ht="24.95" customHeight="1" spans="13:16">
      <c r="M15" s="542" t="s">
        <v>76</v>
      </c>
      <c r="N15" s="540" t="s">
        <v>77</v>
      </c>
      <c r="O15" s="540" t="s">
        <v>78</v>
      </c>
      <c r="P15" s="541" t="s">
        <v>79</v>
      </c>
    </row>
    <row r="16" ht="24.95" customHeight="1" spans="13:16">
      <c r="M16" s="546" t="s">
        <v>80</v>
      </c>
      <c r="N16" s="540" t="s">
        <v>81</v>
      </c>
      <c r="O16" s="540" t="s">
        <v>82</v>
      </c>
      <c r="P16" s="541" t="s">
        <v>83</v>
      </c>
    </row>
    <row r="17" s="495" customFormat="1" ht="24.95" customHeight="1" spans="13:16">
      <c r="M17" s="542" t="s">
        <v>84</v>
      </c>
      <c r="N17" s="540" t="s">
        <v>85</v>
      </c>
      <c r="O17" s="540" t="s">
        <v>86</v>
      </c>
      <c r="P17" s="541" t="s">
        <v>87</v>
      </c>
    </row>
    <row r="18" s="495" customFormat="1" ht="24.95" customHeight="1" spans="13:16">
      <c r="M18" s="559"/>
      <c r="N18" s="560"/>
      <c r="O18" s="560"/>
      <c r="P18" s="561"/>
    </row>
    <row r="19" s="495" customFormat="1" ht="24.95" customHeight="1"/>
    <row r="20" s="495" customFormat="1" ht="24.95" customHeight="1"/>
    <row r="21" s="495" customFormat="1" ht="24.95" customHeight="1"/>
    <row r="22" s="495" customFormat="1" ht="24.95" customHeight="1"/>
    <row r="23" s="495" customFormat="1" ht="24.95" customHeight="1"/>
    <row r="24" s="495" customFormat="1" ht="24.95" customHeight="1"/>
    <row r="25" s="495" customFormat="1" ht="24.95" customHeight="1"/>
    <row r="26" s="495" customFormat="1" ht="24.95" customHeight="1"/>
    <row r="27" s="495" customFormat="1" ht="24.95" customHeight="1"/>
    <row r="28" s="495" customFormat="1" ht="24.95" customHeight="1"/>
    <row r="29" s="495" customFormat="1" ht="24.95" customHeight="1"/>
    <row r="30" s="495" customFormat="1" ht="24.95" customHeight="1"/>
    <row r="31" s="495" customFormat="1" ht="24.95" customHeight="1"/>
    <row r="32" s="495" customFormat="1" ht="24.95" customHeight="1"/>
    <row r="33" ht="24.95" customHeight="1"/>
    <row r="34" ht="24.95" customHeight="1"/>
    <row r="35" ht="24.95" customHeight="1"/>
    <row r="36" ht="24.95" customHeight="1"/>
    <row r="37" ht="24.95" customHeight="1"/>
    <row r="38" ht="24.95" customHeight="1"/>
    <row r="39" ht="24.95" customHeight="1"/>
    <row r="40" ht="24.95" customHeight="1"/>
    <row r="41" ht="24.95" customHeight="1"/>
    <row r="42" ht="24.95" customHeight="1"/>
    <row r="43" ht="24.95" customHeight="1"/>
    <row r="44" ht="24.95" customHeight="1"/>
    <row r="45" ht="24.95" customHeight="1"/>
    <row r="46" ht="24.95" customHeight="1"/>
    <row r="47" ht="24.95" customHeight="1"/>
    <row r="48" ht="24.95" customHeight="1"/>
    <row r="49" ht="24.95" customHeight="1"/>
    <row r="50" ht="24.95" customHeight="1"/>
    <row r="51" ht="24.95" customHeight="1"/>
  </sheetData>
  <sheetProtection password="C61D" sheet="1" selectLockedCells="1" formatCells="0" objects="1" scenarios="1"/>
  <mergeCells count="13">
    <mergeCell ref="B2:F2"/>
    <mergeCell ref="I2:L2"/>
    <mergeCell ref="M2:P2"/>
    <mergeCell ref="B3:F3"/>
    <mergeCell ref="B6:F6"/>
    <mergeCell ref="C7:D7"/>
    <mergeCell ref="I7:J7"/>
    <mergeCell ref="K7:L7"/>
    <mergeCell ref="I8:J8"/>
    <mergeCell ref="K8:L8"/>
    <mergeCell ref="B10:B14"/>
    <mergeCell ref="C10:F11"/>
    <mergeCell ref="C12:F14"/>
  </mergeCells>
  <printOptions horizontalCentered="1"/>
  <pageMargins left="0.748031496062992" right="0.748031496062992" top="1.5748031496063" bottom="0.590551181102362" header="0.708661417322835" footer="0.511811023622047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J29"/>
  <sheetViews>
    <sheetView workbookViewId="0">
      <selection activeCell="B4" sqref="B4:E4"/>
    </sheetView>
  </sheetViews>
  <sheetFormatPr defaultColWidth="9" defaultRowHeight="15.6"/>
  <cols>
    <col min="1" max="1" width="9" style="395"/>
    <col min="2" max="2" width="17.25" style="395" customWidth="1"/>
    <col min="3" max="3" width="16.25" style="395" customWidth="1"/>
    <col min="4" max="4" width="18.5" style="395" customWidth="1"/>
    <col min="5" max="5" width="21" style="395" customWidth="1"/>
    <col min="6" max="16384" width="9" style="395"/>
  </cols>
  <sheetData>
    <row r="1" ht="40.5" customHeight="1" spans="1:5">
      <c r="A1" s="464" t="s">
        <v>88</v>
      </c>
      <c r="B1" s="464"/>
      <c r="C1" s="464"/>
      <c r="D1" s="464"/>
      <c r="E1" s="464"/>
    </row>
    <row r="2" ht="25.5" customHeight="1" spans="1:5">
      <c r="A2" s="465" t="s">
        <v>89</v>
      </c>
      <c r="B2" s="465"/>
      <c r="C2" s="465"/>
      <c r="D2" s="466" t="s">
        <v>90</v>
      </c>
      <c r="E2" s="467" t="s">
        <v>91</v>
      </c>
    </row>
    <row r="3" ht="31.5" customHeight="1" spans="1:10">
      <c r="A3" s="468" t="s">
        <v>92</v>
      </c>
      <c r="B3" s="469" t="str">
        <f>IF(E3=G3,H3,IF(E3=G4,H4,IF(E3=G5,H5,IF(E3=G6,H6,IF(E3=G7,H7,0)))))</f>
        <v>中铁六局呼铁局建设有限公司</v>
      </c>
      <c r="C3" s="469"/>
      <c r="D3" s="470" t="s">
        <v>93</v>
      </c>
      <c r="E3" s="562" t="s">
        <v>94</v>
      </c>
      <c r="G3" s="562" t="s">
        <v>95</v>
      </c>
      <c r="H3" s="472" t="s">
        <v>96</v>
      </c>
      <c r="I3" s="490"/>
      <c r="J3" s="491"/>
    </row>
    <row r="4" ht="31.5" customHeight="1" spans="1:10">
      <c r="A4" s="468" t="s">
        <v>97</v>
      </c>
      <c r="B4" s="469" t="s">
        <v>98</v>
      </c>
      <c r="C4" s="469"/>
      <c r="D4" s="469"/>
      <c r="E4" s="469"/>
      <c r="G4" s="562" t="s">
        <v>94</v>
      </c>
      <c r="H4" s="472" t="s">
        <v>99</v>
      </c>
      <c r="I4" s="490"/>
      <c r="J4" s="491"/>
    </row>
    <row r="5" ht="31.5" customHeight="1" spans="1:10">
      <c r="A5" s="468" t="s">
        <v>100</v>
      </c>
      <c r="B5" s="469" t="s">
        <v>101</v>
      </c>
      <c r="C5" s="469"/>
      <c r="D5" s="470" t="s">
        <v>102</v>
      </c>
      <c r="E5" s="473" t="s">
        <v>103</v>
      </c>
      <c r="G5" s="562" t="s">
        <v>104</v>
      </c>
      <c r="H5" s="472" t="s">
        <v>105</v>
      </c>
      <c r="I5" s="490"/>
      <c r="J5" s="491"/>
    </row>
    <row r="6" ht="31.5" customHeight="1" spans="1:10">
      <c r="A6" s="468" t="s">
        <v>106</v>
      </c>
      <c r="B6" s="469" t="s">
        <v>107</v>
      </c>
      <c r="C6" s="469"/>
      <c r="D6" s="470" t="s">
        <v>108</v>
      </c>
      <c r="E6" s="473" t="s">
        <v>109</v>
      </c>
      <c r="G6" s="562" t="s">
        <v>110</v>
      </c>
      <c r="H6" s="474" t="s">
        <v>111</v>
      </c>
      <c r="I6" s="492"/>
      <c r="J6" s="491"/>
    </row>
    <row r="7" ht="31.5" customHeight="1" spans="1:10">
      <c r="A7" s="468" t="s">
        <v>112</v>
      </c>
      <c r="B7" s="475"/>
      <c r="C7" s="475"/>
      <c r="D7" s="470" t="s">
        <v>113</v>
      </c>
      <c r="E7" s="475"/>
      <c r="G7" s="562" t="s">
        <v>114</v>
      </c>
      <c r="H7" s="472" t="s">
        <v>115</v>
      </c>
      <c r="I7" s="490"/>
      <c r="J7" s="491"/>
    </row>
    <row r="8" ht="23.25" customHeight="1" spans="1:8">
      <c r="A8" s="476"/>
      <c r="B8" s="476"/>
      <c r="C8" s="476"/>
      <c r="D8" s="476"/>
      <c r="E8" s="476"/>
      <c r="F8" s="477"/>
      <c r="G8" s="478"/>
      <c r="H8" s="477"/>
    </row>
    <row r="9" ht="27.75" customHeight="1" spans="1:7">
      <c r="A9" s="404" t="s">
        <v>116</v>
      </c>
      <c r="B9" s="405"/>
      <c r="C9" s="405"/>
      <c r="D9" s="405"/>
      <c r="E9" s="406"/>
      <c r="G9" s="477"/>
    </row>
    <row r="10" ht="23.25" customHeight="1" spans="1:5">
      <c r="A10" s="419" t="s">
        <v>117</v>
      </c>
      <c r="B10" s="420"/>
      <c r="C10" s="415" t="s">
        <v>118</v>
      </c>
      <c r="D10" s="415" t="s">
        <v>117</v>
      </c>
      <c r="E10" s="415" t="s">
        <v>118</v>
      </c>
    </row>
    <row r="11" ht="23.25" customHeight="1" spans="1:5">
      <c r="A11" s="425"/>
      <c r="B11" s="426"/>
      <c r="C11" s="424"/>
      <c r="D11" s="415">
        <v>2</v>
      </c>
      <c r="E11" s="422">
        <f>颗粒分析!L16</f>
        <v>0</v>
      </c>
    </row>
    <row r="12" ht="23.25" customHeight="1" spans="1:5">
      <c r="A12" s="419">
        <v>60</v>
      </c>
      <c r="B12" s="420"/>
      <c r="C12" s="424"/>
      <c r="D12" s="415">
        <v>1</v>
      </c>
      <c r="E12" s="422">
        <f ca="1">颗粒分析!L17</f>
        <v>3.90914361058448</v>
      </c>
    </row>
    <row r="13" ht="23.25" customHeight="1" spans="1:5">
      <c r="A13" s="419">
        <v>40</v>
      </c>
      <c r="B13" s="420"/>
      <c r="C13" s="424"/>
      <c r="D13" s="415">
        <v>0.5</v>
      </c>
      <c r="E13" s="422">
        <f ca="1">颗粒分析!L18</f>
        <v>20.224263926238</v>
      </c>
    </row>
    <row r="14" ht="23.25" customHeight="1" spans="1:5">
      <c r="A14" s="419">
        <v>20</v>
      </c>
      <c r="B14" s="420"/>
      <c r="C14" s="424"/>
      <c r="D14" s="415">
        <v>0.25</v>
      </c>
      <c r="E14" s="422">
        <f ca="1">颗粒分析!L19</f>
        <v>39.5273238851183</v>
      </c>
    </row>
    <row r="15" ht="23.25" customHeight="1" spans="1:5">
      <c r="A15" s="419">
        <v>10</v>
      </c>
      <c r="B15" s="420"/>
      <c r="C15" s="424"/>
      <c r="D15" s="415">
        <v>0.074</v>
      </c>
      <c r="E15" s="422">
        <f ca="1">颗粒分析!L20</f>
        <v>73.4906034822355</v>
      </c>
    </row>
    <row r="16" ht="23.25" customHeight="1" spans="1:5">
      <c r="A16" s="419">
        <v>5</v>
      </c>
      <c r="B16" s="420"/>
      <c r="C16" s="424"/>
      <c r="D16" s="415" t="s">
        <v>119</v>
      </c>
      <c r="E16" s="422">
        <f>颗粒分析!L21</f>
        <v>100</v>
      </c>
    </row>
    <row r="17" ht="23.25" customHeight="1" spans="1:5">
      <c r="A17" s="419">
        <v>2</v>
      </c>
      <c r="B17" s="420"/>
      <c r="C17" s="424"/>
      <c r="D17" s="424"/>
      <c r="E17" s="424"/>
    </row>
    <row r="18" ht="23.25" customHeight="1" spans="1:5">
      <c r="A18" s="419" t="s">
        <v>120</v>
      </c>
      <c r="B18" s="420"/>
      <c r="C18" s="415">
        <f>液塑限!K18</f>
        <v>28.3</v>
      </c>
      <c r="D18" s="415" t="s">
        <v>121</v>
      </c>
      <c r="E18" s="479">
        <f ca="1">液塑限!K20</f>
        <v>9.3</v>
      </c>
    </row>
    <row r="19" ht="23.25" customHeight="1" spans="1:5">
      <c r="A19" s="419" t="s">
        <v>122</v>
      </c>
      <c r="B19" s="420"/>
      <c r="C19" s="480">
        <v>11</v>
      </c>
      <c r="D19" s="415" t="s">
        <v>123</v>
      </c>
      <c r="E19" s="481">
        <v>1.89</v>
      </c>
    </row>
    <row r="20" ht="38.25" customHeight="1" spans="1:5">
      <c r="A20" s="404" t="s">
        <v>124</v>
      </c>
      <c r="B20" s="405"/>
      <c r="C20" s="406"/>
      <c r="D20" s="404" t="s">
        <v>124</v>
      </c>
      <c r="E20" s="406"/>
    </row>
    <row r="21" ht="27" customHeight="1" spans="1:5">
      <c r="A21" s="482" t="s">
        <v>125</v>
      </c>
      <c r="B21" s="419" t="str">
        <f ca="1">土类判定!C7</f>
        <v>粘土质砂</v>
      </c>
      <c r="C21" s="483"/>
      <c r="D21" s="483"/>
      <c r="E21" s="426"/>
    </row>
    <row r="22" ht="15" customHeight="1" spans="1:5">
      <c r="A22" s="484"/>
      <c r="B22" s="428" t="s">
        <v>126</v>
      </c>
      <c r="C22" s="429"/>
      <c r="D22" s="429"/>
      <c r="E22" s="452"/>
    </row>
    <row r="23" spans="1:5">
      <c r="A23" s="485"/>
      <c r="B23" s="431"/>
      <c r="C23" s="432"/>
      <c r="D23" s="432"/>
      <c r="E23" s="453"/>
    </row>
    <row r="24" spans="1:5">
      <c r="A24" s="486" t="s">
        <v>127</v>
      </c>
      <c r="B24" s="431"/>
      <c r="C24" s="432"/>
      <c r="D24" s="432"/>
      <c r="E24" s="453"/>
    </row>
    <row r="25" ht="14.25" customHeight="1" spans="1:5">
      <c r="A25" s="487"/>
      <c r="B25" s="435"/>
      <c r="C25" s="436"/>
      <c r="D25" s="436"/>
      <c r="E25" s="454"/>
    </row>
    <row r="26" ht="15" customHeight="1" spans="1:5">
      <c r="A26" s="487"/>
      <c r="B26" s="428" t="s">
        <v>128</v>
      </c>
      <c r="C26" s="429"/>
      <c r="D26" s="429"/>
      <c r="E26" s="452"/>
    </row>
    <row r="27" spans="1:5">
      <c r="A27" s="486" t="s">
        <v>129</v>
      </c>
      <c r="B27" s="431"/>
      <c r="C27" s="432"/>
      <c r="D27" s="432"/>
      <c r="E27" s="453"/>
    </row>
    <row r="28" spans="1:5">
      <c r="A28" s="488"/>
      <c r="B28" s="431"/>
      <c r="C28" s="432"/>
      <c r="D28" s="432"/>
      <c r="E28" s="453"/>
    </row>
    <row r="29" ht="14.25" customHeight="1" spans="1:5">
      <c r="A29" s="489"/>
      <c r="B29" s="435"/>
      <c r="C29" s="436"/>
      <c r="D29" s="436"/>
      <c r="E29" s="454"/>
    </row>
  </sheetData>
  <sheetProtection selectLockedCells="1"/>
  <mergeCells count="22">
    <mergeCell ref="A1:E1"/>
    <mergeCell ref="B3:C3"/>
    <mergeCell ref="B4:E4"/>
    <mergeCell ref="B5:C5"/>
    <mergeCell ref="B6:C6"/>
    <mergeCell ref="B7:C7"/>
    <mergeCell ref="A9:E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C20"/>
    <mergeCell ref="D20:E20"/>
    <mergeCell ref="B21:E21"/>
    <mergeCell ref="B22:E25"/>
    <mergeCell ref="B26:E29"/>
  </mergeCells>
  <pageMargins left="0.748031496062992" right="0.53" top="0.71" bottom="0.984251968503937" header="0.511811023622047" footer="0.511811023622047"/>
  <pageSetup paperSize="9" orientation="portrait"/>
  <headerFooter alignWithMargins="0"/>
  <ignoredErrors>
    <ignoredError sqref="G3:G7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36"/>
  <sheetViews>
    <sheetView workbookViewId="0">
      <selection activeCell="B3" sqref="B3:F3"/>
    </sheetView>
  </sheetViews>
  <sheetFormatPr defaultColWidth="9" defaultRowHeight="15.6"/>
  <cols>
    <col min="1" max="5" width="9" style="387"/>
    <col min="6" max="6" width="9" style="387" hidden="1" customWidth="1"/>
    <col min="7" max="16384" width="9" style="387"/>
  </cols>
  <sheetData>
    <row r="1" ht="40.5" customHeight="1" spans="1:10">
      <c r="A1" s="388" t="s">
        <v>130</v>
      </c>
      <c r="B1" s="388"/>
      <c r="C1" s="388"/>
      <c r="D1" s="388"/>
      <c r="E1" s="388"/>
      <c r="F1" s="388"/>
      <c r="G1" s="388"/>
      <c r="H1" s="388"/>
      <c r="I1" s="388"/>
      <c r="J1" s="388"/>
    </row>
    <row r="2" ht="30.75" customHeight="1" spans="1:10">
      <c r="A2" s="389"/>
      <c r="B2" s="389"/>
      <c r="C2" s="389"/>
      <c r="D2" s="389"/>
      <c r="E2" s="389"/>
      <c r="F2" s="389"/>
      <c r="G2" s="390" t="s">
        <v>131</v>
      </c>
      <c r="H2" s="390"/>
      <c r="I2" s="446" t="str">
        <f>报告!E2</f>
        <v>J02- 0039</v>
      </c>
      <c r="J2" s="446"/>
    </row>
    <row r="3" ht="27" customHeight="1" spans="1:10">
      <c r="A3" s="391" t="s">
        <v>92</v>
      </c>
      <c r="B3" s="392" t="str">
        <f>报告!B3</f>
        <v>中铁六局呼铁局建设有限公司</v>
      </c>
      <c r="C3" s="392"/>
      <c r="D3" s="392"/>
      <c r="E3" s="392"/>
      <c r="F3" s="392"/>
      <c r="G3" s="391" t="s">
        <v>132</v>
      </c>
      <c r="H3" s="391"/>
      <c r="I3" s="563" t="str">
        <f>报告!E3</f>
        <v>02</v>
      </c>
      <c r="J3" s="346"/>
    </row>
    <row r="4" ht="27" customHeight="1" spans="1:10">
      <c r="A4" s="391" t="s">
        <v>97</v>
      </c>
      <c r="B4" s="392" t="str">
        <f>报告!B4</f>
        <v>内蒙古广誉建设监理有限责任公司</v>
      </c>
      <c r="C4" s="392"/>
      <c r="D4" s="392"/>
      <c r="E4" s="392"/>
      <c r="F4" s="392"/>
      <c r="G4" s="392"/>
      <c r="H4" s="392"/>
      <c r="I4" s="392"/>
      <c r="J4" s="392"/>
    </row>
    <row r="5" ht="27" customHeight="1" spans="1:10">
      <c r="A5" s="391" t="s">
        <v>100</v>
      </c>
      <c r="B5" s="392" t="str">
        <f>报告!B5</f>
        <v>土</v>
      </c>
      <c r="C5" s="392"/>
      <c r="D5" s="392"/>
      <c r="E5" s="392"/>
      <c r="F5" s="392"/>
      <c r="G5" s="391" t="s">
        <v>102</v>
      </c>
      <c r="H5" s="391"/>
      <c r="I5" s="447" t="str">
        <f>报告!E5</f>
        <v>JTJ  051-93</v>
      </c>
      <c r="J5" s="447"/>
    </row>
    <row r="6" ht="27" customHeight="1" spans="1:10">
      <c r="A6" s="391" t="s">
        <v>106</v>
      </c>
      <c r="B6" s="392" t="str">
        <f>报告!B6</f>
        <v>K3+600挖方段</v>
      </c>
      <c r="C6" s="392"/>
      <c r="D6" s="392"/>
      <c r="E6" s="392"/>
      <c r="F6" s="392"/>
      <c r="G6" s="391" t="s">
        <v>108</v>
      </c>
      <c r="H6" s="391"/>
      <c r="I6" s="447" t="str">
        <f>报告!E6</f>
        <v>2007.11.1</v>
      </c>
      <c r="J6" s="447"/>
    </row>
    <row r="7" ht="27" customHeight="1" spans="1:10">
      <c r="A7" s="391" t="s">
        <v>112</v>
      </c>
      <c r="B7" s="393"/>
      <c r="C7" s="393"/>
      <c r="D7" s="393"/>
      <c r="E7" s="393"/>
      <c r="F7" s="393"/>
      <c r="G7" s="391" t="s">
        <v>133</v>
      </c>
      <c r="H7" s="391"/>
      <c r="I7" s="393"/>
      <c r="J7" s="393"/>
    </row>
    <row r="8" spans="1:10">
      <c r="A8" s="394"/>
      <c r="B8" s="395"/>
      <c r="C8" s="395"/>
      <c r="D8" s="395"/>
      <c r="E8" s="395"/>
      <c r="F8" s="395"/>
      <c r="G8" s="395"/>
      <c r="H8" s="395"/>
      <c r="I8" s="395"/>
      <c r="J8" s="395"/>
    </row>
    <row r="9" ht="21.75" customHeight="1" spans="1:29">
      <c r="A9" s="396" t="s">
        <v>134</v>
      </c>
      <c r="B9" s="397"/>
      <c r="C9" s="398">
        <v>1000</v>
      </c>
      <c r="D9" s="399" t="s">
        <v>135</v>
      </c>
      <c r="E9" s="398"/>
      <c r="F9" s="398"/>
      <c r="G9" s="398" t="s">
        <v>136</v>
      </c>
      <c r="H9" s="398"/>
      <c r="I9" s="398">
        <v>500</v>
      </c>
      <c r="J9" s="448" t="s">
        <v>135</v>
      </c>
      <c r="T9" s="458" t="s">
        <v>137</v>
      </c>
      <c r="U9" s="459"/>
      <c r="V9" s="459"/>
      <c r="W9" s="459"/>
      <c r="X9" s="459"/>
      <c r="Y9" s="459"/>
      <c r="Z9" s="459"/>
      <c r="AA9" s="459"/>
      <c r="AB9" s="459"/>
      <c r="AC9" s="462"/>
    </row>
    <row r="10" ht="21.75" customHeight="1" spans="1:29">
      <c r="A10" s="400" t="s">
        <v>138</v>
      </c>
      <c r="B10" s="401"/>
      <c r="C10" s="402">
        <v>1000</v>
      </c>
      <c r="D10" s="403" t="s">
        <v>135</v>
      </c>
      <c r="E10" s="402" t="s">
        <v>139</v>
      </c>
      <c r="F10" s="402"/>
      <c r="G10" s="402"/>
      <c r="H10" s="402"/>
      <c r="I10" s="402">
        <v>100</v>
      </c>
      <c r="J10" s="449" t="s">
        <v>140</v>
      </c>
      <c r="T10" s="460" t="s">
        <v>141</v>
      </c>
      <c r="U10" s="461"/>
      <c r="V10" s="461"/>
      <c r="W10" s="461"/>
      <c r="X10" s="461"/>
      <c r="Y10" s="461"/>
      <c r="Z10" s="461"/>
      <c r="AA10" s="461"/>
      <c r="AB10" s="461"/>
      <c r="AC10" s="463"/>
    </row>
    <row r="11" ht="21.75" customHeight="1" spans="1:10">
      <c r="A11" s="404" t="s">
        <v>142</v>
      </c>
      <c r="B11" s="405"/>
      <c r="C11" s="405"/>
      <c r="D11" s="405"/>
      <c r="E11" s="406"/>
      <c r="F11" s="404" t="s">
        <v>143</v>
      </c>
      <c r="G11" s="405"/>
      <c r="H11" s="405"/>
      <c r="I11" s="405"/>
      <c r="J11" s="406"/>
    </row>
    <row r="12" ht="15" customHeight="1" spans="1:12">
      <c r="A12" s="407" t="s">
        <v>117</v>
      </c>
      <c r="B12" s="407" t="s">
        <v>144</v>
      </c>
      <c r="C12" s="408" t="s">
        <v>145</v>
      </c>
      <c r="D12" s="408" t="s">
        <v>145</v>
      </c>
      <c r="E12" s="409" t="s">
        <v>117</v>
      </c>
      <c r="F12" s="410"/>
      <c r="G12" s="407" t="s">
        <v>144</v>
      </c>
      <c r="H12" s="407" t="s">
        <v>146</v>
      </c>
      <c r="I12" s="408" t="s">
        <v>145</v>
      </c>
      <c r="J12" s="407" t="s">
        <v>147</v>
      </c>
      <c r="K12" s="450"/>
      <c r="L12" s="407" t="s">
        <v>148</v>
      </c>
    </row>
    <row r="13" ht="15" customHeight="1" spans="1:12">
      <c r="A13" s="411"/>
      <c r="B13" s="411"/>
      <c r="C13" s="408" t="s">
        <v>149</v>
      </c>
      <c r="D13" s="408" t="s">
        <v>150</v>
      </c>
      <c r="E13" s="412"/>
      <c r="F13" s="408"/>
      <c r="G13" s="411"/>
      <c r="H13" s="411"/>
      <c r="I13" s="408" t="s">
        <v>151</v>
      </c>
      <c r="J13" s="411"/>
      <c r="K13" s="450"/>
      <c r="L13" s="411"/>
    </row>
    <row r="14" ht="15" customHeight="1" spans="1:12">
      <c r="A14" s="411"/>
      <c r="B14" s="411"/>
      <c r="C14" s="408" t="s">
        <v>152</v>
      </c>
      <c r="D14" s="408" t="s">
        <v>153</v>
      </c>
      <c r="E14" s="412"/>
      <c r="F14" s="408"/>
      <c r="G14" s="411"/>
      <c r="H14" s="411"/>
      <c r="I14" s="408" t="s">
        <v>154</v>
      </c>
      <c r="J14" s="411"/>
      <c r="K14" s="450"/>
      <c r="L14" s="411"/>
    </row>
    <row r="15" ht="15" customHeight="1" spans="1:12">
      <c r="A15" s="413"/>
      <c r="B15" s="413"/>
      <c r="C15" s="414" t="s">
        <v>155</v>
      </c>
      <c r="D15" s="415" t="s">
        <v>156</v>
      </c>
      <c r="E15" s="416"/>
      <c r="F15" s="415"/>
      <c r="G15" s="413"/>
      <c r="H15" s="413"/>
      <c r="I15" s="415" t="s">
        <v>157</v>
      </c>
      <c r="J15" s="413"/>
      <c r="K15" s="450"/>
      <c r="L15" s="413"/>
    </row>
    <row r="16" ht="21.75" customHeight="1" spans="1:12">
      <c r="A16" s="417"/>
      <c r="B16" s="418"/>
      <c r="C16" s="418"/>
      <c r="D16" s="418"/>
      <c r="E16" s="419">
        <v>2</v>
      </c>
      <c r="F16" s="420"/>
      <c r="G16" s="421">
        <v>0</v>
      </c>
      <c r="H16" s="422">
        <f>I9-G16</f>
        <v>500</v>
      </c>
      <c r="I16" s="422">
        <f>H16/I9*100</f>
        <v>100</v>
      </c>
      <c r="J16" s="422">
        <f>I16*I10*0.01</f>
        <v>100</v>
      </c>
      <c r="K16" s="450"/>
      <c r="L16" s="451">
        <f t="shared" ref="L16:L21" si="0">100-I16</f>
        <v>0</v>
      </c>
    </row>
    <row r="17" ht="21.75" customHeight="1" spans="1:12">
      <c r="A17" s="413">
        <v>60</v>
      </c>
      <c r="B17" s="418">
        <v>0</v>
      </c>
      <c r="C17" s="418">
        <f>C9-B17</f>
        <v>1000</v>
      </c>
      <c r="D17" s="418">
        <f>C17/C9*100</f>
        <v>100</v>
      </c>
      <c r="E17" s="419">
        <v>1</v>
      </c>
      <c r="F17" s="420"/>
      <c r="G17" s="421">
        <f ca="1">RAND()*11.1+I9*0.022</f>
        <v>19.5457180529224</v>
      </c>
      <c r="H17" s="422">
        <f ca="1">I9-G17</f>
        <v>480.454281947078</v>
      </c>
      <c r="I17" s="422">
        <f ca="1">H17/I9*100</f>
        <v>96.0908563894155</v>
      </c>
      <c r="J17" s="422">
        <f ca="1">I17*I10/100</f>
        <v>96.0908563894155</v>
      </c>
      <c r="K17" s="450"/>
      <c r="L17" s="451">
        <f ca="1" t="shared" si="0"/>
        <v>3.90914361058448</v>
      </c>
    </row>
    <row r="18" ht="21.75" customHeight="1" spans="1:12">
      <c r="A18" s="413">
        <v>40</v>
      </c>
      <c r="B18" s="423">
        <f ca="1">C9*(ROUND(RAND()*0.08+0.07,3))+ROUND(RAND(),1)</f>
        <v>149.3</v>
      </c>
      <c r="C18" s="423">
        <f ca="1">C9-B18</f>
        <v>850.7</v>
      </c>
      <c r="D18" s="423">
        <f ca="1">C18/C9*100</f>
        <v>85.07</v>
      </c>
      <c r="E18" s="419">
        <v>0.5</v>
      </c>
      <c r="F18" s="420"/>
      <c r="G18" s="421">
        <f ca="1">RAND()*11.1+I9*0.198</f>
        <v>101.12131963119</v>
      </c>
      <c r="H18" s="422">
        <f ca="1">I9-G18</f>
        <v>398.87868036881</v>
      </c>
      <c r="I18" s="422">
        <f ca="1">H18/I9*100</f>
        <v>79.775736073762</v>
      </c>
      <c r="J18" s="422">
        <f ca="1">I18*I10*0.01</f>
        <v>79.775736073762</v>
      </c>
      <c r="K18" s="450"/>
      <c r="L18" s="451">
        <f ca="1" t="shared" si="0"/>
        <v>20.224263926238</v>
      </c>
    </row>
    <row r="19" ht="21.75" customHeight="1" spans="1:12">
      <c r="A19" s="413">
        <v>20</v>
      </c>
      <c r="B19" s="423">
        <f ca="1">C9*(ROUND(RAND()*0.08+0.07,3))+ROUND(RAND(),1)+B18</f>
        <v>283.9</v>
      </c>
      <c r="C19" s="423">
        <f ca="1">C9-B19</f>
        <v>716.1</v>
      </c>
      <c r="D19" s="423">
        <f ca="1">C19/C9*100</f>
        <v>71.61</v>
      </c>
      <c r="E19" s="419">
        <v>0.25</v>
      </c>
      <c r="F19" s="420"/>
      <c r="G19" s="421">
        <f ca="1">RAND()*22.2+I9*0.388</f>
        <v>197.636619425591</v>
      </c>
      <c r="H19" s="422">
        <f ca="1">I9-G19</f>
        <v>302.363380574409</v>
      </c>
      <c r="I19" s="422">
        <f ca="1">H19/I9*100</f>
        <v>60.4726761148817</v>
      </c>
      <c r="J19" s="422">
        <f ca="1">I19*I10*0.01</f>
        <v>60.4726761148817</v>
      </c>
      <c r="K19" s="450"/>
      <c r="L19" s="451">
        <f ca="1" t="shared" si="0"/>
        <v>39.5273238851183</v>
      </c>
    </row>
    <row r="20" ht="21.75" customHeight="1" spans="1:12">
      <c r="A20" s="413">
        <v>10</v>
      </c>
      <c r="B20" s="423">
        <f ca="1">C9*(ROUND(RAND()*0.08+0.07,3))+ROUND(RAND(),1)+B19</f>
        <v>375.3</v>
      </c>
      <c r="C20" s="423">
        <f ca="1">C9-B20</f>
        <v>624.7</v>
      </c>
      <c r="D20" s="423">
        <f ca="1">C20/C9*100</f>
        <v>62.47</v>
      </c>
      <c r="E20" s="419">
        <v>0.074</v>
      </c>
      <c r="F20" s="420"/>
      <c r="G20" s="421">
        <f ca="1">RAND()*9+I9*0.724</f>
        <v>367.453017411178</v>
      </c>
      <c r="H20" s="422">
        <f ca="1">I9-G20</f>
        <v>132.546982588822</v>
      </c>
      <c r="I20" s="422">
        <f ca="1">H20/I9*100</f>
        <v>26.5093965177645</v>
      </c>
      <c r="J20" s="422">
        <f ca="1">I20*I10*0.01</f>
        <v>26.5093965177645</v>
      </c>
      <c r="K20" s="450"/>
      <c r="L20" s="451">
        <f ca="1" t="shared" si="0"/>
        <v>73.4906034822355</v>
      </c>
    </row>
    <row r="21" ht="21.75" customHeight="1" spans="1:12">
      <c r="A21" s="413">
        <v>5</v>
      </c>
      <c r="B21" s="423">
        <f ca="1">C9*(ROUND(RAND()*0.08+0.07,3))+ROUND(RAND(),1)+B20</f>
        <v>470</v>
      </c>
      <c r="C21" s="423">
        <f ca="1">C9-B21</f>
        <v>530</v>
      </c>
      <c r="D21" s="423">
        <f ca="1">C21/C9*100</f>
        <v>53</v>
      </c>
      <c r="E21" s="419" t="s">
        <v>158</v>
      </c>
      <c r="F21" s="420"/>
      <c r="G21" s="421">
        <v>500</v>
      </c>
      <c r="H21" s="424">
        <v>0</v>
      </c>
      <c r="I21" s="424">
        <v>0</v>
      </c>
      <c r="J21" s="424">
        <v>0</v>
      </c>
      <c r="K21" s="450"/>
      <c r="L21" s="451">
        <f t="shared" si="0"/>
        <v>100</v>
      </c>
    </row>
    <row r="22" ht="21.75" customHeight="1" spans="1:12">
      <c r="A22" s="413">
        <v>2</v>
      </c>
      <c r="B22" s="423">
        <f ca="1">C9*(ROUND(RAND()*0.08+0.07,3))+ROUND(RAND(),1)+B21</f>
        <v>577.5</v>
      </c>
      <c r="C22" s="423">
        <f ca="1">C9-B22</f>
        <v>422.5</v>
      </c>
      <c r="D22" s="423">
        <f ca="1">C22/C9*100</f>
        <v>42.25</v>
      </c>
      <c r="E22" s="425"/>
      <c r="F22" s="426"/>
      <c r="G22" s="393"/>
      <c r="H22" s="424"/>
      <c r="I22" s="424"/>
      <c r="J22" s="424"/>
      <c r="K22" s="450"/>
      <c r="L22" s="450"/>
    </row>
    <row r="23" ht="15" customHeight="1" spans="1:10">
      <c r="A23" s="427"/>
      <c r="B23" s="428" t="s">
        <v>159</v>
      </c>
      <c r="C23" s="429"/>
      <c r="D23" s="429"/>
      <c r="E23" s="429"/>
      <c r="F23" s="429"/>
      <c r="G23" s="429"/>
      <c r="H23" s="429"/>
      <c r="I23" s="429"/>
      <c r="J23" s="452"/>
    </row>
    <row r="24" ht="15" customHeight="1" spans="1:10">
      <c r="A24" s="430"/>
      <c r="B24" s="431"/>
      <c r="C24" s="432"/>
      <c r="D24" s="432"/>
      <c r="E24" s="432"/>
      <c r="F24" s="432"/>
      <c r="G24" s="432"/>
      <c r="H24" s="432"/>
      <c r="I24" s="432"/>
      <c r="J24" s="453"/>
    </row>
    <row r="25" ht="15" customHeight="1" spans="1:10">
      <c r="A25" s="430"/>
      <c r="B25" s="431"/>
      <c r="C25" s="432"/>
      <c r="D25" s="432"/>
      <c r="E25" s="432"/>
      <c r="F25" s="432"/>
      <c r="G25" s="432"/>
      <c r="H25" s="432"/>
      <c r="I25" s="432"/>
      <c r="J25" s="453"/>
    </row>
    <row r="26" ht="15" customHeight="1" spans="1:10">
      <c r="A26" s="433" t="s">
        <v>127</v>
      </c>
      <c r="B26" s="431"/>
      <c r="C26" s="432"/>
      <c r="D26" s="432"/>
      <c r="E26" s="432"/>
      <c r="F26" s="432"/>
      <c r="G26" s="432"/>
      <c r="H26" s="432"/>
      <c r="I26" s="432"/>
      <c r="J26" s="453"/>
    </row>
    <row r="27" spans="1:10">
      <c r="A27" s="434"/>
      <c r="B27" s="431"/>
      <c r="C27" s="432"/>
      <c r="D27" s="432"/>
      <c r="E27" s="432"/>
      <c r="F27" s="432"/>
      <c r="G27" s="432"/>
      <c r="H27" s="432"/>
      <c r="I27" s="432"/>
      <c r="J27" s="453"/>
    </row>
    <row r="28" ht="15" customHeight="1" spans="1:10">
      <c r="A28" s="434"/>
      <c r="B28" s="435"/>
      <c r="C28" s="436"/>
      <c r="D28" s="436"/>
      <c r="E28" s="436"/>
      <c r="F28" s="436"/>
      <c r="G28" s="436"/>
      <c r="H28" s="436"/>
      <c r="I28" s="436"/>
      <c r="J28" s="454"/>
    </row>
    <row r="29" spans="1:10">
      <c r="A29" s="434"/>
      <c r="B29" s="428" t="s">
        <v>160</v>
      </c>
      <c r="C29" s="437"/>
      <c r="D29" s="437"/>
      <c r="E29" s="437"/>
      <c r="F29" s="437"/>
      <c r="G29" s="437"/>
      <c r="H29" s="437"/>
      <c r="I29" s="437"/>
      <c r="J29" s="455"/>
    </row>
    <row r="30" spans="1:10">
      <c r="A30" s="434"/>
      <c r="B30" s="438"/>
      <c r="C30" s="439"/>
      <c r="D30" s="439"/>
      <c r="E30" s="439"/>
      <c r="F30" s="439"/>
      <c r="G30" s="439"/>
      <c r="H30" s="439"/>
      <c r="I30" s="439"/>
      <c r="J30" s="456"/>
    </row>
    <row r="31" ht="14.25" customHeight="1" spans="1:10">
      <c r="A31" s="433" t="s">
        <v>129</v>
      </c>
      <c r="B31" s="438"/>
      <c r="C31" s="439"/>
      <c r="D31" s="439"/>
      <c r="E31" s="439"/>
      <c r="F31" s="439"/>
      <c r="G31" s="439"/>
      <c r="H31" s="439"/>
      <c r="I31" s="439"/>
      <c r="J31" s="456"/>
    </row>
    <row r="32" ht="14.25" customHeight="1" spans="1:10">
      <c r="A32" s="440"/>
      <c r="B32" s="438"/>
      <c r="C32" s="439"/>
      <c r="D32" s="439"/>
      <c r="E32" s="439"/>
      <c r="F32" s="439"/>
      <c r="G32" s="439"/>
      <c r="H32" s="439"/>
      <c r="I32" s="439"/>
      <c r="J32" s="456"/>
    </row>
    <row r="33" ht="14.25" customHeight="1" spans="1:10">
      <c r="A33" s="440"/>
      <c r="B33" s="438"/>
      <c r="C33" s="439"/>
      <c r="D33" s="439"/>
      <c r="E33" s="439"/>
      <c r="F33" s="439"/>
      <c r="G33" s="439"/>
      <c r="H33" s="439"/>
      <c r="I33" s="439"/>
      <c r="J33" s="456"/>
    </row>
    <row r="34" ht="14.25" customHeight="1" spans="1:10">
      <c r="A34" s="441"/>
      <c r="B34" s="442"/>
      <c r="C34" s="443"/>
      <c r="D34" s="443"/>
      <c r="E34" s="443"/>
      <c r="F34" s="443"/>
      <c r="G34" s="443"/>
      <c r="H34" s="443"/>
      <c r="I34" s="443"/>
      <c r="J34" s="457"/>
    </row>
    <row r="35" spans="1:10">
      <c r="A35" s="444"/>
      <c r="B35" s="444"/>
      <c r="C35" s="444"/>
      <c r="D35" s="444"/>
      <c r="E35" s="444"/>
      <c r="F35" s="444"/>
      <c r="G35" s="444"/>
      <c r="H35" s="444"/>
      <c r="I35" s="444"/>
      <c r="J35" s="444"/>
    </row>
    <row r="36" ht="17.4" spans="1:1">
      <c r="A36" s="445"/>
    </row>
  </sheetData>
  <sheetProtection selectLockedCells="1"/>
  <mergeCells count="37">
    <mergeCell ref="A1:J1"/>
    <mergeCell ref="G2:H2"/>
    <mergeCell ref="I2:J2"/>
    <mergeCell ref="B3:F3"/>
    <mergeCell ref="G3:H3"/>
    <mergeCell ref="I3:J3"/>
    <mergeCell ref="B4:J4"/>
    <mergeCell ref="B5:F5"/>
    <mergeCell ref="G5:H5"/>
    <mergeCell ref="I5:J5"/>
    <mergeCell ref="B6:F6"/>
    <mergeCell ref="G6:H6"/>
    <mergeCell ref="I6:J6"/>
    <mergeCell ref="B7:F7"/>
    <mergeCell ref="G7:H7"/>
    <mergeCell ref="I7:J7"/>
    <mergeCell ref="T9:AC9"/>
    <mergeCell ref="E10:H10"/>
    <mergeCell ref="T10:AC10"/>
    <mergeCell ref="A11:E11"/>
    <mergeCell ref="F11:J11"/>
    <mergeCell ref="E16:F16"/>
    <mergeCell ref="E17:F17"/>
    <mergeCell ref="E18:F18"/>
    <mergeCell ref="E19:F19"/>
    <mergeCell ref="E20:F20"/>
    <mergeCell ref="E21:F21"/>
    <mergeCell ref="E22:F22"/>
    <mergeCell ref="A12:A15"/>
    <mergeCell ref="B12:B15"/>
    <mergeCell ref="G12:G15"/>
    <mergeCell ref="H12:H15"/>
    <mergeCell ref="J12:J15"/>
    <mergeCell ref="L12:L15"/>
    <mergeCell ref="E12:F15"/>
    <mergeCell ref="B23:J28"/>
    <mergeCell ref="B29:J34"/>
  </mergeCells>
  <pageMargins left="0.748031496062992" right="0.748031496062992" top="0.984251968503937" bottom="0.984251968503937" header="0.511811023622047" footer="0.511811023622047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63"/>
  <sheetViews>
    <sheetView workbookViewId="0">
      <selection activeCell="D12" sqref="D12"/>
    </sheetView>
  </sheetViews>
  <sheetFormatPr defaultColWidth="9" defaultRowHeight="15.6"/>
  <cols>
    <col min="1" max="1" width="13.75" style="357" customWidth="1"/>
    <col min="2" max="3" width="8.125" style="357" customWidth="1"/>
    <col min="4" max="4" width="9.25" style="357" customWidth="1"/>
    <col min="5" max="9" width="8.125" style="357" customWidth="1"/>
    <col min="10" max="16384" width="9" style="357"/>
  </cols>
  <sheetData>
    <row r="1" ht="45" customHeight="1" spans="1:10">
      <c r="A1" s="358" t="s">
        <v>161</v>
      </c>
      <c r="B1" s="358"/>
      <c r="C1" s="358"/>
      <c r="D1" s="358"/>
      <c r="E1" s="358"/>
      <c r="F1" s="358"/>
      <c r="G1" s="358"/>
      <c r="H1" s="358"/>
      <c r="I1" s="358"/>
      <c r="J1" s="386" t="s">
        <v>162</v>
      </c>
    </row>
    <row r="2" ht="35.25" customHeight="1" spans="1:10">
      <c r="A2" s="359"/>
      <c r="B2" s="359"/>
      <c r="C2" s="359"/>
      <c r="D2" s="359"/>
      <c r="E2" s="359"/>
      <c r="F2" s="360" t="s">
        <v>163</v>
      </c>
      <c r="G2" s="360"/>
      <c r="H2" s="361" t="str">
        <f>报告!E2</f>
        <v>J02- 0039</v>
      </c>
      <c r="I2" s="361"/>
      <c r="J2" s="386"/>
    </row>
    <row r="3" ht="25.5" customHeight="1" spans="1:10">
      <c r="A3" s="362" t="s">
        <v>92</v>
      </c>
      <c r="B3" s="363" t="str">
        <f>报告!B3</f>
        <v>中铁六局呼铁局建设有限公司</v>
      </c>
      <c r="C3" s="364"/>
      <c r="D3" s="365"/>
      <c r="E3" s="362" t="s">
        <v>164</v>
      </c>
      <c r="F3" s="362"/>
      <c r="G3" s="564" t="str">
        <f>报告!E3</f>
        <v>02</v>
      </c>
      <c r="H3" s="366"/>
      <c r="I3" s="366"/>
      <c r="J3" s="386"/>
    </row>
    <row r="4" ht="25.5" customHeight="1" spans="1:10">
      <c r="A4" s="362" t="s">
        <v>97</v>
      </c>
      <c r="B4" s="367" t="str">
        <f>报告!B4</f>
        <v>内蒙古广誉建设监理有限责任公司</v>
      </c>
      <c r="C4" s="367"/>
      <c r="D4" s="367"/>
      <c r="E4" s="367"/>
      <c r="F4" s="367"/>
      <c r="G4" s="367"/>
      <c r="H4" s="367"/>
      <c r="I4" s="367"/>
      <c r="J4" s="386"/>
    </row>
    <row r="5" ht="25.5" customHeight="1" spans="1:10">
      <c r="A5" s="362" t="s">
        <v>100</v>
      </c>
      <c r="B5" s="367" t="str">
        <f>报告!B5</f>
        <v>土</v>
      </c>
      <c r="C5" s="367"/>
      <c r="D5" s="367"/>
      <c r="E5" s="362" t="s">
        <v>102</v>
      </c>
      <c r="F5" s="362"/>
      <c r="G5" s="366" t="str">
        <f>报告!E5</f>
        <v>JTJ  051-93</v>
      </c>
      <c r="H5" s="366"/>
      <c r="I5" s="366"/>
      <c r="J5" s="386"/>
    </row>
    <row r="6" ht="25.5" customHeight="1" spans="1:10">
      <c r="A6" s="362" t="s">
        <v>106</v>
      </c>
      <c r="B6" s="367" t="str">
        <f>报告!B6</f>
        <v>K3+600挖方段</v>
      </c>
      <c r="C6" s="367"/>
      <c r="D6" s="367"/>
      <c r="E6" s="362" t="s">
        <v>108</v>
      </c>
      <c r="F6" s="362"/>
      <c r="G6" s="366" t="str">
        <f>报告!E6</f>
        <v>2007.11.1</v>
      </c>
      <c r="H6" s="366"/>
      <c r="I6" s="366"/>
      <c r="J6" s="386"/>
    </row>
    <row r="7" ht="25.5" customHeight="1" spans="1:10">
      <c r="A7" s="368" t="s">
        <v>165</v>
      </c>
      <c r="B7" s="368"/>
      <c r="C7" s="368"/>
      <c r="D7" s="368"/>
      <c r="E7" s="368" t="s">
        <v>166</v>
      </c>
      <c r="F7" s="368"/>
      <c r="G7" s="369"/>
      <c r="H7" s="369"/>
      <c r="I7" s="369"/>
      <c r="J7" s="386"/>
    </row>
    <row r="8" ht="27.75" customHeight="1" spans="1:10">
      <c r="A8" s="370"/>
      <c r="B8" s="370"/>
      <c r="C8" s="370"/>
      <c r="D8" s="370"/>
      <c r="E8" s="370"/>
      <c r="F8" s="370"/>
      <c r="G8" s="370"/>
      <c r="H8" s="370"/>
      <c r="I8" s="370"/>
      <c r="J8" s="386"/>
    </row>
    <row r="9" ht="30" customHeight="1" spans="1:10">
      <c r="A9" s="368" t="s">
        <v>167</v>
      </c>
      <c r="B9" s="371" t="str">
        <f>B6</f>
        <v>K3+600挖方段</v>
      </c>
      <c r="C9" s="362"/>
      <c r="D9" s="368"/>
      <c r="E9" s="368"/>
      <c r="F9" s="368"/>
      <c r="G9" s="368"/>
      <c r="H9" s="368"/>
      <c r="I9" s="368"/>
      <c r="J9" s="386"/>
    </row>
    <row r="10" ht="30" customHeight="1" spans="1:10">
      <c r="A10" s="368" t="s">
        <v>168</v>
      </c>
      <c r="B10" s="372">
        <f ca="1">C30</f>
        <v>15</v>
      </c>
      <c r="C10" s="372">
        <f ca="1">C31</f>
        <v>4</v>
      </c>
      <c r="D10" s="368"/>
      <c r="E10" s="368"/>
      <c r="F10" s="368"/>
      <c r="G10" s="368"/>
      <c r="H10" s="368"/>
      <c r="I10" s="368"/>
      <c r="J10" s="386"/>
    </row>
    <row r="11" ht="30" customHeight="1" spans="1:10">
      <c r="A11" s="368" t="s">
        <v>169</v>
      </c>
      <c r="B11" s="373">
        <f ca="1">B12+B14</f>
        <v>195.781500959817</v>
      </c>
      <c r="C11" s="373">
        <f ca="1">C12+C14</f>
        <v>178.570858250094</v>
      </c>
      <c r="D11" s="368"/>
      <c r="E11" s="368"/>
      <c r="F11" s="368"/>
      <c r="G11" s="368"/>
      <c r="H11" s="368"/>
      <c r="I11" s="368"/>
      <c r="J11" s="386"/>
    </row>
    <row r="12" ht="30" customHeight="1" spans="1:10">
      <c r="A12" s="368" t="s">
        <v>170</v>
      </c>
      <c r="B12" s="373">
        <f ca="1">B15+B14</f>
        <v>186.080615777123</v>
      </c>
      <c r="C12" s="373">
        <f ca="1">C15+C14</f>
        <v>168.862460430793</v>
      </c>
      <c r="D12" s="368"/>
      <c r="E12" s="368"/>
      <c r="F12" s="368"/>
      <c r="G12" s="368"/>
      <c r="H12" s="368"/>
      <c r="I12" s="368"/>
      <c r="J12" s="386"/>
    </row>
    <row r="13" ht="30" customHeight="1" spans="1:10">
      <c r="A13" s="368" t="s">
        <v>171</v>
      </c>
      <c r="B13" s="373">
        <f ca="1">D30</f>
        <v>17</v>
      </c>
      <c r="C13" s="373">
        <f ca="1">D31</f>
        <v>16.7</v>
      </c>
      <c r="D13" s="368"/>
      <c r="E13" s="368"/>
      <c r="F13" s="368"/>
      <c r="G13" s="368"/>
      <c r="H13" s="368"/>
      <c r="I13" s="368"/>
      <c r="J13" s="386"/>
    </row>
    <row r="14" ht="30" customHeight="1" spans="1:10">
      <c r="A14" s="368" t="s">
        <v>172</v>
      </c>
      <c r="B14" s="373">
        <f ca="1">0.01*B16*B15</f>
        <v>9.70088518269362</v>
      </c>
      <c r="C14" s="373">
        <f ca="1">0.01*C16*C15</f>
        <v>9.70839781930103</v>
      </c>
      <c r="D14" s="368"/>
      <c r="E14" s="368"/>
      <c r="F14" s="368"/>
      <c r="G14" s="368"/>
      <c r="H14" s="368"/>
      <c r="I14" s="368"/>
      <c r="J14" s="386"/>
    </row>
    <row r="15" ht="30" customHeight="1" spans="1:10">
      <c r="A15" s="368" t="s">
        <v>173</v>
      </c>
      <c r="B15" s="373">
        <f ca="1">RAND()*11+167</f>
        <v>176.379730594429</v>
      </c>
      <c r="C15" s="373">
        <f ca="1">RAND()*11+158.62</f>
        <v>159.154062611492</v>
      </c>
      <c r="D15" s="368"/>
      <c r="E15" s="368"/>
      <c r="F15" s="368"/>
      <c r="G15" s="368"/>
      <c r="H15" s="368"/>
      <c r="I15" s="368"/>
      <c r="J15" s="386"/>
    </row>
    <row r="16" ht="30" customHeight="1" spans="1:10">
      <c r="A16" s="368" t="s">
        <v>174</v>
      </c>
      <c r="B16" s="374">
        <f ca="1">IF(D16&lt;=0.3,B17-D16,B17+D16)</f>
        <v>5.5</v>
      </c>
      <c r="C16" s="374">
        <f ca="1">IF(D16&lt;=0.3,B17+D16,B17-D16)</f>
        <v>6.1</v>
      </c>
      <c r="D16" s="375">
        <f ca="1">ROUND(RAND()*0.5,1)</f>
        <v>0.3</v>
      </c>
      <c r="E16" s="375"/>
      <c r="F16" s="368"/>
      <c r="G16" s="368"/>
      <c r="H16" s="368"/>
      <c r="I16" s="368"/>
      <c r="J16" s="386"/>
    </row>
    <row r="17" ht="30" customHeight="1" spans="1:10">
      <c r="A17" s="368" t="s">
        <v>175</v>
      </c>
      <c r="B17" s="376">
        <f ca="1">ROUND(RAND()+RAND()*10/10+5.5,1)</f>
        <v>5.8</v>
      </c>
      <c r="C17" s="376"/>
      <c r="D17" s="368"/>
      <c r="E17" s="368"/>
      <c r="F17" s="368"/>
      <c r="G17" s="368"/>
      <c r="H17" s="368"/>
      <c r="I17" s="368"/>
      <c r="J17" s="386"/>
    </row>
    <row r="18" ht="27.75" customHeight="1" spans="1:10">
      <c r="A18" s="377" t="s">
        <v>176</v>
      </c>
      <c r="B18" s="378" t="s">
        <v>177</v>
      </c>
      <c r="C18" s="378"/>
      <c r="D18" s="378"/>
      <c r="E18" s="378"/>
      <c r="F18" s="378"/>
      <c r="G18" s="378"/>
      <c r="H18" s="378"/>
      <c r="I18" s="378"/>
      <c r="J18" s="386"/>
    </row>
    <row r="19" ht="27.75" customHeight="1" spans="1:10">
      <c r="A19" s="377"/>
      <c r="B19" s="378"/>
      <c r="C19" s="378"/>
      <c r="D19" s="378"/>
      <c r="E19" s="378"/>
      <c r="F19" s="378"/>
      <c r="G19" s="378"/>
      <c r="H19" s="378"/>
      <c r="I19" s="378"/>
      <c r="J19" s="386"/>
    </row>
    <row r="20" ht="27.75" customHeight="1" spans="1:10">
      <c r="A20" s="377"/>
      <c r="B20" s="378"/>
      <c r="C20" s="378"/>
      <c r="D20" s="378"/>
      <c r="E20" s="378"/>
      <c r="F20" s="378"/>
      <c r="G20" s="378"/>
      <c r="H20" s="378"/>
      <c r="I20" s="378"/>
      <c r="J20" s="386"/>
    </row>
    <row r="21" ht="27.75" customHeight="1" spans="1:10">
      <c r="A21" s="377"/>
      <c r="B21" s="378" t="s">
        <v>178</v>
      </c>
      <c r="C21" s="378"/>
      <c r="D21" s="378"/>
      <c r="E21" s="378"/>
      <c r="F21" s="378"/>
      <c r="G21" s="378"/>
      <c r="H21" s="378"/>
      <c r="I21" s="378"/>
      <c r="J21" s="386"/>
    </row>
    <row r="22" ht="27.75" customHeight="1" spans="1:10">
      <c r="A22" s="377"/>
      <c r="B22" s="378"/>
      <c r="C22" s="378"/>
      <c r="D22" s="378"/>
      <c r="E22" s="378"/>
      <c r="F22" s="378"/>
      <c r="G22" s="378"/>
      <c r="H22" s="378"/>
      <c r="I22" s="378"/>
      <c r="J22" s="386"/>
    </row>
    <row r="23" ht="27.75" customHeight="1" spans="1:10">
      <c r="A23" s="377"/>
      <c r="B23" s="378"/>
      <c r="C23" s="378"/>
      <c r="D23" s="378"/>
      <c r="E23" s="378"/>
      <c r="F23" s="378"/>
      <c r="G23" s="378"/>
      <c r="H23" s="378"/>
      <c r="I23" s="378"/>
      <c r="J23" s="386"/>
    </row>
    <row r="24" ht="37.5" customHeight="1" spans="1:10">
      <c r="A24" s="379" t="s">
        <v>162</v>
      </c>
      <c r="B24" s="379"/>
      <c r="C24" s="379"/>
      <c r="D24" s="379"/>
      <c r="E24" s="379"/>
      <c r="F24" s="379"/>
      <c r="G24" s="379"/>
      <c r="H24" s="379"/>
      <c r="I24" s="379"/>
      <c r="J24" s="386"/>
    </row>
    <row r="26" spans="1:5">
      <c r="A26" s="380"/>
      <c r="B26" s="380"/>
      <c r="C26" s="380"/>
      <c r="D26" s="380"/>
      <c r="E26" s="380"/>
    </row>
    <row r="27" spans="1:5">
      <c r="A27" s="380"/>
      <c r="B27" s="380"/>
      <c r="C27" s="380"/>
      <c r="D27" s="380"/>
      <c r="E27" s="380"/>
    </row>
    <row r="28" spans="1:5">
      <c r="A28" s="380"/>
      <c r="B28" s="380"/>
      <c r="C28" s="380"/>
      <c r="D28" s="380"/>
      <c r="E28" s="380"/>
    </row>
    <row r="29" ht="16.8" spans="1:5">
      <c r="A29" s="381" t="s">
        <v>179</v>
      </c>
      <c r="B29" s="381" t="s">
        <v>180</v>
      </c>
      <c r="C29" s="382" t="s">
        <v>181</v>
      </c>
      <c r="D29" s="382" t="s">
        <v>182</v>
      </c>
      <c r="E29" s="382"/>
    </row>
    <row r="30" ht="17.4" spans="1:5">
      <c r="A30" s="383">
        <v>1</v>
      </c>
      <c r="B30" s="384">
        <f>铝盒!B3</f>
        <v>18.4</v>
      </c>
      <c r="C30" s="385">
        <f ca="1">INT(RAND()*30)+1</f>
        <v>15</v>
      </c>
      <c r="D30" s="385">
        <f ca="1">INDIRECT(ADDRESS(29+C30,2))</f>
        <v>17</v>
      </c>
      <c r="E30" s="385"/>
    </row>
    <row r="31" ht="17.4" spans="1:5">
      <c r="A31" s="383">
        <v>2</v>
      </c>
      <c r="B31" s="384">
        <f>铝盒!B4</f>
        <v>18.6</v>
      </c>
      <c r="C31" s="385">
        <f ca="1" t="shared" ref="C31:C59" si="0">INT(RAND()*30)+1</f>
        <v>4</v>
      </c>
      <c r="D31" s="385">
        <f ca="1" t="shared" ref="D31:D59" si="1">INDIRECT(ADDRESS(29+C31,2))</f>
        <v>16.7</v>
      </c>
      <c r="E31" s="385"/>
    </row>
    <row r="32" ht="17.4" spans="1:5">
      <c r="A32" s="383">
        <v>3</v>
      </c>
      <c r="B32" s="384">
        <f>铝盒!B5</f>
        <v>16.5</v>
      </c>
      <c r="C32" s="385">
        <f ca="1" t="shared" si="0"/>
        <v>26</v>
      </c>
      <c r="D32" s="385">
        <f ca="1" t="shared" si="1"/>
        <v>20.5</v>
      </c>
      <c r="E32" s="385"/>
    </row>
    <row r="33" ht="17.4" spans="1:5">
      <c r="A33" s="383">
        <v>4</v>
      </c>
      <c r="B33" s="384">
        <f>铝盒!B6</f>
        <v>16.7</v>
      </c>
      <c r="C33" s="385">
        <f ca="1" t="shared" si="0"/>
        <v>18</v>
      </c>
      <c r="D33" s="385">
        <f ca="1" t="shared" si="1"/>
        <v>18.2</v>
      </c>
      <c r="E33" s="385"/>
    </row>
    <row r="34" ht="17.4" spans="1:5">
      <c r="A34" s="383">
        <v>5</v>
      </c>
      <c r="B34" s="384">
        <f>铝盒!B7</f>
        <v>16</v>
      </c>
      <c r="C34" s="385">
        <f ca="1" t="shared" si="0"/>
        <v>22</v>
      </c>
      <c r="D34" s="385">
        <f ca="1" t="shared" si="1"/>
        <v>17.5</v>
      </c>
      <c r="E34" s="385"/>
    </row>
    <row r="35" ht="17.4" spans="1:5">
      <c r="A35" s="383">
        <v>6</v>
      </c>
      <c r="B35" s="384">
        <f>铝盒!B8</f>
        <v>16.2</v>
      </c>
      <c r="C35" s="385">
        <f ca="1" t="shared" si="0"/>
        <v>7</v>
      </c>
      <c r="D35" s="385">
        <f ca="1" t="shared" si="1"/>
        <v>18.2</v>
      </c>
      <c r="E35" s="385"/>
    </row>
    <row r="36" ht="17.4" spans="1:5">
      <c r="A36" s="383">
        <v>7</v>
      </c>
      <c r="B36" s="384">
        <f>铝盒!B9</f>
        <v>18.2</v>
      </c>
      <c r="C36" s="385">
        <f ca="1" t="shared" si="0"/>
        <v>15</v>
      </c>
      <c r="D36" s="385">
        <f ca="1" t="shared" si="1"/>
        <v>17</v>
      </c>
      <c r="E36" s="385"/>
    </row>
    <row r="37" ht="17.4" spans="1:5">
      <c r="A37" s="383">
        <v>8</v>
      </c>
      <c r="B37" s="384">
        <f>铝盒!B10</f>
        <v>19.9</v>
      </c>
      <c r="C37" s="385">
        <f ca="1" t="shared" si="0"/>
        <v>8</v>
      </c>
      <c r="D37" s="385">
        <f ca="1" t="shared" si="1"/>
        <v>19.9</v>
      </c>
      <c r="E37" s="385"/>
    </row>
    <row r="38" ht="17.4" spans="1:5">
      <c r="A38" s="383">
        <v>9</v>
      </c>
      <c r="B38" s="384">
        <f>铝盒!B11</f>
        <v>16.6</v>
      </c>
      <c r="C38" s="385">
        <f ca="1" t="shared" si="0"/>
        <v>2</v>
      </c>
      <c r="D38" s="385">
        <f ca="1" t="shared" si="1"/>
        <v>18.6</v>
      </c>
      <c r="E38" s="385"/>
    </row>
    <row r="39" ht="17.4" spans="1:5">
      <c r="A39" s="383">
        <v>10</v>
      </c>
      <c r="B39" s="384">
        <f>铝盒!B12</f>
        <v>21.1</v>
      </c>
      <c r="C39" s="385">
        <f ca="1" t="shared" si="0"/>
        <v>23</v>
      </c>
      <c r="D39" s="385">
        <f ca="1" t="shared" si="1"/>
        <v>16.8</v>
      </c>
      <c r="E39" s="385"/>
    </row>
    <row r="40" ht="17.4" spans="1:5">
      <c r="A40" s="383">
        <v>11</v>
      </c>
      <c r="B40" s="384">
        <f>铝盒!B13</f>
        <v>16.7</v>
      </c>
      <c r="C40" s="385">
        <f ca="1" t="shared" si="0"/>
        <v>24</v>
      </c>
      <c r="D40" s="385">
        <f ca="1" t="shared" si="1"/>
        <v>20.1</v>
      </c>
      <c r="E40" s="385"/>
    </row>
    <row r="41" ht="17.4" spans="1:5">
      <c r="A41" s="383">
        <v>12</v>
      </c>
      <c r="B41" s="384">
        <f>铝盒!B14</f>
        <v>17.6</v>
      </c>
      <c r="C41" s="385">
        <f ca="1" t="shared" si="0"/>
        <v>19</v>
      </c>
      <c r="D41" s="385">
        <f ca="1" t="shared" si="1"/>
        <v>23.5</v>
      </c>
      <c r="E41" s="385"/>
    </row>
    <row r="42" ht="17.4" spans="1:5">
      <c r="A42" s="383">
        <v>13</v>
      </c>
      <c r="B42" s="384">
        <f>铝盒!B15</f>
        <v>17</v>
      </c>
      <c r="C42" s="385">
        <f ca="1" t="shared" si="0"/>
        <v>24</v>
      </c>
      <c r="D42" s="385">
        <f ca="1" t="shared" si="1"/>
        <v>20.1</v>
      </c>
      <c r="E42" s="385"/>
    </row>
    <row r="43" ht="17.4" spans="1:5">
      <c r="A43" s="383">
        <v>14</v>
      </c>
      <c r="B43" s="384">
        <f>铝盒!B16</f>
        <v>17.9</v>
      </c>
      <c r="C43" s="385">
        <f ca="1" t="shared" si="0"/>
        <v>25</v>
      </c>
      <c r="D43" s="385">
        <f ca="1" t="shared" si="1"/>
        <v>17</v>
      </c>
      <c r="E43" s="385"/>
    </row>
    <row r="44" ht="17.4" spans="1:5">
      <c r="A44" s="383">
        <v>15</v>
      </c>
      <c r="B44" s="384">
        <f>铝盒!B17</f>
        <v>17</v>
      </c>
      <c r="C44" s="385">
        <f ca="1" t="shared" si="0"/>
        <v>28</v>
      </c>
      <c r="D44" s="385">
        <f ca="1" t="shared" si="1"/>
        <v>24.9</v>
      </c>
      <c r="E44" s="385"/>
    </row>
    <row r="45" ht="17.4" spans="1:5">
      <c r="A45" s="383">
        <v>16</v>
      </c>
      <c r="B45" s="384">
        <f>铝盒!B18</f>
        <v>20.5</v>
      </c>
      <c r="C45" s="385">
        <f ca="1" t="shared" si="0"/>
        <v>25</v>
      </c>
      <c r="D45" s="385">
        <f ca="1" t="shared" si="1"/>
        <v>17</v>
      </c>
      <c r="E45" s="385"/>
    </row>
    <row r="46" ht="17.4" spans="1:5">
      <c r="A46" s="383">
        <v>17</v>
      </c>
      <c r="B46" s="384">
        <f>铝盒!B19</f>
        <v>21.1</v>
      </c>
      <c r="C46" s="385">
        <f ca="1" t="shared" si="0"/>
        <v>21</v>
      </c>
      <c r="D46" s="385">
        <f ca="1" t="shared" si="1"/>
        <v>17</v>
      </c>
      <c r="E46" s="385"/>
    </row>
    <row r="47" ht="17.4" spans="1:5">
      <c r="A47" s="383">
        <v>18</v>
      </c>
      <c r="B47" s="384">
        <f>铝盒!B20</f>
        <v>18.2</v>
      </c>
      <c r="C47" s="385">
        <f ca="1" t="shared" si="0"/>
        <v>10</v>
      </c>
      <c r="D47" s="385">
        <f ca="1" t="shared" si="1"/>
        <v>21.1</v>
      </c>
      <c r="E47" s="385"/>
    </row>
    <row r="48" ht="17.4" spans="1:5">
      <c r="A48" s="383">
        <v>19</v>
      </c>
      <c r="B48" s="384">
        <f>铝盒!B21</f>
        <v>23.5</v>
      </c>
      <c r="C48" s="385">
        <f ca="1" t="shared" si="0"/>
        <v>30</v>
      </c>
      <c r="D48" s="385">
        <f ca="1" t="shared" si="1"/>
        <v>17.4</v>
      </c>
      <c r="E48" s="385"/>
    </row>
    <row r="49" ht="17.4" spans="1:5">
      <c r="A49" s="383">
        <v>20</v>
      </c>
      <c r="B49" s="384">
        <f>铝盒!B22</f>
        <v>20.5</v>
      </c>
      <c r="C49" s="385">
        <f ca="1" t="shared" si="0"/>
        <v>22</v>
      </c>
      <c r="D49" s="385">
        <f ca="1" t="shared" si="1"/>
        <v>17.5</v>
      </c>
      <c r="E49" s="385"/>
    </row>
    <row r="50" ht="17.4" spans="1:5">
      <c r="A50" s="383">
        <v>21</v>
      </c>
      <c r="B50" s="384">
        <f>铝盒!B23</f>
        <v>17</v>
      </c>
      <c r="C50" s="385">
        <f ca="1" t="shared" si="0"/>
        <v>29</v>
      </c>
      <c r="D50" s="385">
        <f ca="1" t="shared" si="1"/>
        <v>17.3</v>
      </c>
      <c r="E50" s="385"/>
    </row>
    <row r="51" ht="17.4" spans="1:5">
      <c r="A51" s="383">
        <v>22</v>
      </c>
      <c r="B51" s="384">
        <f>铝盒!B24</f>
        <v>17.5</v>
      </c>
      <c r="C51" s="385">
        <f ca="1" t="shared" si="0"/>
        <v>12</v>
      </c>
      <c r="D51" s="385">
        <f ca="1" t="shared" si="1"/>
        <v>17.6</v>
      </c>
      <c r="E51" s="385"/>
    </row>
    <row r="52" ht="17.4" spans="1:5">
      <c r="A52" s="383">
        <v>23</v>
      </c>
      <c r="B52" s="384">
        <f>铝盒!B25</f>
        <v>16.8</v>
      </c>
      <c r="C52" s="385">
        <f ca="1" t="shared" si="0"/>
        <v>7</v>
      </c>
      <c r="D52" s="385">
        <f ca="1" t="shared" si="1"/>
        <v>18.2</v>
      </c>
      <c r="E52" s="385"/>
    </row>
    <row r="53" ht="17.4" spans="1:5">
      <c r="A53" s="383">
        <v>24</v>
      </c>
      <c r="B53" s="384">
        <f>铝盒!B26</f>
        <v>20.1</v>
      </c>
      <c r="C53" s="385">
        <f ca="1" t="shared" si="0"/>
        <v>20</v>
      </c>
      <c r="D53" s="385">
        <f ca="1" t="shared" si="1"/>
        <v>20.5</v>
      </c>
      <c r="E53" s="385"/>
    </row>
    <row r="54" ht="17.4" spans="1:5">
      <c r="A54" s="383">
        <v>25</v>
      </c>
      <c r="B54" s="384">
        <f>铝盒!B27</f>
        <v>17</v>
      </c>
      <c r="C54" s="385">
        <f ca="1" t="shared" si="0"/>
        <v>22</v>
      </c>
      <c r="D54" s="385">
        <f ca="1" t="shared" si="1"/>
        <v>17.5</v>
      </c>
      <c r="E54" s="385"/>
    </row>
    <row r="55" ht="17.4" spans="1:5">
      <c r="A55" s="383">
        <v>26</v>
      </c>
      <c r="B55" s="384">
        <f>铝盒!B28</f>
        <v>20.5</v>
      </c>
      <c r="C55" s="385">
        <f ca="1" t="shared" si="0"/>
        <v>19</v>
      </c>
      <c r="D55" s="385">
        <f ca="1" t="shared" si="1"/>
        <v>23.5</v>
      </c>
      <c r="E55" s="385"/>
    </row>
    <row r="56" ht="17.4" spans="1:5">
      <c r="A56" s="383">
        <v>27</v>
      </c>
      <c r="B56" s="384">
        <f>铝盒!B29</f>
        <v>16.4</v>
      </c>
      <c r="C56" s="385">
        <f ca="1" t="shared" si="0"/>
        <v>5</v>
      </c>
      <c r="D56" s="385">
        <f ca="1" t="shared" si="1"/>
        <v>16</v>
      </c>
      <c r="E56" s="385"/>
    </row>
    <row r="57" ht="17.4" spans="1:5">
      <c r="A57" s="383">
        <v>28</v>
      </c>
      <c r="B57" s="384">
        <f>铝盒!B30</f>
        <v>24.9</v>
      </c>
      <c r="C57" s="385">
        <f ca="1" t="shared" si="0"/>
        <v>29</v>
      </c>
      <c r="D57" s="385">
        <f ca="1" t="shared" si="1"/>
        <v>17.3</v>
      </c>
      <c r="E57" s="385"/>
    </row>
    <row r="58" ht="17.4" spans="1:5">
      <c r="A58" s="383">
        <v>29</v>
      </c>
      <c r="B58" s="384">
        <f>铝盒!B31</f>
        <v>17.3</v>
      </c>
      <c r="C58" s="385">
        <f ca="1" t="shared" si="0"/>
        <v>24</v>
      </c>
      <c r="D58" s="385">
        <f ca="1" t="shared" si="1"/>
        <v>20.1</v>
      </c>
      <c r="E58" s="385"/>
    </row>
    <row r="59" ht="17.4" spans="1:5">
      <c r="A59" s="383">
        <v>30</v>
      </c>
      <c r="B59" s="384">
        <f>铝盒!B32</f>
        <v>17.4</v>
      </c>
      <c r="C59" s="385">
        <f ca="1" t="shared" si="0"/>
        <v>22</v>
      </c>
      <c r="D59" s="385">
        <f ca="1" t="shared" si="1"/>
        <v>17.5</v>
      </c>
      <c r="E59" s="385"/>
    </row>
    <row r="60" spans="1:5">
      <c r="A60" s="380"/>
      <c r="B60" s="384"/>
      <c r="C60" s="380"/>
      <c r="D60" s="380"/>
      <c r="E60" s="380"/>
    </row>
    <row r="61" spans="1:5">
      <c r="A61" s="380"/>
      <c r="B61" s="380"/>
      <c r="C61" s="380"/>
      <c r="D61" s="380"/>
      <c r="E61" s="380"/>
    </row>
    <row r="62" spans="1:5">
      <c r="A62" s="380"/>
      <c r="B62" s="380"/>
      <c r="C62" s="380"/>
      <c r="D62" s="380"/>
      <c r="E62" s="380"/>
    </row>
    <row r="63" spans="1:5">
      <c r="A63" s="380"/>
      <c r="B63" s="380"/>
      <c r="C63" s="380"/>
      <c r="D63" s="380"/>
      <c r="E63" s="380"/>
    </row>
  </sheetData>
  <sheetProtection selectLockedCells="1"/>
  <mergeCells count="61">
    <mergeCell ref="A1:I1"/>
    <mergeCell ref="F2:G2"/>
    <mergeCell ref="H2:I2"/>
    <mergeCell ref="B3:D3"/>
    <mergeCell ref="E3:F3"/>
    <mergeCell ref="G3:I3"/>
    <mergeCell ref="B4:I4"/>
    <mergeCell ref="B5:D5"/>
    <mergeCell ref="E5:F5"/>
    <mergeCell ref="G5:I5"/>
    <mergeCell ref="B6:D6"/>
    <mergeCell ref="E6:F6"/>
    <mergeCell ref="G6:I6"/>
    <mergeCell ref="B7:D7"/>
    <mergeCell ref="E7:F7"/>
    <mergeCell ref="G7:I7"/>
    <mergeCell ref="A8:I8"/>
    <mergeCell ref="B9:C9"/>
    <mergeCell ref="D9:E9"/>
    <mergeCell ref="F9:G9"/>
    <mergeCell ref="H9:I9"/>
    <mergeCell ref="B17:C17"/>
    <mergeCell ref="D17:E17"/>
    <mergeCell ref="F17:G17"/>
    <mergeCell ref="H17:I17"/>
    <mergeCell ref="A24:I24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A18:A23"/>
    <mergeCell ref="J1:J24"/>
    <mergeCell ref="B18:I20"/>
    <mergeCell ref="B21:I23"/>
  </mergeCells>
  <pageMargins left="0.748031496062992" right="0.748031496062992" top="0.984251968503937" bottom="0.984251968503937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X54"/>
  <sheetViews>
    <sheetView topLeftCell="A6" workbookViewId="0">
      <selection activeCell="P6" sqref="P6"/>
    </sheetView>
  </sheetViews>
  <sheetFormatPr defaultColWidth="9" defaultRowHeight="15.6"/>
  <cols>
    <col min="1" max="1" width="10.125" style="311" customWidth="1"/>
    <col min="2" max="2" width="8.625" style="311" customWidth="1"/>
    <col min="3" max="12" width="5.875" style="311" customWidth="1"/>
    <col min="13" max="14" width="12.75" style="311" customWidth="1"/>
    <col min="15" max="16384" width="9" style="311"/>
  </cols>
  <sheetData>
    <row r="1" ht="33.75" hidden="1" customHeight="1" spans="1:8">
      <c r="A1" s="312"/>
      <c r="B1" s="312"/>
      <c r="C1" s="312"/>
      <c r="D1" s="312"/>
      <c r="E1" s="312"/>
      <c r="F1" s="312"/>
      <c r="G1" s="312"/>
      <c r="H1" s="312"/>
    </row>
    <row r="2" ht="20.25" hidden="1" customHeight="1" spans="1:8">
      <c r="A2" s="312"/>
      <c r="B2" s="312"/>
      <c r="C2" s="312"/>
      <c r="D2" s="312"/>
      <c r="E2" s="312"/>
      <c r="F2" s="312"/>
      <c r="G2" s="312"/>
      <c r="H2" s="312"/>
    </row>
    <row r="3" ht="24.75" hidden="1" customHeight="1" spans="1:8">
      <c r="A3" s="312"/>
      <c r="B3" s="312"/>
      <c r="C3" s="312"/>
      <c r="D3" s="312"/>
      <c r="E3" s="312"/>
      <c r="F3" s="312"/>
      <c r="G3" s="312"/>
      <c r="H3" s="312"/>
    </row>
    <row r="4" ht="28.5" hidden="1" customHeight="1" spans="1:8">
      <c r="A4" s="312"/>
      <c r="B4" s="312"/>
      <c r="C4" s="312"/>
      <c r="D4" s="312"/>
      <c r="E4" s="312"/>
      <c r="F4" s="312"/>
      <c r="G4" s="312"/>
      <c r="H4" s="312"/>
    </row>
    <row r="5" ht="33" hidden="1" customHeight="1" spans="1:8">
      <c r="A5" s="312"/>
      <c r="B5" s="312"/>
      <c r="C5" s="312"/>
      <c r="D5" s="312"/>
      <c r="E5" s="312"/>
      <c r="F5" s="312"/>
      <c r="G5" s="312"/>
      <c r="H5" s="312"/>
    </row>
    <row r="6" ht="22.5" customHeight="1" spans="1:12">
      <c r="A6" s="313" t="s">
        <v>183</v>
      </c>
      <c r="B6" s="313"/>
      <c r="C6" s="313"/>
      <c r="D6" s="313"/>
      <c r="E6" s="313"/>
      <c r="F6" s="313"/>
      <c r="G6" s="313"/>
      <c r="H6" s="313"/>
      <c r="I6" s="313"/>
      <c r="J6" s="313"/>
      <c r="K6" s="313"/>
      <c r="L6" s="313"/>
    </row>
    <row r="7" ht="22.5" customHeight="1" spans="1:12">
      <c r="A7" s="313"/>
      <c r="B7" s="313"/>
      <c r="C7" s="313"/>
      <c r="D7" s="313"/>
      <c r="E7" s="313"/>
      <c r="F7" s="313"/>
      <c r="G7" s="313"/>
      <c r="H7" s="313"/>
      <c r="I7" s="341" t="s">
        <v>184</v>
      </c>
      <c r="J7" s="341"/>
      <c r="K7" s="342" t="str">
        <f>报告!E2</f>
        <v>J02- 0039</v>
      </c>
      <c r="L7" s="342"/>
    </row>
    <row r="8" ht="16.5" customHeight="1" spans="1:12">
      <c r="A8" s="314" t="s">
        <v>92</v>
      </c>
      <c r="B8" s="315" t="str">
        <f>报告!B3</f>
        <v>中铁六局呼铁局建设有限公司</v>
      </c>
      <c r="C8" s="316"/>
      <c r="D8" s="316"/>
      <c r="E8" s="316"/>
      <c r="F8" s="316"/>
      <c r="G8" s="317"/>
      <c r="H8" s="314" t="s">
        <v>185</v>
      </c>
      <c r="I8" s="314"/>
      <c r="J8" s="565" t="str">
        <f>报告!E3</f>
        <v>02</v>
      </c>
      <c r="K8" s="343"/>
      <c r="L8" s="343"/>
    </row>
    <row r="9" ht="17.1" customHeight="1" spans="1:14">
      <c r="A9" s="314" t="s">
        <v>97</v>
      </c>
      <c r="B9" s="318" t="str">
        <f>报告!B4</f>
        <v>内蒙古广誉建设监理有限责任公司</v>
      </c>
      <c r="C9" s="318"/>
      <c r="D9" s="318"/>
      <c r="E9" s="318"/>
      <c r="F9" s="318"/>
      <c r="G9" s="318"/>
      <c r="H9" s="318"/>
      <c r="I9" s="318"/>
      <c r="J9" s="318"/>
      <c r="K9" s="318"/>
      <c r="L9" s="318"/>
      <c r="N9" s="311">
        <v>4155</v>
      </c>
    </row>
    <row r="10" ht="17.1" customHeight="1" spans="1:15">
      <c r="A10" s="314" t="s">
        <v>186</v>
      </c>
      <c r="B10" s="318" t="str">
        <f>报告!B5</f>
        <v>土</v>
      </c>
      <c r="C10" s="318"/>
      <c r="D10" s="318"/>
      <c r="E10" s="318"/>
      <c r="F10" s="318"/>
      <c r="G10" s="318"/>
      <c r="H10" s="314" t="s">
        <v>102</v>
      </c>
      <c r="I10" s="314"/>
      <c r="J10" s="343" t="str">
        <f>报告!E5</f>
        <v>JTJ  051-93</v>
      </c>
      <c r="K10" s="343"/>
      <c r="L10" s="343"/>
      <c r="N10" s="344">
        <f ca="1">C27</f>
        <v>7.1214728908843</v>
      </c>
      <c r="O10" s="345">
        <f ca="1">C28</f>
        <v>1.78</v>
      </c>
    </row>
    <row r="11" ht="17.1" customHeight="1" spans="1:15">
      <c r="A11" s="314" t="s">
        <v>187</v>
      </c>
      <c r="B11" s="319" t="str">
        <f>报告!B6</f>
        <v>K3+600挖方段</v>
      </c>
      <c r="C11" s="319"/>
      <c r="D11" s="319"/>
      <c r="E11" s="319"/>
      <c r="F11" s="319"/>
      <c r="G11" s="319"/>
      <c r="H11" s="314" t="s">
        <v>108</v>
      </c>
      <c r="I11" s="314"/>
      <c r="J11" s="346" t="str">
        <f>报告!E6</f>
        <v>2007.11.1</v>
      </c>
      <c r="K11" s="346"/>
      <c r="L11" s="346"/>
      <c r="N11" s="344">
        <f ca="1">E27</f>
        <v>9.29402499568137</v>
      </c>
      <c r="O11" s="345">
        <f ca="1">E28</f>
        <v>1.84</v>
      </c>
    </row>
    <row r="12" ht="17.1" customHeight="1" spans="1:15">
      <c r="A12" s="314" t="s">
        <v>188</v>
      </c>
      <c r="B12" s="320"/>
      <c r="C12" s="320"/>
      <c r="D12" s="320"/>
      <c r="E12" s="320"/>
      <c r="F12" s="320"/>
      <c r="G12" s="320"/>
      <c r="H12" s="314" t="s">
        <v>189</v>
      </c>
      <c r="I12" s="314"/>
      <c r="J12" s="347"/>
      <c r="K12" s="347"/>
      <c r="L12" s="347"/>
      <c r="N12" s="348">
        <f>G27</f>
        <v>11</v>
      </c>
      <c r="O12" s="349">
        <f>G28</f>
        <v>1.89</v>
      </c>
    </row>
    <row r="13" s="310" customFormat="1" ht="17.1" customHeight="1" spans="1:15">
      <c r="A13" s="321" t="s">
        <v>190</v>
      </c>
      <c r="B13" s="321"/>
      <c r="C13" s="322" t="s">
        <v>191</v>
      </c>
      <c r="D13" s="322"/>
      <c r="E13" s="322"/>
      <c r="F13" s="322" t="s">
        <v>192</v>
      </c>
      <c r="G13" s="314"/>
      <c r="H13" s="322">
        <v>2177</v>
      </c>
      <c r="I13" s="314"/>
      <c r="J13" s="350" t="s">
        <v>193</v>
      </c>
      <c r="K13" s="350"/>
      <c r="L13" s="351">
        <v>0</v>
      </c>
      <c r="N13" s="348">
        <f ca="1">I27</f>
        <v>13.0699718248298</v>
      </c>
      <c r="O13" s="349">
        <f ca="1">I28</f>
        <v>1.86</v>
      </c>
    </row>
    <row r="14" s="310" customFormat="1" ht="17.1" customHeight="1" spans="1:15">
      <c r="A14" s="323" t="s">
        <v>194</v>
      </c>
      <c r="B14" s="323"/>
      <c r="C14" s="324">
        <f ca="1">INT(C27)</f>
        <v>7</v>
      </c>
      <c r="D14" s="324"/>
      <c r="E14" s="324">
        <f ca="1">C14+2</f>
        <v>9</v>
      </c>
      <c r="F14" s="324"/>
      <c r="G14" s="324">
        <f ca="1" t="shared" ref="G14" si="0">E14+2</f>
        <v>11</v>
      </c>
      <c r="H14" s="324"/>
      <c r="I14" s="324">
        <f ca="1" t="shared" ref="I14" si="1">G14+2</f>
        <v>13</v>
      </c>
      <c r="J14" s="324"/>
      <c r="K14" s="324">
        <f ca="1" t="shared" ref="K14" si="2">I14+2</f>
        <v>15</v>
      </c>
      <c r="L14" s="324"/>
      <c r="N14" s="348">
        <f ca="1">K27</f>
        <v>15.2122736169712</v>
      </c>
      <c r="O14" s="349">
        <f ca="1">K28</f>
        <v>1.82</v>
      </c>
    </row>
    <row r="15" s="310" customFormat="1" ht="17.1" customHeight="1" spans="1:15">
      <c r="A15" s="323" t="s">
        <v>195</v>
      </c>
      <c r="B15" s="323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10">
        <v>0</v>
      </c>
      <c r="N15" s="348">
        <f>J29</f>
        <v>11</v>
      </c>
      <c r="O15" s="348">
        <f>J29</f>
        <v>11</v>
      </c>
    </row>
    <row r="16" s="310" customFormat="1" ht="17.1" customHeight="1" spans="1:15">
      <c r="A16" s="323" t="s">
        <v>196</v>
      </c>
      <c r="B16" s="323"/>
      <c r="C16" s="326">
        <f ca="1">C17+C18</f>
        <v>8306.0213474055</v>
      </c>
      <c r="D16" s="326"/>
      <c r="E16" s="326">
        <f ca="1">E17+E18</f>
        <v>8532.96890044701</v>
      </c>
      <c r="F16" s="326"/>
      <c r="G16" s="326">
        <f>G17+G18</f>
        <v>8722.1283</v>
      </c>
      <c r="H16" s="326"/>
      <c r="I16" s="326">
        <f ca="1">I17+I18</f>
        <v>8733.45191312537</v>
      </c>
      <c r="J16" s="326"/>
      <c r="K16" s="326">
        <f ca="1">K17+K18</f>
        <v>8719.87157788746</v>
      </c>
      <c r="L16" s="326"/>
      <c r="M16" s="352">
        <f>C29</f>
        <v>1.89</v>
      </c>
      <c r="N16" s="352">
        <f>C29</f>
        <v>1.89</v>
      </c>
      <c r="O16" s="310">
        <v>0</v>
      </c>
    </row>
    <row r="17" s="310" customFormat="1" ht="17.1" customHeight="1" spans="1:12">
      <c r="A17" s="323" t="s">
        <v>197</v>
      </c>
      <c r="B17" s="323"/>
      <c r="C17" s="326">
        <f>N9</f>
        <v>4155</v>
      </c>
      <c r="D17" s="326"/>
      <c r="E17" s="326">
        <f>C17</f>
        <v>4155</v>
      </c>
      <c r="F17" s="326"/>
      <c r="G17" s="326">
        <f>E17</f>
        <v>4155</v>
      </c>
      <c r="H17" s="326"/>
      <c r="I17" s="326">
        <f>G17</f>
        <v>4155</v>
      </c>
      <c r="J17" s="326"/>
      <c r="K17" s="326">
        <f>I17</f>
        <v>4155</v>
      </c>
      <c r="L17" s="326"/>
    </row>
    <row r="18" s="310" customFormat="1" ht="17.1" customHeight="1" spans="1:12">
      <c r="A18" s="323" t="s">
        <v>198</v>
      </c>
      <c r="B18" s="323"/>
      <c r="C18" s="326">
        <f ca="1">H13*C19</f>
        <v>4151.0213474055</v>
      </c>
      <c r="D18" s="326"/>
      <c r="E18" s="326">
        <f ca="1">H13*E19</f>
        <v>4377.96890044701</v>
      </c>
      <c r="F18" s="326"/>
      <c r="G18" s="326">
        <f>H13*G19</f>
        <v>4567.1283</v>
      </c>
      <c r="H18" s="326"/>
      <c r="I18" s="326">
        <f ca="1">H13*I19</f>
        <v>4578.45191312537</v>
      </c>
      <c r="J18" s="326"/>
      <c r="K18" s="326">
        <f ca="1">H13*K19</f>
        <v>4564.87157788746</v>
      </c>
      <c r="L18" s="326"/>
    </row>
    <row r="19" s="310" customFormat="1" ht="17.1" customHeight="1" spans="1:12">
      <c r="A19" s="323" t="s">
        <v>199</v>
      </c>
      <c r="B19" s="323"/>
      <c r="C19" s="327">
        <f ca="1">C28*(1+C27*0.01)</f>
        <v>1.90676221745774</v>
      </c>
      <c r="D19" s="327"/>
      <c r="E19" s="327">
        <f ca="1">E28*(1+E27*0.01)</f>
        <v>2.01101005992054</v>
      </c>
      <c r="F19" s="327"/>
      <c r="G19" s="327">
        <f>G28*(1+G27*0.01)</f>
        <v>2.0979</v>
      </c>
      <c r="H19" s="327"/>
      <c r="I19" s="327">
        <f ca="1">I28*(1+I27*0.01)</f>
        <v>2.10310147594183</v>
      </c>
      <c r="J19" s="327"/>
      <c r="K19" s="327">
        <f ca="1">K28*(1+K27*0.01)</f>
        <v>2.09686337982888</v>
      </c>
      <c r="L19" s="327"/>
    </row>
    <row r="20" s="310" customFormat="1" ht="17.1" customHeight="1" spans="1:12">
      <c r="A20" s="323" t="s">
        <v>200</v>
      </c>
      <c r="B20" s="323"/>
      <c r="C20" s="328">
        <f ca="1">含水量!C32</f>
        <v>26</v>
      </c>
      <c r="D20" s="328">
        <f ca="1">含水量!C33</f>
        <v>18</v>
      </c>
      <c r="E20" s="328">
        <f ca="1">含水量!C34</f>
        <v>22</v>
      </c>
      <c r="F20" s="328">
        <f ca="1">含水量!C35</f>
        <v>7</v>
      </c>
      <c r="G20" s="328">
        <f ca="1">含水量!C36</f>
        <v>15</v>
      </c>
      <c r="H20" s="328">
        <f ca="1">含水量!C37</f>
        <v>8</v>
      </c>
      <c r="I20" s="328">
        <f ca="1">含水量!C38</f>
        <v>2</v>
      </c>
      <c r="J20" s="328">
        <f ca="1">含水量!C39</f>
        <v>23</v>
      </c>
      <c r="K20" s="328">
        <f ca="1">含水量!C40</f>
        <v>24</v>
      </c>
      <c r="L20" s="328">
        <f ca="1">含水量!C41</f>
        <v>19</v>
      </c>
    </row>
    <row r="21" s="310" customFormat="1" ht="17.1" customHeight="1" spans="1:12">
      <c r="A21" s="323" t="s">
        <v>201</v>
      </c>
      <c r="B21" s="323"/>
      <c r="C21" s="329">
        <f ca="1" t="shared" ref="C21:L22" si="3">C22+C24</f>
        <v>59.6546433726418</v>
      </c>
      <c r="D21" s="329">
        <f ca="1" t="shared" si="3"/>
        <v>57.2328196904146</v>
      </c>
      <c r="E21" s="329">
        <f ca="1" t="shared" si="3"/>
        <v>52.787799633612</v>
      </c>
      <c r="F21" s="329">
        <f ca="1" t="shared" si="3"/>
        <v>54.5372043485576</v>
      </c>
      <c r="G21" s="329">
        <f ca="1" t="shared" si="3"/>
        <v>57.22343</v>
      </c>
      <c r="H21" s="329">
        <f ca="1" t="shared" si="3"/>
        <v>61.7847</v>
      </c>
      <c r="I21" s="329">
        <f ca="1" t="shared" si="3"/>
        <v>66.1971751917862</v>
      </c>
      <c r="J21" s="329">
        <f ca="1" t="shared" si="3"/>
        <v>61.9293017045743</v>
      </c>
      <c r="K21" s="329">
        <f ca="1" t="shared" si="3"/>
        <v>62.5879401920241</v>
      </c>
      <c r="L21" s="329">
        <f ca="1" t="shared" si="3"/>
        <v>64.9662935926629</v>
      </c>
    </row>
    <row r="22" s="310" customFormat="1" ht="17.1" customHeight="1" spans="1:12">
      <c r="A22" s="323" t="s">
        <v>202</v>
      </c>
      <c r="B22" s="323"/>
      <c r="C22" s="329">
        <f ca="1" t="shared" si="3"/>
        <v>57.12</v>
      </c>
      <c r="D22" s="329">
        <f ca="1" t="shared" si="3"/>
        <v>54.57</v>
      </c>
      <c r="E22" s="329">
        <f ca="1" t="shared" si="3"/>
        <v>49.64</v>
      </c>
      <c r="F22" s="329">
        <f ca="1" t="shared" si="3"/>
        <v>51.6</v>
      </c>
      <c r="G22" s="329">
        <f ca="1" t="shared" si="3"/>
        <v>53.27</v>
      </c>
      <c r="H22" s="329">
        <f ca="1" t="shared" si="3"/>
        <v>57.6</v>
      </c>
      <c r="I22" s="329">
        <f ca="1" t="shared" si="3"/>
        <v>60.51</v>
      </c>
      <c r="J22" s="329">
        <f ca="1" t="shared" si="3"/>
        <v>56.89</v>
      </c>
      <c r="K22" s="329">
        <f ca="1" t="shared" si="3"/>
        <v>57.01</v>
      </c>
      <c r="L22" s="329">
        <f ca="1" t="shared" si="3"/>
        <v>59.46</v>
      </c>
    </row>
    <row r="23" s="310" customFormat="1" ht="17.1" customHeight="1" spans="1:12">
      <c r="A23" s="323" t="s">
        <v>203</v>
      </c>
      <c r="B23" s="323"/>
      <c r="C23" s="329">
        <f ca="1">含水量!D32</f>
        <v>20.5</v>
      </c>
      <c r="D23" s="329">
        <f ca="1">含水量!D33</f>
        <v>18.2</v>
      </c>
      <c r="E23" s="329">
        <f ca="1">含水量!D34</f>
        <v>17.5</v>
      </c>
      <c r="F23" s="329">
        <f ca="1">含水量!D35</f>
        <v>18.2</v>
      </c>
      <c r="G23" s="329">
        <f ca="1">含水量!D36</f>
        <v>17</v>
      </c>
      <c r="H23" s="329">
        <f ca="1">含水量!D37</f>
        <v>19.9</v>
      </c>
      <c r="I23" s="329">
        <f ca="1">含水量!D38</f>
        <v>18.6</v>
      </c>
      <c r="J23" s="329">
        <f ca="1">含水量!D39</f>
        <v>16.8</v>
      </c>
      <c r="K23" s="329">
        <f ca="1">含水量!D40</f>
        <v>20.1</v>
      </c>
      <c r="L23" s="329">
        <f ca="1">含水量!D41</f>
        <v>23.5</v>
      </c>
    </row>
    <row r="24" s="310" customFormat="1" ht="17.1" customHeight="1" spans="1:12">
      <c r="A24" s="323" t="s">
        <v>204</v>
      </c>
      <c r="B24" s="323"/>
      <c r="C24" s="329">
        <f ca="1" t="shared" ref="C24:L24" si="4">C26*0.01*C25</f>
        <v>2.53464337264183</v>
      </c>
      <c r="D24" s="329">
        <f ca="1" t="shared" si="4"/>
        <v>2.66281969041462</v>
      </c>
      <c r="E24" s="329">
        <f ca="1" t="shared" si="4"/>
        <v>3.14779963361199</v>
      </c>
      <c r="F24" s="329">
        <f ca="1" t="shared" si="4"/>
        <v>2.93720434855758</v>
      </c>
      <c r="G24" s="329">
        <f ca="1" t="shared" si="4"/>
        <v>3.95343</v>
      </c>
      <c r="H24" s="329">
        <f ca="1" t="shared" si="4"/>
        <v>4.1847</v>
      </c>
      <c r="I24" s="329">
        <f ca="1" t="shared" si="4"/>
        <v>5.68717519178616</v>
      </c>
      <c r="J24" s="329">
        <f ca="1" t="shared" si="4"/>
        <v>5.03930170457426</v>
      </c>
      <c r="K24" s="329">
        <f ca="1" t="shared" si="4"/>
        <v>5.57794019202407</v>
      </c>
      <c r="L24" s="329">
        <f ca="1" t="shared" si="4"/>
        <v>5.50629359266285</v>
      </c>
    </row>
    <row r="25" s="310" customFormat="1" ht="17.1" customHeight="1" spans="1:21">
      <c r="A25" s="323" t="s">
        <v>205</v>
      </c>
      <c r="B25" s="323"/>
      <c r="C25" s="329">
        <f ca="1">ROUND(RAND()+35.92,2)</f>
        <v>36.62</v>
      </c>
      <c r="D25" s="329">
        <f ca="1">ROUND(RAND()+36.28,2)</f>
        <v>36.37</v>
      </c>
      <c r="E25" s="329">
        <f ca="1">ROUND(RAND()+31.44,2)</f>
        <v>32.14</v>
      </c>
      <c r="F25" s="329">
        <f ca="1">ROUND(RAND()+32.88,2)</f>
        <v>33.4</v>
      </c>
      <c r="G25" s="329">
        <f ca="1">ROUND(RAND()+35.92,2)</f>
        <v>36.27</v>
      </c>
      <c r="H25" s="329">
        <f ca="1">ROUND(RAND()+37.14,2)</f>
        <v>37.7</v>
      </c>
      <c r="I25" s="329">
        <f ca="1">ROUND(RAND()+40.92,2)</f>
        <v>41.91</v>
      </c>
      <c r="J25" s="329">
        <f ca="1">ROUND(RAND()+40,2)</f>
        <v>40.09</v>
      </c>
      <c r="K25" s="329">
        <f ca="1">ROUND(RAND()+35.92,2)</f>
        <v>36.91</v>
      </c>
      <c r="L25" s="329">
        <f ca="1">ROUND(RAND()+35.92,2)</f>
        <v>35.96</v>
      </c>
      <c r="M25" s="353"/>
      <c r="N25" s="353"/>
      <c r="O25" s="353"/>
      <c r="P25" s="353"/>
      <c r="Q25" s="353"/>
      <c r="R25" s="353"/>
      <c r="S25" s="353"/>
      <c r="T25" s="353"/>
      <c r="U25" s="353"/>
    </row>
    <row r="26" s="310" customFormat="1" ht="17.1" customHeight="1" spans="1:24">
      <c r="A26" s="323" t="s">
        <v>206</v>
      </c>
      <c r="B26" s="323"/>
      <c r="C26" s="330">
        <f ca="1">IF(M26&lt;0.3,(C27-M26),(C27+M26))</f>
        <v>6.9214728908843</v>
      </c>
      <c r="D26" s="330">
        <f ca="1">IF(M26&lt;0.3,(C27+M26),(C27-M26))</f>
        <v>7.3214728908843</v>
      </c>
      <c r="E26" s="330">
        <f ca="1" t="shared" ref="E26" si="5">IF(O26&lt;0.3,(E27-O26),(E27+O26))</f>
        <v>9.79402499568137</v>
      </c>
      <c r="F26" s="330">
        <f ca="1" t="shared" ref="F26" si="6">IF(O26&lt;0.3,(E27+O26),(E27-O26))</f>
        <v>8.79402499568137</v>
      </c>
      <c r="G26" s="330">
        <f ca="1" t="shared" ref="G26" si="7">IF(Q26&lt;0.3,(G27-Q26),(G27+Q26))</f>
        <v>10.9</v>
      </c>
      <c r="H26" s="330">
        <f ca="1" t="shared" ref="H26" si="8">IF(Q26&lt;0.3,(G27+Q26),(G27-Q26))</f>
        <v>11.1</v>
      </c>
      <c r="I26" s="330">
        <f ca="1" t="shared" ref="I26" si="9">IF(S26&lt;0.3,(I27-S26),(I27+S26))</f>
        <v>13.5699718248298</v>
      </c>
      <c r="J26" s="330">
        <f ca="1" t="shared" ref="J26" si="10">IF(S26&lt;0.3,(I27+S26),(I27-S26))</f>
        <v>12.5699718248298</v>
      </c>
      <c r="K26" s="330">
        <f ca="1" t="shared" ref="K26" si="11">IF(U26&lt;0.3,(K27-U26),(K27+U26))</f>
        <v>15.1122736169712</v>
      </c>
      <c r="L26" s="330">
        <f ca="1" t="shared" ref="L26" si="12">IF(U26&lt;0.3,(K27+U26),(K27-U26))</f>
        <v>15.3122736169712</v>
      </c>
      <c r="M26" s="354">
        <f ca="1">ROUND(RAND()*0.5,1)</f>
        <v>0.2</v>
      </c>
      <c r="N26" s="354">
        <f ca="1">ROUND(RAND()*0.5,1)</f>
        <v>0.5</v>
      </c>
      <c r="O26" s="354">
        <f ca="1">ROUND(RAND()*0.5,1)</f>
        <v>0.5</v>
      </c>
      <c r="P26" s="354">
        <f ca="1">ROUND(RAND()*0.5,1)</f>
        <v>0.3</v>
      </c>
      <c r="Q26" s="354">
        <f ca="1" t="shared" ref="Q26:U26" si="13">ROUND(RAND()*0.5,1)</f>
        <v>0.1</v>
      </c>
      <c r="R26" s="354">
        <f ca="1" t="shared" si="13"/>
        <v>0.2</v>
      </c>
      <c r="S26" s="354">
        <f ca="1" t="shared" si="13"/>
        <v>0.5</v>
      </c>
      <c r="T26" s="354">
        <f ca="1" t="shared" si="13"/>
        <v>0.5</v>
      </c>
      <c r="U26" s="354">
        <f ca="1" t="shared" si="13"/>
        <v>0.1</v>
      </c>
      <c r="V26" s="348"/>
      <c r="W26" s="348"/>
      <c r="X26" s="348"/>
    </row>
    <row r="27" s="310" customFormat="1" ht="17.1" customHeight="1" spans="1:21">
      <c r="A27" s="323" t="s">
        <v>207</v>
      </c>
      <c r="B27" s="323"/>
      <c r="C27" s="324">
        <f ca="1">RAND()+(G27-4.1)</f>
        <v>7.1214728908843</v>
      </c>
      <c r="D27" s="324"/>
      <c r="E27" s="324">
        <f ca="1">RAND()+(G27-2.1)</f>
        <v>9.29402499568137</v>
      </c>
      <c r="F27" s="324"/>
      <c r="G27" s="324">
        <f>J29</f>
        <v>11</v>
      </c>
      <c r="H27" s="324"/>
      <c r="I27" s="324">
        <f ca="1">RAND()+(G27+1.9)</f>
        <v>13.0699718248298</v>
      </c>
      <c r="J27" s="324"/>
      <c r="K27" s="324">
        <f ca="1">RAND()+(G27+3.9)</f>
        <v>15.2122736169712</v>
      </c>
      <c r="L27" s="324"/>
      <c r="M27" s="353"/>
      <c r="N27" s="353"/>
      <c r="O27" s="353"/>
      <c r="P27" s="353"/>
      <c r="Q27" s="353"/>
      <c r="R27" s="353"/>
      <c r="S27" s="353"/>
      <c r="T27" s="353"/>
      <c r="U27" s="353"/>
    </row>
    <row r="28" s="310" customFormat="1" ht="17.1" customHeight="1" spans="1:14">
      <c r="A28" s="323" t="s">
        <v>208</v>
      </c>
      <c r="B28" s="323"/>
      <c r="C28" s="331">
        <f ca="1">G28-M28*2-0.01</f>
        <v>1.78</v>
      </c>
      <c r="D28" s="331"/>
      <c r="E28" s="331">
        <f ca="1">G28-M28</f>
        <v>1.84</v>
      </c>
      <c r="F28" s="331"/>
      <c r="G28" s="331">
        <f>C29</f>
        <v>1.89</v>
      </c>
      <c r="H28" s="331"/>
      <c r="I28" s="331">
        <f ca="1">G28-N28</f>
        <v>1.86</v>
      </c>
      <c r="J28" s="331"/>
      <c r="K28" s="331">
        <f ca="1">G28-N28*2-0.01</f>
        <v>1.82</v>
      </c>
      <c r="L28" s="331"/>
      <c r="M28" s="353">
        <f ca="1">ROUND(RAND()*0.02+0.03,2)</f>
        <v>0.05</v>
      </c>
      <c r="N28" s="353">
        <f ca="1" t="shared" ref="N28" si="14">ROUND(RAND()*0.02+0.03,2)</f>
        <v>0.03</v>
      </c>
    </row>
    <row r="29" ht="24" customHeight="1" spans="1:12">
      <c r="A29" s="323" t="s">
        <v>209</v>
      </c>
      <c r="B29" s="323"/>
      <c r="C29" s="332">
        <f>报告!E19</f>
        <v>1.89</v>
      </c>
      <c r="D29" s="323"/>
      <c r="E29" s="323"/>
      <c r="F29" s="323"/>
      <c r="G29" s="333" t="s">
        <v>210</v>
      </c>
      <c r="H29" s="333"/>
      <c r="I29" s="333"/>
      <c r="J29" s="355">
        <f>报告!C19</f>
        <v>11</v>
      </c>
      <c r="K29" s="355"/>
      <c r="L29" s="355"/>
    </row>
    <row r="30" ht="17.1" customHeight="1" spans="1:12">
      <c r="A30" s="334" t="s">
        <v>211</v>
      </c>
      <c r="B30" s="335"/>
      <c r="C30" s="314"/>
      <c r="D30" s="314"/>
      <c r="E30" s="314"/>
      <c r="F30" s="314"/>
      <c r="G30" s="335"/>
      <c r="H30" s="335"/>
      <c r="I30" s="314"/>
      <c r="J30" s="314"/>
      <c r="K30" s="314"/>
      <c r="L30" s="314"/>
    </row>
    <row r="31" ht="16.5" customHeight="1" spans="1:12">
      <c r="A31" s="336"/>
      <c r="B31" s="337"/>
      <c r="C31" s="337"/>
      <c r="D31" s="337"/>
      <c r="E31" s="337"/>
      <c r="F31" s="337"/>
      <c r="G31" s="337"/>
      <c r="H31" s="337"/>
      <c r="I31" s="337"/>
      <c r="J31" s="337"/>
      <c r="K31" s="337"/>
      <c r="L31" s="337"/>
    </row>
    <row r="32" spans="1:12">
      <c r="A32" s="336"/>
      <c r="B32" s="337"/>
      <c r="C32" s="337"/>
      <c r="D32" s="337"/>
      <c r="E32" s="337"/>
      <c r="F32" s="337"/>
      <c r="G32" s="337"/>
      <c r="H32" s="337"/>
      <c r="I32" s="337"/>
      <c r="J32" s="337"/>
      <c r="K32" s="337"/>
      <c r="L32" s="337"/>
    </row>
    <row r="33" spans="1:12">
      <c r="A33" s="336"/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</row>
    <row r="34" ht="11.25" customHeight="1" spans="1:12">
      <c r="A34" s="336"/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</row>
    <row r="35" ht="14.25" hidden="1" customHeight="1" spans="1:17">
      <c r="A35" s="336"/>
      <c r="B35" s="337"/>
      <c r="C35" s="337"/>
      <c r="D35" s="337"/>
      <c r="E35" s="337"/>
      <c r="F35" s="337"/>
      <c r="G35" s="337"/>
      <c r="H35" s="337"/>
      <c r="I35" s="337"/>
      <c r="J35" s="337"/>
      <c r="K35" s="337"/>
      <c r="L35" s="337"/>
      <c r="P35" s="356">
        <v>29</v>
      </c>
      <c r="Q35" s="356">
        <v>17.3</v>
      </c>
    </row>
    <row r="36" ht="6.75" hidden="1" customHeight="1" spans="1:17">
      <c r="A36" s="336"/>
      <c r="B36" s="337"/>
      <c r="C36" s="337"/>
      <c r="D36" s="337"/>
      <c r="E36" s="337"/>
      <c r="F36" s="337"/>
      <c r="G36" s="337"/>
      <c r="H36" s="337"/>
      <c r="I36" s="337"/>
      <c r="J36" s="337"/>
      <c r="K36" s="337"/>
      <c r="L36" s="337"/>
      <c r="P36" s="356">
        <v>30</v>
      </c>
      <c r="Q36" s="356">
        <v>17.4</v>
      </c>
    </row>
    <row r="37" ht="14.25" hidden="1" customHeight="1" spans="1:12">
      <c r="A37" s="336"/>
      <c r="B37" s="337"/>
      <c r="C37" s="337"/>
      <c r="D37" s="337"/>
      <c r="E37" s="337"/>
      <c r="F37" s="337"/>
      <c r="G37" s="337"/>
      <c r="H37" s="337"/>
      <c r="I37" s="337"/>
      <c r="J37" s="337"/>
      <c r="K37" s="337"/>
      <c r="L37" s="337"/>
    </row>
    <row r="38" ht="14.25" hidden="1" customHeight="1" spans="1:12">
      <c r="A38" s="336"/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</row>
    <row r="39" ht="14.25" hidden="1" customHeight="1" spans="1:12">
      <c r="A39" s="336"/>
      <c r="B39" s="337"/>
      <c r="C39" s="337"/>
      <c r="D39" s="337"/>
      <c r="E39" s="337"/>
      <c r="F39" s="337"/>
      <c r="G39" s="337"/>
      <c r="H39" s="337"/>
      <c r="I39" s="337"/>
      <c r="J39" s="337"/>
      <c r="K39" s="337"/>
      <c r="L39" s="337"/>
    </row>
    <row r="40" ht="18" customHeight="1" spans="1:12">
      <c r="A40" s="336"/>
      <c r="B40" s="337"/>
      <c r="C40" s="337"/>
      <c r="D40" s="337"/>
      <c r="E40" s="337"/>
      <c r="F40" s="337"/>
      <c r="G40" s="337"/>
      <c r="H40" s="337"/>
      <c r="I40" s="337"/>
      <c r="J40" s="337"/>
      <c r="K40" s="337"/>
      <c r="L40" s="337"/>
    </row>
    <row r="41" spans="1:12">
      <c r="A41" s="336"/>
      <c r="B41" s="337"/>
      <c r="C41" s="337"/>
      <c r="D41" s="337"/>
      <c r="E41" s="337"/>
      <c r="F41" s="337"/>
      <c r="G41" s="337"/>
      <c r="H41" s="337"/>
      <c r="I41" s="337"/>
      <c r="J41" s="337"/>
      <c r="K41" s="337"/>
      <c r="L41" s="337"/>
    </row>
    <row r="42" ht="14.25" customHeight="1" spans="1:12">
      <c r="A42" s="336"/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</row>
    <row r="43" spans="1:12">
      <c r="A43" s="336"/>
      <c r="B43" s="337"/>
      <c r="C43" s="337"/>
      <c r="D43" s="337"/>
      <c r="E43" s="337"/>
      <c r="F43" s="337"/>
      <c r="G43" s="337"/>
      <c r="H43" s="337"/>
      <c r="I43" s="337"/>
      <c r="J43" s="337"/>
      <c r="K43" s="337"/>
      <c r="L43" s="337"/>
    </row>
    <row r="44" spans="1:12">
      <c r="A44" s="336"/>
      <c r="B44" s="337"/>
      <c r="C44" s="337" t="s">
        <v>212</v>
      </c>
      <c r="D44" s="337"/>
      <c r="E44" s="337"/>
      <c r="F44" s="337"/>
      <c r="G44" s="337"/>
      <c r="H44" s="337"/>
      <c r="I44" s="337"/>
      <c r="J44" s="337"/>
      <c r="K44" s="337"/>
      <c r="L44" s="337"/>
    </row>
    <row r="45" spans="1:12">
      <c r="A45" s="336"/>
      <c r="B45" s="337"/>
      <c r="C45" s="337"/>
      <c r="D45" s="337"/>
      <c r="E45" s="337"/>
      <c r="F45" s="337"/>
      <c r="G45" s="337"/>
      <c r="H45" s="337"/>
      <c r="I45" s="337"/>
      <c r="J45" s="337"/>
      <c r="K45" s="337"/>
      <c r="L45" s="337"/>
    </row>
    <row r="46" spans="1:12">
      <c r="A46" s="336"/>
      <c r="B46" s="337"/>
      <c r="C46" s="337"/>
      <c r="D46" s="337"/>
      <c r="E46" s="337"/>
      <c r="F46" s="337"/>
      <c r="G46" s="337"/>
      <c r="H46" s="337"/>
      <c r="I46" s="337"/>
      <c r="J46" s="337"/>
      <c r="K46" s="337"/>
      <c r="L46" s="337"/>
    </row>
    <row r="47" ht="18" customHeight="1" spans="1:12">
      <c r="A47" s="336"/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</row>
    <row r="48" ht="1.5" hidden="1" customHeight="1" spans="1:12">
      <c r="A48" s="338"/>
      <c r="B48" s="337"/>
      <c r="C48" s="337"/>
      <c r="D48" s="337"/>
      <c r="E48" s="337"/>
      <c r="F48" s="337"/>
      <c r="G48" s="337"/>
      <c r="H48" s="337"/>
      <c r="I48" s="337"/>
      <c r="J48" s="340"/>
      <c r="K48" s="340"/>
      <c r="L48" s="340"/>
    </row>
    <row r="49" spans="1:12">
      <c r="A49" s="339" t="s">
        <v>213</v>
      </c>
      <c r="B49" s="340" t="s">
        <v>214</v>
      </c>
      <c r="C49" s="340"/>
      <c r="D49" s="340"/>
      <c r="E49" s="340"/>
      <c r="F49" s="340"/>
      <c r="G49" s="340"/>
      <c r="H49" s="340"/>
      <c r="I49" s="340"/>
      <c r="J49" s="340"/>
      <c r="K49" s="340"/>
      <c r="L49" s="340"/>
    </row>
    <row r="50" spans="1:12">
      <c r="A50" s="339"/>
      <c r="B50" s="340"/>
      <c r="C50" s="340"/>
      <c r="D50" s="340"/>
      <c r="E50" s="340"/>
      <c r="F50" s="340"/>
      <c r="G50" s="340"/>
      <c r="H50" s="340"/>
      <c r="I50" s="340"/>
      <c r="J50" s="340"/>
      <c r="K50" s="340"/>
      <c r="L50" s="340"/>
    </row>
    <row r="51" spans="1:12">
      <c r="A51" s="339"/>
      <c r="B51" s="340"/>
      <c r="C51" s="340"/>
      <c r="D51" s="340"/>
      <c r="E51" s="340"/>
      <c r="F51" s="340"/>
      <c r="G51" s="340"/>
      <c r="H51" s="340"/>
      <c r="I51" s="340"/>
      <c r="J51" s="340"/>
      <c r="K51" s="340"/>
      <c r="L51" s="340"/>
    </row>
    <row r="52" spans="1:12">
      <c r="A52" s="339"/>
      <c r="B52" s="340" t="s">
        <v>215</v>
      </c>
      <c r="C52" s="340"/>
      <c r="D52" s="340"/>
      <c r="E52" s="340"/>
      <c r="F52" s="340"/>
      <c r="G52" s="340"/>
      <c r="H52" s="340"/>
      <c r="I52" s="340"/>
      <c r="J52" s="340"/>
      <c r="K52" s="340"/>
      <c r="L52" s="340"/>
    </row>
    <row r="53" spans="1:12">
      <c r="A53" s="339"/>
      <c r="B53" s="340"/>
      <c r="C53" s="340"/>
      <c r="D53" s="340"/>
      <c r="E53" s="340"/>
      <c r="F53" s="340"/>
      <c r="G53" s="340"/>
      <c r="H53" s="340"/>
      <c r="I53" s="340"/>
      <c r="J53" s="340"/>
      <c r="K53" s="340"/>
      <c r="L53" s="340"/>
    </row>
    <row r="54" spans="1:12">
      <c r="A54" s="339"/>
      <c r="B54" s="340"/>
      <c r="C54" s="340"/>
      <c r="D54" s="340"/>
      <c r="E54" s="340"/>
      <c r="F54" s="340"/>
      <c r="G54" s="340"/>
      <c r="H54" s="340"/>
      <c r="I54" s="340"/>
      <c r="J54" s="340"/>
      <c r="K54" s="340"/>
      <c r="L54" s="340"/>
    </row>
  </sheetData>
  <sheetProtection selectLockedCells="1"/>
  <mergeCells count="88">
    <mergeCell ref="A1:H1"/>
    <mergeCell ref="A2:H2"/>
    <mergeCell ref="A3:H3"/>
    <mergeCell ref="A6:L6"/>
    <mergeCell ref="K7:L7"/>
    <mergeCell ref="B8:G8"/>
    <mergeCell ref="H8:I8"/>
    <mergeCell ref="J8:L8"/>
    <mergeCell ref="B9:L9"/>
    <mergeCell ref="B10:G10"/>
    <mergeCell ref="H10:I10"/>
    <mergeCell ref="J10:L10"/>
    <mergeCell ref="B11:G11"/>
    <mergeCell ref="H11:I11"/>
    <mergeCell ref="J11:L11"/>
    <mergeCell ref="B12:G12"/>
    <mergeCell ref="H12:I12"/>
    <mergeCell ref="J12:L12"/>
    <mergeCell ref="A13:B13"/>
    <mergeCell ref="C13:E13"/>
    <mergeCell ref="F13:G13"/>
    <mergeCell ref="H13:I13"/>
    <mergeCell ref="J13:K13"/>
    <mergeCell ref="A14:B14"/>
    <mergeCell ref="C14:D14"/>
    <mergeCell ref="E14:F14"/>
    <mergeCell ref="G14:H14"/>
    <mergeCell ref="I14:J14"/>
    <mergeCell ref="K14:L14"/>
    <mergeCell ref="A15:B15"/>
    <mergeCell ref="C15:D15"/>
    <mergeCell ref="E15:F15"/>
    <mergeCell ref="G15:H15"/>
    <mergeCell ref="I15:J15"/>
    <mergeCell ref="K15:L15"/>
    <mergeCell ref="A16:B16"/>
    <mergeCell ref="C16:D16"/>
    <mergeCell ref="E16:F16"/>
    <mergeCell ref="G16:H16"/>
    <mergeCell ref="I16:J16"/>
    <mergeCell ref="K16:L16"/>
    <mergeCell ref="A17:B17"/>
    <mergeCell ref="C17:D17"/>
    <mergeCell ref="E17:F17"/>
    <mergeCell ref="G17:H17"/>
    <mergeCell ref="I17:J17"/>
    <mergeCell ref="K17:L17"/>
    <mergeCell ref="A18:B18"/>
    <mergeCell ref="C18:D18"/>
    <mergeCell ref="E18:F18"/>
    <mergeCell ref="G18:H18"/>
    <mergeCell ref="I18:J18"/>
    <mergeCell ref="K18:L18"/>
    <mergeCell ref="A19:B19"/>
    <mergeCell ref="C19:D19"/>
    <mergeCell ref="E19:F19"/>
    <mergeCell ref="G19:H19"/>
    <mergeCell ref="I19:J19"/>
    <mergeCell ref="K19:L19"/>
    <mergeCell ref="A20:B20"/>
    <mergeCell ref="A21:B21"/>
    <mergeCell ref="A22:B22"/>
    <mergeCell ref="A23:B23"/>
    <mergeCell ref="A24:B24"/>
    <mergeCell ref="A25:B25"/>
    <mergeCell ref="A26:B26"/>
    <mergeCell ref="A27:B27"/>
    <mergeCell ref="C27:D27"/>
    <mergeCell ref="E27:F27"/>
    <mergeCell ref="G27:H27"/>
    <mergeCell ref="I27:J27"/>
    <mergeCell ref="K27:L27"/>
    <mergeCell ref="A28:B28"/>
    <mergeCell ref="C28:D28"/>
    <mergeCell ref="E28:F28"/>
    <mergeCell ref="G28:H28"/>
    <mergeCell ref="I28:J28"/>
    <mergeCell ref="K28:L28"/>
    <mergeCell ref="A29:B29"/>
    <mergeCell ref="C29:F29"/>
    <mergeCell ref="G29:I29"/>
    <mergeCell ref="J29:L29"/>
    <mergeCell ref="I30:L30"/>
    <mergeCell ref="J48:L48"/>
    <mergeCell ref="A30:A48"/>
    <mergeCell ref="A49:A54"/>
    <mergeCell ref="B49:L51"/>
    <mergeCell ref="B52:L54"/>
  </mergeCells>
  <pageMargins left="0.866141732283464" right="0.748031496062992" top="0.708661417322835" bottom="0.551181102362205" header="0.511811023622047" footer="0.511811023622047"/>
  <pageSetup paperSize="9" orientation="portrait"/>
  <headerFooter alignWithMargins="0"/>
  <ignoredErrors>
    <ignoredError sqref="D26:K26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X61"/>
  <sheetViews>
    <sheetView zoomScale="110" zoomScaleNormal="110" topLeftCell="A8" workbookViewId="0">
      <selection activeCell="N18" sqref="N18"/>
    </sheetView>
  </sheetViews>
  <sheetFormatPr defaultColWidth="9" defaultRowHeight="15.6"/>
  <cols>
    <col min="1" max="1" width="5.625" style="217" customWidth="1"/>
    <col min="2" max="2" width="15.625" style="217" customWidth="1"/>
    <col min="3" max="9" width="5.625" style="217" customWidth="1"/>
    <col min="10" max="10" width="6.625" style="217" customWidth="1"/>
    <col min="11" max="11" width="1.625" style="217" customWidth="1"/>
    <col min="12" max="12" width="11.625" style="217" customWidth="1"/>
    <col min="13" max="13" width="11.75" style="217" customWidth="1"/>
    <col min="14" max="14" width="10.875" style="217" customWidth="1"/>
    <col min="15" max="15" width="11.375" style="217" customWidth="1"/>
    <col min="16" max="16" width="11.625" style="217" customWidth="1"/>
    <col min="17" max="17" width="11.75" style="217" customWidth="1"/>
    <col min="18" max="19" width="8" style="217" customWidth="1"/>
    <col min="20" max="20" width="10.625" style="217" customWidth="1"/>
    <col min="21" max="21" width="9.5" style="217" customWidth="1"/>
    <col min="22" max="16384" width="9" style="217"/>
  </cols>
  <sheetData>
    <row r="1" ht="50.1" customHeight="1" spans="1:21">
      <c r="A1" s="218" t="s">
        <v>216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N1" s="268"/>
      <c r="O1" s="268"/>
      <c r="P1" s="268"/>
      <c r="Q1" s="268"/>
      <c r="R1" s="268"/>
      <c r="S1" s="268"/>
      <c r="T1" s="268"/>
      <c r="U1" s="268"/>
    </row>
    <row r="2" ht="30" customHeight="1" spans="1:24">
      <c r="A2" s="219"/>
      <c r="B2" s="220"/>
      <c r="C2" s="220"/>
      <c r="D2" s="220"/>
      <c r="E2" s="220"/>
      <c r="F2" s="220"/>
      <c r="G2" s="220"/>
      <c r="H2" s="221" t="s">
        <v>212</v>
      </c>
      <c r="I2" s="221" t="s">
        <v>217</v>
      </c>
      <c r="J2" s="221" t="s">
        <v>218</v>
      </c>
      <c r="K2" s="269" t="str">
        <f>报告!E2</f>
        <v>J02- 0039</v>
      </c>
      <c r="L2" s="269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</row>
    <row r="3" ht="30" customHeight="1" spans="1:24">
      <c r="A3" s="222" t="s">
        <v>219</v>
      </c>
      <c r="B3" s="223"/>
      <c r="C3" s="224" t="str">
        <f>报告!B3</f>
        <v>中铁六局呼铁局建设有限公司</v>
      </c>
      <c r="D3" s="225"/>
      <c r="E3" s="225"/>
      <c r="F3" s="226"/>
      <c r="G3" s="227" t="s">
        <v>220</v>
      </c>
      <c r="H3" s="227"/>
      <c r="I3" s="227"/>
      <c r="J3" s="566" t="str">
        <f>报告!E3</f>
        <v>02</v>
      </c>
      <c r="K3" s="271"/>
      <c r="L3" s="271"/>
      <c r="N3" s="272">
        <f>C20</f>
        <v>15.9</v>
      </c>
      <c r="O3" s="272">
        <f>G20</f>
        <v>27.9</v>
      </c>
      <c r="P3" s="262">
        <f ca="1">EXP(LN(O3)-(LN(O4)-LN(P4))*(LN(N3)-LN(O3))/(LN(N4)-LN(O4)))</f>
        <v>18.4508721454882</v>
      </c>
      <c r="Q3" s="262">
        <f>EXP(LN(O3)-(LN(O4)-LN(1))*(LN(N3)-LN(O3))/(LN(N4)-LN(O4)))</f>
        <v>8.56991958027347</v>
      </c>
      <c r="R3" s="262"/>
      <c r="S3" s="273">
        <f>K18</f>
        <v>28.3</v>
      </c>
      <c r="T3" s="262">
        <v>0</v>
      </c>
      <c r="U3" s="262"/>
      <c r="V3" s="273">
        <f ca="1">K19</f>
        <v>18.9950984032408</v>
      </c>
      <c r="W3" s="262">
        <f>0</f>
        <v>0</v>
      </c>
      <c r="X3" s="262"/>
    </row>
    <row r="4" ht="30" customHeight="1" spans="1:24">
      <c r="A4" s="222" t="s">
        <v>221</v>
      </c>
      <c r="B4" s="223"/>
      <c r="C4" s="228" t="str">
        <f>报告!B4</f>
        <v>内蒙古广誉建设监理有限责任公司</v>
      </c>
      <c r="D4" s="229"/>
      <c r="E4" s="229"/>
      <c r="F4" s="229"/>
      <c r="G4" s="229"/>
      <c r="H4" s="229"/>
      <c r="I4" s="229"/>
      <c r="J4" s="229"/>
      <c r="K4" s="229"/>
      <c r="L4" s="230"/>
      <c r="N4" s="273">
        <f>C12</f>
        <v>4.8</v>
      </c>
      <c r="O4" s="273">
        <f>G12</f>
        <v>20</v>
      </c>
      <c r="P4" s="272">
        <f ca="1">N33</f>
        <v>7.00235131413219</v>
      </c>
      <c r="Q4" s="272">
        <v>1</v>
      </c>
      <c r="R4" s="262"/>
      <c r="S4" s="262">
        <f>20</f>
        <v>20</v>
      </c>
      <c r="T4" s="262">
        <v>20</v>
      </c>
      <c r="U4" s="262"/>
      <c r="V4" s="272">
        <f ca="1">N33</f>
        <v>7.00235131413219</v>
      </c>
      <c r="W4" s="272">
        <f ca="1">N33</f>
        <v>7.00235131413219</v>
      </c>
      <c r="X4" s="262"/>
    </row>
    <row r="5" ht="30" customHeight="1" spans="1:24">
      <c r="A5" s="222" t="s">
        <v>222</v>
      </c>
      <c r="B5" s="223"/>
      <c r="C5" s="228" t="str">
        <f>报告!B5</f>
        <v>土</v>
      </c>
      <c r="D5" s="229"/>
      <c r="E5" s="229"/>
      <c r="F5" s="230"/>
      <c r="G5" s="231" t="s">
        <v>223</v>
      </c>
      <c r="H5" s="231"/>
      <c r="I5" s="231"/>
      <c r="J5" s="274" t="str">
        <f>报告!E5</f>
        <v>JTJ  051-93</v>
      </c>
      <c r="K5" s="274"/>
      <c r="L5" s="274"/>
      <c r="N5" s="272">
        <f>E20</f>
        <v>22.2</v>
      </c>
      <c r="O5" s="272">
        <f>G20</f>
        <v>27.9</v>
      </c>
      <c r="P5" s="262">
        <f ca="1">EXP(LN(O5)-(LN(O6)-LN(P6))*(LN(N5)-LN(O5))/(LN(N6)-LN(O6)))</f>
        <v>19.5393246609934</v>
      </c>
      <c r="Q5" s="262">
        <f>EXP(LN(O5)-(LN(O6)-LN(1))*(LN(N5)-LN(O5))/(LN(N6)-LN(O6)))</f>
        <v>10.0932769708657</v>
      </c>
      <c r="R5" s="262"/>
      <c r="S5" s="273">
        <f>K18</f>
        <v>28.3</v>
      </c>
      <c r="T5" s="273">
        <f>K18</f>
        <v>28.3</v>
      </c>
      <c r="U5" s="262"/>
      <c r="V5" s="273">
        <f ca="1">K19</f>
        <v>18.9950984032408</v>
      </c>
      <c r="W5" s="273">
        <f ca="1">K19</f>
        <v>18.9950984032408</v>
      </c>
      <c r="X5" s="262"/>
    </row>
    <row r="6" ht="30" customHeight="1" spans="1:24">
      <c r="A6" s="222" t="s">
        <v>224</v>
      </c>
      <c r="B6" s="223"/>
      <c r="C6" s="228" t="str">
        <f>报告!B6</f>
        <v>K3+600挖方段</v>
      </c>
      <c r="D6" s="229"/>
      <c r="E6" s="229"/>
      <c r="F6" s="230"/>
      <c r="G6" s="231" t="s">
        <v>225</v>
      </c>
      <c r="H6" s="231"/>
      <c r="I6" s="231"/>
      <c r="J6" s="274" t="str">
        <f>报告!E6</f>
        <v>2007.11.1</v>
      </c>
      <c r="K6" s="274"/>
      <c r="L6" s="274"/>
      <c r="N6" s="273">
        <f>E12</f>
        <v>10.2</v>
      </c>
      <c r="O6" s="273">
        <f>G12</f>
        <v>20</v>
      </c>
      <c r="P6" s="272">
        <f ca="1">N33</f>
        <v>7.00235131413219</v>
      </c>
      <c r="Q6" s="272">
        <v>1</v>
      </c>
      <c r="R6" s="262"/>
      <c r="S6" s="262">
        <f>20</f>
        <v>20</v>
      </c>
      <c r="T6" s="262">
        <v>0</v>
      </c>
      <c r="U6" s="262"/>
      <c r="V6" s="272">
        <f ca="1">N33</f>
        <v>7.00235131413219</v>
      </c>
      <c r="W6" s="262">
        <v>0</v>
      </c>
      <c r="X6" s="262"/>
    </row>
    <row r="7" ht="30" customHeight="1" spans="1:24">
      <c r="A7" s="222" t="s">
        <v>226</v>
      </c>
      <c r="B7" s="223"/>
      <c r="C7" s="232"/>
      <c r="D7" s="233"/>
      <c r="E7" s="233"/>
      <c r="F7" s="234"/>
      <c r="G7" s="227" t="s">
        <v>227</v>
      </c>
      <c r="H7" s="227"/>
      <c r="I7" s="227"/>
      <c r="J7" s="275"/>
      <c r="K7" s="275"/>
      <c r="L7" s="275"/>
      <c r="N7" s="276"/>
      <c r="O7" s="276"/>
      <c r="P7" s="270"/>
      <c r="Q7" s="270"/>
      <c r="R7" s="270"/>
      <c r="S7" s="270"/>
      <c r="T7" s="270"/>
      <c r="U7" s="270"/>
      <c r="V7" s="270"/>
      <c r="W7" s="270"/>
      <c r="X7" s="270"/>
    </row>
    <row r="8" ht="20.1" customHeight="1" spans="1:12">
      <c r="A8" s="235"/>
      <c r="B8" s="235"/>
      <c r="C8" s="235"/>
      <c r="D8" s="235"/>
      <c r="E8" s="235"/>
      <c r="F8" s="235"/>
      <c r="G8" s="235"/>
      <c r="H8" s="235"/>
      <c r="I8" s="235"/>
      <c r="J8" s="235"/>
      <c r="K8" s="235"/>
      <c r="L8" s="235"/>
    </row>
    <row r="9" ht="39.95" customHeight="1" spans="1:13">
      <c r="A9" s="222"/>
      <c r="B9" s="223"/>
      <c r="C9" s="222">
        <v>1</v>
      </c>
      <c r="D9" s="223"/>
      <c r="E9" s="222">
        <v>2</v>
      </c>
      <c r="F9" s="223"/>
      <c r="G9" s="222">
        <v>3</v>
      </c>
      <c r="H9" s="236"/>
      <c r="I9" s="277"/>
      <c r="J9" s="278"/>
      <c r="K9" s="278"/>
      <c r="L9" s="279"/>
      <c r="M9" s="280"/>
    </row>
    <row r="10" ht="24.95" customHeight="1" spans="1:19">
      <c r="A10" s="237" t="s">
        <v>228</v>
      </c>
      <c r="B10" s="231" t="s">
        <v>229</v>
      </c>
      <c r="C10" s="238">
        <f ca="1">IF(C25&lt;=0.3,C12-C25,C12+C25)</f>
        <v>4.6</v>
      </c>
      <c r="D10" s="239"/>
      <c r="E10" s="238">
        <f ca="1">IF(E25&lt;=0.3,E12-E25,E12+E25)</f>
        <v>10.1</v>
      </c>
      <c r="F10" s="239"/>
      <c r="G10" s="240">
        <v>20.2</v>
      </c>
      <c r="H10" s="241"/>
      <c r="I10" s="281"/>
      <c r="J10" s="282"/>
      <c r="K10" s="282"/>
      <c r="L10" s="283"/>
      <c r="M10" s="284"/>
      <c r="P10" s="285"/>
      <c r="Q10" s="285"/>
      <c r="R10" s="285"/>
      <c r="S10" s="285"/>
    </row>
    <row r="11" ht="24.95" customHeight="1" spans="1:19">
      <c r="A11" s="242"/>
      <c r="B11" s="231" t="s">
        <v>230</v>
      </c>
      <c r="C11" s="238">
        <f ca="1">IF(C25&lt;=0.3,C12+C25,C12-C25)</f>
        <v>5</v>
      </c>
      <c r="D11" s="239"/>
      <c r="E11" s="238">
        <f ca="1">IF(E25&lt;=0.3,E12+E25,E12-E25)</f>
        <v>10.3</v>
      </c>
      <c r="F11" s="239"/>
      <c r="G11" s="240">
        <v>19.8</v>
      </c>
      <c r="H11" s="241"/>
      <c r="I11" s="281"/>
      <c r="J11" s="282"/>
      <c r="K11" s="282"/>
      <c r="L11" s="283"/>
      <c r="M11" s="286"/>
      <c r="P11" s="285"/>
      <c r="Q11" s="285"/>
      <c r="R11" s="285"/>
      <c r="S11" s="285"/>
    </row>
    <row r="12" ht="24.95" customHeight="1" spans="1:13">
      <c r="A12" s="243"/>
      <c r="B12" s="244" t="s">
        <v>231</v>
      </c>
      <c r="C12" s="245">
        <v>4.8</v>
      </c>
      <c r="D12" s="246"/>
      <c r="E12" s="245">
        <v>10.2</v>
      </c>
      <c r="F12" s="246"/>
      <c r="G12" s="247">
        <f>IF(ABS(G10-G11)&lt;=0.5,ROUND((G10+G11)/2,1),"误差大于0.5")</f>
        <v>20</v>
      </c>
      <c r="H12" s="248"/>
      <c r="I12" s="281"/>
      <c r="J12" s="282"/>
      <c r="K12" s="282"/>
      <c r="L12" s="283"/>
      <c r="M12" s="287"/>
    </row>
    <row r="13" ht="24.95" customHeight="1" spans="1:13">
      <c r="A13" s="237" t="s">
        <v>232</v>
      </c>
      <c r="B13" s="249" t="s">
        <v>233</v>
      </c>
      <c r="C13" s="250">
        <f ca="1">INT(RAND()*29)+1</f>
        <v>25</v>
      </c>
      <c r="D13" s="251">
        <f ca="1" t="shared" ref="D13:H13" si="0">INT(RAND()*29)+1</f>
        <v>11</v>
      </c>
      <c r="E13" s="250">
        <f ca="1" t="shared" si="0"/>
        <v>5</v>
      </c>
      <c r="F13" s="250">
        <f ca="1" t="shared" si="0"/>
        <v>24</v>
      </c>
      <c r="G13" s="250">
        <f ca="1" t="shared" si="0"/>
        <v>20</v>
      </c>
      <c r="H13" s="250">
        <f ca="1" t="shared" si="0"/>
        <v>14</v>
      </c>
      <c r="I13" s="281"/>
      <c r="J13" s="282"/>
      <c r="K13" s="282"/>
      <c r="L13" s="283"/>
      <c r="M13" s="288"/>
    </row>
    <row r="14" ht="24.95" customHeight="1" spans="1:13">
      <c r="A14" s="242"/>
      <c r="B14" s="249" t="s">
        <v>234</v>
      </c>
      <c r="C14" s="252">
        <f ca="1">C15+C17</f>
        <v>32.3731959658673</v>
      </c>
      <c r="D14" s="252">
        <f ca="1" t="shared" ref="D14:H14" si="1">D15+D17</f>
        <v>36.2987917228019</v>
      </c>
      <c r="E14" s="252">
        <f ca="1" t="shared" si="1"/>
        <v>35.6447959530237</v>
      </c>
      <c r="F14" s="252">
        <f ca="1" t="shared" si="1"/>
        <v>46.4486229413585</v>
      </c>
      <c r="G14" s="252">
        <f ca="1" t="shared" si="1"/>
        <v>41.0799457640097</v>
      </c>
      <c r="H14" s="252">
        <f ca="1" t="shared" si="1"/>
        <v>44.6439300891596</v>
      </c>
      <c r="I14" s="281"/>
      <c r="J14" s="282"/>
      <c r="K14" s="282"/>
      <c r="L14" s="283"/>
      <c r="M14" s="288"/>
    </row>
    <row r="15" ht="24.95" customHeight="1" spans="1:13">
      <c r="A15" s="242"/>
      <c r="B15" s="249" t="s">
        <v>235</v>
      </c>
      <c r="C15" s="252">
        <f ca="1">C16+C18</f>
        <v>30.2831959658673</v>
      </c>
      <c r="D15" s="252">
        <f ca="1" t="shared" ref="D15:H15" si="2">D16+D18</f>
        <v>33.5787917228019</v>
      </c>
      <c r="E15" s="252">
        <f ca="1" t="shared" si="2"/>
        <v>32.1147959530237</v>
      </c>
      <c r="F15" s="252">
        <f ca="1" t="shared" si="2"/>
        <v>41.6086229413585</v>
      </c>
      <c r="G15" s="252">
        <f ca="1" t="shared" si="2"/>
        <v>36.5299457640097</v>
      </c>
      <c r="H15" s="252">
        <f ca="1" t="shared" si="2"/>
        <v>38.8939300891596</v>
      </c>
      <c r="I15" s="281"/>
      <c r="J15" s="282"/>
      <c r="K15" s="282"/>
      <c r="L15" s="283"/>
      <c r="M15" s="288"/>
    </row>
    <row r="16" ht="24.95" customHeight="1" spans="1:16">
      <c r="A16" s="242"/>
      <c r="B16" s="249" t="s">
        <v>236</v>
      </c>
      <c r="C16" s="252">
        <f ca="1">INDEX($B$26:$B$65535,C13,1)</f>
        <v>17</v>
      </c>
      <c r="D16" s="252">
        <f ca="1" t="shared" ref="D16:H16" si="3">INDEX($B$26:$B$65535,D13,1)</f>
        <v>16.7</v>
      </c>
      <c r="E16" s="252">
        <f ca="1" t="shared" si="3"/>
        <v>16</v>
      </c>
      <c r="F16" s="252">
        <f ca="1" t="shared" si="3"/>
        <v>20.1</v>
      </c>
      <c r="G16" s="252">
        <f ca="1" t="shared" si="3"/>
        <v>20.5</v>
      </c>
      <c r="H16" s="252">
        <f ca="1" t="shared" si="3"/>
        <v>17.9</v>
      </c>
      <c r="I16" s="281"/>
      <c r="J16" s="282"/>
      <c r="K16" s="282"/>
      <c r="L16" s="282"/>
      <c r="M16" s="289" t="s">
        <v>237</v>
      </c>
      <c r="N16" s="289" t="s">
        <v>238</v>
      </c>
      <c r="P16" s="290"/>
    </row>
    <row r="17" ht="24" customHeight="1" spans="1:14">
      <c r="A17" s="242"/>
      <c r="B17" s="249" t="s">
        <v>239</v>
      </c>
      <c r="C17" s="252">
        <f ca="1">ROUND(C19*0.01*C18,2)</f>
        <v>2.09</v>
      </c>
      <c r="D17" s="252">
        <f ca="1" t="shared" ref="D17:H17" si="4">ROUND(D19*0.01*D18,2)</f>
        <v>2.72</v>
      </c>
      <c r="E17" s="252">
        <f ca="1" t="shared" si="4"/>
        <v>3.53</v>
      </c>
      <c r="F17" s="252">
        <f ca="1" t="shared" si="4"/>
        <v>4.84</v>
      </c>
      <c r="G17" s="252">
        <f ca="1" t="shared" si="4"/>
        <v>4.55</v>
      </c>
      <c r="H17" s="252">
        <f ca="1" t="shared" si="4"/>
        <v>5.75</v>
      </c>
      <c r="I17" s="291"/>
      <c r="J17" s="260"/>
      <c r="K17" s="260"/>
      <c r="L17" s="260"/>
      <c r="M17" s="289" t="s">
        <v>240</v>
      </c>
      <c r="N17" s="289">
        <v>-5.42</v>
      </c>
    </row>
    <row r="18" ht="24.95" customHeight="1" spans="1:13">
      <c r="A18" s="242"/>
      <c r="B18" s="249" t="s">
        <v>241</v>
      </c>
      <c r="C18" s="252">
        <f ca="1">RAND()*10+12.5</f>
        <v>13.2831959658673</v>
      </c>
      <c r="D18" s="252">
        <f ca="1" t="shared" ref="D18:H18" si="5">RAND()*10+12.5</f>
        <v>16.8787917228019</v>
      </c>
      <c r="E18" s="252">
        <f ca="1" t="shared" si="5"/>
        <v>16.1147959530237</v>
      </c>
      <c r="F18" s="252">
        <f ca="1" t="shared" si="5"/>
        <v>21.5086229413585</v>
      </c>
      <c r="G18" s="252">
        <f ca="1" t="shared" si="5"/>
        <v>16.0299457640097</v>
      </c>
      <c r="H18" s="252">
        <f ca="1" t="shared" si="5"/>
        <v>20.9939300891596</v>
      </c>
      <c r="I18" s="292" t="s">
        <v>242</v>
      </c>
      <c r="J18" s="293"/>
      <c r="K18" s="294">
        <f>ROUND(N32,1)</f>
        <v>28.3</v>
      </c>
      <c r="L18" s="295"/>
      <c r="M18" s="296">
        <f ca="1">EXP(LN(C20)+(LN(20)-LN(C12))*(LN(C20)-LN(M19))/(LN(C12)-LN(P6)))</f>
        <v>29.3505725802475</v>
      </c>
    </row>
    <row r="19" ht="24.95" customHeight="1" spans="1:14">
      <c r="A19" s="242"/>
      <c r="B19" s="249" t="s">
        <v>243</v>
      </c>
      <c r="C19" s="253">
        <f ca="1">IF(C24&lt;=0.3,(C20-C24),(C20+C24))</f>
        <v>15.7</v>
      </c>
      <c r="D19" s="253">
        <f ca="1">IF(C24&lt;=0.3,(C20+C24),(C20-C24))</f>
        <v>16.1</v>
      </c>
      <c r="E19" s="253">
        <f ca="1" t="shared" ref="E19" si="6">IF(E24&lt;=0.3,(E20-E24),(E20+E24))</f>
        <v>21.9</v>
      </c>
      <c r="F19" s="253">
        <f ca="1" t="shared" ref="F19" si="7">IF(E24&lt;=0.3,(E20+E24),(E20-E24))</f>
        <v>22.5</v>
      </c>
      <c r="G19" s="253">
        <f ca="1" t="shared" ref="G19" si="8">IF(G24&lt;=0.3,(G20-G24),(G20+G24))</f>
        <v>28.4</v>
      </c>
      <c r="H19" s="253">
        <f ca="1" t="shared" ref="H19" si="9">IF(G24&lt;=0.3,(G20+G24),(G20-G24))</f>
        <v>27.4</v>
      </c>
      <c r="I19" s="292" t="s">
        <v>244</v>
      </c>
      <c r="J19" s="293"/>
      <c r="K19" s="294">
        <f ca="1">AVERAGEA(P5,P3)</f>
        <v>18.9950984032408</v>
      </c>
      <c r="L19" s="295"/>
      <c r="M19" s="296">
        <f ca="1">ROUND(N36,1)</f>
        <v>18.7</v>
      </c>
      <c r="N19" s="297"/>
    </row>
    <row r="20" ht="24.95" customHeight="1" spans="1:14">
      <c r="A20" s="243"/>
      <c r="B20" s="249" t="s">
        <v>245</v>
      </c>
      <c r="C20" s="245">
        <v>15.9</v>
      </c>
      <c r="D20" s="246"/>
      <c r="E20" s="245">
        <v>22.2</v>
      </c>
      <c r="F20" s="246"/>
      <c r="G20" s="245">
        <v>27.9</v>
      </c>
      <c r="H20" s="246"/>
      <c r="I20" s="292" t="s">
        <v>246</v>
      </c>
      <c r="J20" s="293"/>
      <c r="K20" s="294">
        <f ca="1">ROUND((K18-K19),1)</f>
        <v>9.3</v>
      </c>
      <c r="L20" s="295"/>
      <c r="M20" s="298">
        <f ca="1">ROUND((M18-M19),1)</f>
        <v>10.7</v>
      </c>
      <c r="N20" s="299"/>
    </row>
    <row r="21" ht="54.95" customHeight="1" spans="1:14">
      <c r="A21" s="254" t="s">
        <v>247</v>
      </c>
      <c r="B21" s="255"/>
      <c r="C21" s="256" t="s">
        <v>248</v>
      </c>
      <c r="D21" s="236"/>
      <c r="E21" s="236"/>
      <c r="F21" s="236"/>
      <c r="G21" s="236"/>
      <c r="H21" s="236"/>
      <c r="I21" s="236"/>
      <c r="J21" s="236"/>
      <c r="K21" s="236"/>
      <c r="L21" s="223"/>
      <c r="M21" s="280"/>
      <c r="N21" s="290"/>
    </row>
    <row r="22" ht="54.95" customHeight="1" spans="1:19">
      <c r="A22" s="257"/>
      <c r="B22" s="258"/>
      <c r="C22" s="259" t="s">
        <v>249</v>
      </c>
      <c r="D22" s="260"/>
      <c r="E22" s="260"/>
      <c r="F22" s="260"/>
      <c r="G22" s="260"/>
      <c r="H22" s="260"/>
      <c r="I22" s="260"/>
      <c r="J22" s="260"/>
      <c r="K22" s="260"/>
      <c r="L22" s="300"/>
      <c r="M22" s="268"/>
      <c r="N22" s="268"/>
      <c r="O22" s="268"/>
      <c r="P22" s="268"/>
      <c r="Q22" s="268"/>
      <c r="R22" s="268"/>
      <c r="S22" s="268"/>
    </row>
    <row r="23" spans="1:19">
      <c r="A23" s="261"/>
      <c r="B23" s="261"/>
      <c r="C23" s="261"/>
      <c r="M23" s="268"/>
      <c r="N23" s="268"/>
      <c r="O23" s="268"/>
      <c r="P23" s="268"/>
      <c r="Q23" s="268"/>
      <c r="R23" s="268"/>
      <c r="S23" s="268"/>
    </row>
    <row r="24" ht="20.1" customHeight="1" spans="1:19">
      <c r="A24" s="261"/>
      <c r="B24" s="261"/>
      <c r="C24" s="262">
        <f ca="1">ROUND(RAND()*0.5,1)</f>
        <v>0.2</v>
      </c>
      <c r="D24" s="262">
        <f ca="1" t="shared" ref="D24:H24" si="10">ROUND(RAND()*0.5,1)</f>
        <v>0.1</v>
      </c>
      <c r="E24" s="262">
        <f ca="1" t="shared" si="10"/>
        <v>0.3</v>
      </c>
      <c r="F24" s="262">
        <f ca="1" t="shared" si="10"/>
        <v>0.2</v>
      </c>
      <c r="G24" s="262">
        <f ca="1" t="shared" si="10"/>
        <v>0.5</v>
      </c>
      <c r="H24" s="262">
        <f ca="1" t="shared" si="10"/>
        <v>0.5</v>
      </c>
      <c r="M24" s="301"/>
      <c r="N24" s="302"/>
      <c r="O24" s="302" t="s">
        <v>250</v>
      </c>
      <c r="P24" s="302" t="s">
        <v>251</v>
      </c>
      <c r="Q24" s="302" t="s">
        <v>252</v>
      </c>
      <c r="R24" s="309"/>
      <c r="S24" s="268"/>
    </row>
    <row r="25" ht="20.1" customHeight="1" spans="1:19">
      <c r="A25" s="263" t="s">
        <v>179</v>
      </c>
      <c r="B25" s="263" t="s">
        <v>253</v>
      </c>
      <c r="C25" s="264">
        <f ca="1">ROUND(RAND()*0.25,1)</f>
        <v>0.2</v>
      </c>
      <c r="D25" s="264"/>
      <c r="E25" s="264">
        <f ca="1" t="shared" ref="E25" si="11">ROUND(RAND()*0.25,1)</f>
        <v>0.1</v>
      </c>
      <c r="F25" s="264"/>
      <c r="G25" s="264">
        <f ca="1" t="shared" ref="G25" si="12">ROUND(RAND()*0.25,1)</f>
        <v>0.1</v>
      </c>
      <c r="H25" s="264"/>
      <c r="M25" s="301"/>
      <c r="N25" s="302" t="s">
        <v>254</v>
      </c>
      <c r="O25" s="303">
        <f>LN(C12)</f>
        <v>1.56861591791385</v>
      </c>
      <c r="P25" s="303">
        <f>LN(E12)</f>
        <v>2.32238772029023</v>
      </c>
      <c r="Q25" s="303">
        <f>LN(G12)</f>
        <v>2.99573227355399</v>
      </c>
      <c r="R25" s="309"/>
      <c r="S25" s="268"/>
    </row>
    <row r="26" ht="20.1" customHeight="1" spans="1:19">
      <c r="A26" s="265">
        <v>1</v>
      </c>
      <c r="B26" s="265">
        <v>18.4</v>
      </c>
      <c r="C26" s="261"/>
      <c r="M26" s="301"/>
      <c r="N26" s="302" t="s">
        <v>255</v>
      </c>
      <c r="O26" s="303">
        <f>LN(C20)</f>
        <v>2.76631910922619</v>
      </c>
      <c r="P26" s="303">
        <f>LN(E20)</f>
        <v>3.10009228887823</v>
      </c>
      <c r="Q26" s="303">
        <f>LN(G20)</f>
        <v>3.32862668882732</v>
      </c>
      <c r="R26" s="309"/>
      <c r="S26" s="268"/>
    </row>
    <row r="27" ht="17.4" spans="1:19">
      <c r="A27" s="265">
        <v>2</v>
      </c>
      <c r="B27" s="265">
        <v>18.6</v>
      </c>
      <c r="C27" s="261"/>
      <c r="M27" s="301"/>
      <c r="N27" s="304" t="s">
        <v>256</v>
      </c>
      <c r="O27" s="305">
        <f>LINEST(O25:Q25,O26:Q26,TRUE)</f>
        <v>2.51749344349677</v>
      </c>
      <c r="P27" s="301" t="s">
        <v>257</v>
      </c>
      <c r="Q27" s="301"/>
      <c r="R27" s="309"/>
      <c r="S27" s="268"/>
    </row>
    <row r="28" ht="17.4" spans="1:19">
      <c r="A28" s="265">
        <v>3</v>
      </c>
      <c r="B28" s="265">
        <v>16.5</v>
      </c>
      <c r="C28" s="261"/>
      <c r="M28" s="301"/>
      <c r="N28" s="304"/>
      <c r="O28" s="305"/>
      <c r="P28" s="301"/>
      <c r="Q28" s="301"/>
      <c r="R28" s="309"/>
      <c r="S28" s="268"/>
    </row>
    <row r="29" ht="17.4" spans="1:19">
      <c r="A29" s="265">
        <v>4</v>
      </c>
      <c r="B29" s="265">
        <v>16.7</v>
      </c>
      <c r="C29" s="261"/>
      <c r="M29" s="301"/>
      <c r="N29" s="304" t="s">
        <v>258</v>
      </c>
      <c r="O29" s="305">
        <f>N17</f>
        <v>-5.42</v>
      </c>
      <c r="P29" s="301" t="s">
        <v>257</v>
      </c>
      <c r="Q29" s="301"/>
      <c r="R29" s="309"/>
      <c r="S29" s="268"/>
    </row>
    <row r="30" ht="17.4" spans="1:19">
      <c r="A30" s="265">
        <v>5</v>
      </c>
      <c r="B30" s="265">
        <v>16</v>
      </c>
      <c r="C30" s="261"/>
      <c r="M30" s="301"/>
      <c r="N30" s="304" t="s">
        <v>259</v>
      </c>
      <c r="O30" s="305">
        <f>O27</f>
        <v>2.51749344349677</v>
      </c>
      <c r="P30" s="306" t="s">
        <v>260</v>
      </c>
      <c r="Q30" s="305">
        <f>O29</f>
        <v>-5.42</v>
      </c>
      <c r="R30" s="309"/>
      <c r="S30" s="268"/>
    </row>
    <row r="31" ht="17.4" spans="1:19">
      <c r="A31" s="265">
        <v>6</v>
      </c>
      <c r="B31" s="265">
        <v>16.2</v>
      </c>
      <c r="C31" s="261"/>
      <c r="M31" s="301" t="s">
        <v>261</v>
      </c>
      <c r="N31" s="305">
        <f>(LN(20)-O29)/O27</f>
        <v>3.34290136695039</v>
      </c>
      <c r="O31" s="301"/>
      <c r="P31" s="301"/>
      <c r="Q31" s="301"/>
      <c r="R31" s="309"/>
      <c r="S31" s="268"/>
    </row>
    <row r="32" ht="17.4" spans="1:19">
      <c r="A32" s="265">
        <v>7</v>
      </c>
      <c r="B32" s="265">
        <v>18.2</v>
      </c>
      <c r="C32" s="261"/>
      <c r="M32" s="301" t="s">
        <v>20</v>
      </c>
      <c r="N32" s="307">
        <f>EXP(N31)</f>
        <v>28.3011196352713</v>
      </c>
      <c r="O32" s="301"/>
      <c r="P32" s="308"/>
      <c r="Q32" s="301"/>
      <c r="R32" s="309"/>
      <c r="S32" s="268"/>
    </row>
    <row r="33" ht="18.6" spans="1:19">
      <c r="A33" s="265">
        <v>8</v>
      </c>
      <c r="B33" s="265">
        <v>19.9</v>
      </c>
      <c r="C33" s="261"/>
      <c r="M33" s="301" t="s">
        <v>262</v>
      </c>
      <c r="N33" s="307">
        <f ca="1">IF(N16="沙土",29.6-1.22*N32+0.017*N32*N32-0.0000744*N32*N32*N32,C19/(0.524*N32-7.606))</f>
        <v>7.00235131413219</v>
      </c>
      <c r="O33" s="301"/>
      <c r="P33" s="307"/>
      <c r="Q33" s="301"/>
      <c r="R33" s="309"/>
      <c r="S33" s="268"/>
    </row>
    <row r="34" ht="18.6" spans="1:19">
      <c r="A34" s="265">
        <v>9</v>
      </c>
      <c r="B34" s="265">
        <v>16.6</v>
      </c>
      <c r="C34" s="261"/>
      <c r="M34" s="301" t="s">
        <v>263</v>
      </c>
      <c r="N34" s="305">
        <f ca="1">LN(N33)</f>
        <v>1.94624599467174</v>
      </c>
      <c r="O34" s="301"/>
      <c r="P34" s="301"/>
      <c r="Q34" s="301"/>
      <c r="R34" s="309"/>
      <c r="S34" s="268"/>
    </row>
    <row r="35" ht="17.4" spans="1:19">
      <c r="A35" s="265">
        <v>10</v>
      </c>
      <c r="B35" s="265">
        <v>21.1</v>
      </c>
      <c r="C35" s="261"/>
      <c r="M35" s="301" t="s">
        <v>264</v>
      </c>
      <c r="N35" s="305">
        <f ca="1">(N34-O29)/O27</f>
        <v>2.92602390433244</v>
      </c>
      <c r="O35" s="301"/>
      <c r="P35" s="301"/>
      <c r="Q35" s="301"/>
      <c r="R35" s="309"/>
      <c r="S35" s="268"/>
    </row>
    <row r="36" ht="17.4" spans="1:19">
      <c r="A36" s="265">
        <v>11</v>
      </c>
      <c r="B36" s="265">
        <v>16.7</v>
      </c>
      <c r="C36" s="261"/>
      <c r="M36" s="301" t="s">
        <v>21</v>
      </c>
      <c r="N36" s="307">
        <f ca="1">EXP(N35)</f>
        <v>18.6533154858936</v>
      </c>
      <c r="O36" s="301"/>
      <c r="P36" s="301"/>
      <c r="Q36" s="301"/>
      <c r="R36" s="309"/>
      <c r="S36" s="268"/>
    </row>
    <row r="37" ht="17.4" spans="1:19">
      <c r="A37" s="265">
        <v>12</v>
      </c>
      <c r="B37" s="265">
        <v>17.6</v>
      </c>
      <c r="C37" s="261"/>
      <c r="M37" s="309"/>
      <c r="N37" s="309"/>
      <c r="O37" s="309"/>
      <c r="P37" s="309"/>
      <c r="Q37" s="309"/>
      <c r="R37" s="309"/>
      <c r="S37" s="268"/>
    </row>
    <row r="38" ht="17.4" spans="1:19">
      <c r="A38" s="265">
        <v>13</v>
      </c>
      <c r="B38" s="265">
        <v>17</v>
      </c>
      <c r="C38" s="261"/>
      <c r="M38" s="309"/>
      <c r="N38" s="309"/>
      <c r="O38" s="309"/>
      <c r="P38" s="309"/>
      <c r="Q38" s="309"/>
      <c r="R38" s="309"/>
      <c r="S38" s="268"/>
    </row>
    <row r="39" ht="17.4" spans="1:19">
      <c r="A39" s="265">
        <v>14</v>
      </c>
      <c r="B39" s="265">
        <v>17.9</v>
      </c>
      <c r="C39" s="261"/>
      <c r="M39" s="268"/>
      <c r="N39" s="268"/>
      <c r="O39" s="268"/>
      <c r="P39" s="268"/>
      <c r="Q39" s="268"/>
      <c r="R39" s="268"/>
      <c r="S39" s="268"/>
    </row>
    <row r="40" ht="17.4" spans="1:3">
      <c r="A40" s="265">
        <v>15</v>
      </c>
      <c r="B40" s="265">
        <v>17</v>
      </c>
      <c r="C40" s="261"/>
    </row>
    <row r="41" ht="17.4" spans="1:3">
      <c r="A41" s="265">
        <v>16</v>
      </c>
      <c r="B41" s="265">
        <v>20.5</v>
      </c>
      <c r="C41" s="261"/>
    </row>
    <row r="42" ht="17.4" spans="1:3">
      <c r="A42" s="265">
        <v>17</v>
      </c>
      <c r="B42" s="265">
        <v>21.1</v>
      </c>
      <c r="C42" s="261"/>
    </row>
    <row r="43" ht="17.4" spans="1:3">
      <c r="A43" s="265">
        <v>18</v>
      </c>
      <c r="B43" s="265">
        <v>18.2</v>
      </c>
      <c r="C43" s="261"/>
    </row>
    <row r="44" ht="17.4" spans="1:3">
      <c r="A44" s="265">
        <v>19</v>
      </c>
      <c r="B44" s="265">
        <v>23.5</v>
      </c>
      <c r="C44" s="261"/>
    </row>
    <row r="45" ht="17.4" spans="1:3">
      <c r="A45" s="265">
        <v>20</v>
      </c>
      <c r="B45" s="265">
        <v>20.5</v>
      </c>
      <c r="C45" s="261"/>
    </row>
    <row r="46" ht="17.4" spans="1:3">
      <c r="A46" s="265">
        <v>21</v>
      </c>
      <c r="B46" s="265">
        <v>17</v>
      </c>
      <c r="C46" s="261"/>
    </row>
    <row r="47" ht="17.4" spans="1:3">
      <c r="A47" s="265">
        <v>22</v>
      </c>
      <c r="B47" s="265">
        <v>17.5</v>
      </c>
      <c r="C47" s="261"/>
    </row>
    <row r="48" ht="17.4" spans="1:3">
      <c r="A48" s="265">
        <v>23</v>
      </c>
      <c r="B48" s="265">
        <v>16.8</v>
      </c>
      <c r="C48" s="261"/>
    </row>
    <row r="49" ht="17.4" spans="1:3">
      <c r="A49" s="265">
        <v>24</v>
      </c>
      <c r="B49" s="265">
        <v>20.1</v>
      </c>
      <c r="C49" s="261"/>
    </row>
    <row r="50" ht="17.4" spans="1:3">
      <c r="A50" s="265">
        <v>25</v>
      </c>
      <c r="B50" s="265">
        <v>17</v>
      </c>
      <c r="C50" s="261"/>
    </row>
    <row r="51" ht="17.4" spans="1:3">
      <c r="A51" s="265">
        <v>26</v>
      </c>
      <c r="B51" s="265">
        <v>20.5</v>
      </c>
      <c r="C51" s="261"/>
    </row>
    <row r="52" ht="17.4" spans="1:3">
      <c r="A52" s="265">
        <v>27</v>
      </c>
      <c r="B52" s="265">
        <v>16.4</v>
      </c>
      <c r="C52" s="261"/>
    </row>
    <row r="53" ht="17.4" spans="1:3">
      <c r="A53" s="265">
        <v>28</v>
      </c>
      <c r="B53" s="265">
        <v>24.9</v>
      </c>
      <c r="C53" s="261"/>
    </row>
    <row r="54" ht="17.4" spans="1:3">
      <c r="A54" s="265">
        <v>29</v>
      </c>
      <c r="B54" s="265">
        <v>17.3</v>
      </c>
      <c r="C54" s="261"/>
    </row>
    <row r="55" ht="17.4" spans="1:3">
      <c r="A55" s="265">
        <v>30</v>
      </c>
      <c r="B55" s="265">
        <v>17.4</v>
      </c>
      <c r="C55" s="261"/>
    </row>
    <row r="56" ht="17.4" spans="1:3">
      <c r="A56" s="266"/>
      <c r="B56" s="265"/>
      <c r="C56" s="261"/>
    </row>
    <row r="57" ht="17.4" spans="1:3">
      <c r="A57" s="266"/>
      <c r="B57" s="265"/>
      <c r="C57" s="261"/>
    </row>
    <row r="58" ht="17.4" spans="1:3">
      <c r="A58" s="266"/>
      <c r="B58" s="265"/>
      <c r="C58" s="261"/>
    </row>
    <row r="59" ht="17.4" spans="1:3">
      <c r="A59" s="266"/>
      <c r="B59" s="265"/>
      <c r="C59" s="261"/>
    </row>
    <row r="60" ht="17.4" spans="1:3">
      <c r="A60" s="267"/>
      <c r="B60" s="265"/>
      <c r="C60" s="261"/>
    </row>
    <row r="61" spans="1:3">
      <c r="A61" s="261"/>
      <c r="B61" s="261"/>
      <c r="C61" s="261"/>
    </row>
  </sheetData>
  <sheetProtection selectLockedCells="1"/>
  <protectedRanges>
    <protectedRange password="C635" sqref="M24:Q37 N3:X6 K18:M20 C12:H12 C16:H20" name="区域1"/>
  </protectedRanges>
  <mergeCells count="51">
    <mergeCell ref="A1:L1"/>
    <mergeCell ref="A3:B3"/>
    <mergeCell ref="C3:F3"/>
    <mergeCell ref="G3:I3"/>
    <mergeCell ref="J3:L3"/>
    <mergeCell ref="A4:B4"/>
    <mergeCell ref="C4:L4"/>
    <mergeCell ref="A5:B5"/>
    <mergeCell ref="C5:F5"/>
    <mergeCell ref="G5:I5"/>
    <mergeCell ref="J5:L5"/>
    <mergeCell ref="A6:B6"/>
    <mergeCell ref="C6:F6"/>
    <mergeCell ref="G6:I6"/>
    <mergeCell ref="J6:L6"/>
    <mergeCell ref="A7:B7"/>
    <mergeCell ref="C7:F7"/>
    <mergeCell ref="G7:I7"/>
    <mergeCell ref="J7:L7"/>
    <mergeCell ref="A9:B9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I18:J18"/>
    <mergeCell ref="K18:L18"/>
    <mergeCell ref="I19:J19"/>
    <mergeCell ref="K19:L19"/>
    <mergeCell ref="C20:D20"/>
    <mergeCell ref="E20:F20"/>
    <mergeCell ref="G20:H20"/>
    <mergeCell ref="I20:J20"/>
    <mergeCell ref="K20:L20"/>
    <mergeCell ref="C21:L21"/>
    <mergeCell ref="C22:L22"/>
    <mergeCell ref="C25:D25"/>
    <mergeCell ref="E25:F25"/>
    <mergeCell ref="G25:H25"/>
    <mergeCell ref="A10:A12"/>
    <mergeCell ref="A13:A20"/>
    <mergeCell ref="M10:M11"/>
    <mergeCell ref="A21:B22"/>
    <mergeCell ref="I9:L17"/>
  </mergeCells>
  <printOptions horizontalCentered="1" verticalCentered="1"/>
  <pageMargins left="0.748031496062992" right="0.748031496062992" top="0.78740157480315" bottom="0.984251968503937" header="0.511811023622047" footer="0.511811023622047"/>
  <pageSetup paperSize="9" orientation="portrait"/>
  <headerFooter alignWithMargins="0"/>
  <ignoredErrors>
    <ignoredError sqref="D19:G19" 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N29"/>
  <sheetViews>
    <sheetView topLeftCell="A16" workbookViewId="0">
      <selection activeCell="L23" sqref="L23"/>
    </sheetView>
  </sheetViews>
  <sheetFormatPr defaultColWidth="9" defaultRowHeight="15.6"/>
  <cols>
    <col min="1" max="5" width="9" style="158"/>
    <col min="6" max="6" width="9" style="158" hidden="1" customWidth="1"/>
    <col min="7" max="261" width="9" style="158"/>
    <col min="262" max="262" width="9" style="158" hidden="1" customWidth="1"/>
    <col min="263" max="517" width="9" style="158"/>
    <col min="518" max="518" width="9" style="158" hidden="1" customWidth="1"/>
    <col min="519" max="773" width="9" style="158"/>
    <col min="774" max="774" width="9" style="158" hidden="1" customWidth="1"/>
    <col min="775" max="1029" width="9" style="158"/>
    <col min="1030" max="1030" width="9" style="158" hidden="1" customWidth="1"/>
    <col min="1031" max="1285" width="9" style="158"/>
    <col min="1286" max="1286" width="9" style="158" hidden="1" customWidth="1"/>
    <col min="1287" max="1541" width="9" style="158"/>
    <col min="1542" max="1542" width="9" style="158" hidden="1" customWidth="1"/>
    <col min="1543" max="1797" width="9" style="158"/>
    <col min="1798" max="1798" width="9" style="158" hidden="1" customWidth="1"/>
    <col min="1799" max="2053" width="9" style="158"/>
    <col min="2054" max="2054" width="9" style="158" hidden="1" customWidth="1"/>
    <col min="2055" max="2309" width="9" style="158"/>
    <col min="2310" max="2310" width="9" style="158" hidden="1" customWidth="1"/>
    <col min="2311" max="2565" width="9" style="158"/>
    <col min="2566" max="2566" width="9" style="158" hidden="1" customWidth="1"/>
    <col min="2567" max="2821" width="9" style="158"/>
    <col min="2822" max="2822" width="9" style="158" hidden="1" customWidth="1"/>
    <col min="2823" max="3077" width="9" style="158"/>
    <col min="3078" max="3078" width="9" style="158" hidden="1" customWidth="1"/>
    <col min="3079" max="3333" width="9" style="158"/>
    <col min="3334" max="3334" width="9" style="158" hidden="1" customWidth="1"/>
    <col min="3335" max="3589" width="9" style="158"/>
    <col min="3590" max="3590" width="9" style="158" hidden="1" customWidth="1"/>
    <col min="3591" max="3845" width="9" style="158"/>
    <col min="3846" max="3846" width="9" style="158" hidden="1" customWidth="1"/>
    <col min="3847" max="4101" width="9" style="158"/>
    <col min="4102" max="4102" width="9" style="158" hidden="1" customWidth="1"/>
    <col min="4103" max="4357" width="9" style="158"/>
    <col min="4358" max="4358" width="9" style="158" hidden="1" customWidth="1"/>
    <col min="4359" max="4613" width="9" style="158"/>
    <col min="4614" max="4614" width="9" style="158" hidden="1" customWidth="1"/>
    <col min="4615" max="4869" width="9" style="158"/>
    <col min="4870" max="4870" width="9" style="158" hidden="1" customWidth="1"/>
    <col min="4871" max="5125" width="9" style="158"/>
    <col min="5126" max="5126" width="9" style="158" hidden="1" customWidth="1"/>
    <col min="5127" max="5381" width="9" style="158"/>
    <col min="5382" max="5382" width="9" style="158" hidden="1" customWidth="1"/>
    <col min="5383" max="5637" width="9" style="158"/>
    <col min="5638" max="5638" width="9" style="158" hidden="1" customWidth="1"/>
    <col min="5639" max="5893" width="9" style="158"/>
    <col min="5894" max="5894" width="9" style="158" hidden="1" customWidth="1"/>
    <col min="5895" max="6149" width="9" style="158"/>
    <col min="6150" max="6150" width="9" style="158" hidden="1" customWidth="1"/>
    <col min="6151" max="6405" width="9" style="158"/>
    <col min="6406" max="6406" width="9" style="158" hidden="1" customWidth="1"/>
    <col min="6407" max="6661" width="9" style="158"/>
    <col min="6662" max="6662" width="9" style="158" hidden="1" customWidth="1"/>
    <col min="6663" max="6917" width="9" style="158"/>
    <col min="6918" max="6918" width="9" style="158" hidden="1" customWidth="1"/>
    <col min="6919" max="7173" width="9" style="158"/>
    <col min="7174" max="7174" width="9" style="158" hidden="1" customWidth="1"/>
    <col min="7175" max="7429" width="9" style="158"/>
    <col min="7430" max="7430" width="9" style="158" hidden="1" customWidth="1"/>
    <col min="7431" max="7685" width="9" style="158"/>
    <col min="7686" max="7686" width="9" style="158" hidden="1" customWidth="1"/>
    <col min="7687" max="7941" width="9" style="158"/>
    <col min="7942" max="7942" width="9" style="158" hidden="1" customWidth="1"/>
    <col min="7943" max="8197" width="9" style="158"/>
    <col min="8198" max="8198" width="9" style="158" hidden="1" customWidth="1"/>
    <col min="8199" max="8453" width="9" style="158"/>
    <col min="8454" max="8454" width="9" style="158" hidden="1" customWidth="1"/>
    <col min="8455" max="8709" width="9" style="158"/>
    <col min="8710" max="8710" width="9" style="158" hidden="1" customWidth="1"/>
    <col min="8711" max="8965" width="9" style="158"/>
    <col min="8966" max="8966" width="9" style="158" hidden="1" customWidth="1"/>
    <col min="8967" max="9221" width="9" style="158"/>
    <col min="9222" max="9222" width="9" style="158" hidden="1" customWidth="1"/>
    <col min="9223" max="9477" width="9" style="158"/>
    <col min="9478" max="9478" width="9" style="158" hidden="1" customWidth="1"/>
    <col min="9479" max="9733" width="9" style="158"/>
    <col min="9734" max="9734" width="9" style="158" hidden="1" customWidth="1"/>
    <col min="9735" max="9989" width="9" style="158"/>
    <col min="9990" max="9990" width="9" style="158" hidden="1" customWidth="1"/>
    <col min="9991" max="10245" width="9" style="158"/>
    <col min="10246" max="10246" width="9" style="158" hidden="1" customWidth="1"/>
    <col min="10247" max="10501" width="9" style="158"/>
    <col min="10502" max="10502" width="9" style="158" hidden="1" customWidth="1"/>
    <col min="10503" max="10757" width="9" style="158"/>
    <col min="10758" max="10758" width="9" style="158" hidden="1" customWidth="1"/>
    <col min="10759" max="11013" width="9" style="158"/>
    <col min="11014" max="11014" width="9" style="158" hidden="1" customWidth="1"/>
    <col min="11015" max="11269" width="9" style="158"/>
    <col min="11270" max="11270" width="9" style="158" hidden="1" customWidth="1"/>
    <col min="11271" max="11525" width="9" style="158"/>
    <col min="11526" max="11526" width="9" style="158" hidden="1" customWidth="1"/>
    <col min="11527" max="11781" width="9" style="158"/>
    <col min="11782" max="11782" width="9" style="158" hidden="1" customWidth="1"/>
    <col min="11783" max="12037" width="9" style="158"/>
    <col min="12038" max="12038" width="9" style="158" hidden="1" customWidth="1"/>
    <col min="12039" max="12293" width="9" style="158"/>
    <col min="12294" max="12294" width="9" style="158" hidden="1" customWidth="1"/>
    <col min="12295" max="12549" width="9" style="158"/>
    <col min="12550" max="12550" width="9" style="158" hidden="1" customWidth="1"/>
    <col min="12551" max="12805" width="9" style="158"/>
    <col min="12806" max="12806" width="9" style="158" hidden="1" customWidth="1"/>
    <col min="12807" max="13061" width="9" style="158"/>
    <col min="13062" max="13062" width="9" style="158" hidden="1" customWidth="1"/>
    <col min="13063" max="13317" width="9" style="158"/>
    <col min="13318" max="13318" width="9" style="158" hidden="1" customWidth="1"/>
    <col min="13319" max="13573" width="9" style="158"/>
    <col min="13574" max="13574" width="9" style="158" hidden="1" customWidth="1"/>
    <col min="13575" max="13829" width="9" style="158"/>
    <col min="13830" max="13830" width="9" style="158" hidden="1" customWidth="1"/>
    <col min="13831" max="14085" width="9" style="158"/>
    <col min="14086" max="14086" width="9" style="158" hidden="1" customWidth="1"/>
    <col min="14087" max="14341" width="9" style="158"/>
    <col min="14342" max="14342" width="9" style="158" hidden="1" customWidth="1"/>
    <col min="14343" max="14597" width="9" style="158"/>
    <col min="14598" max="14598" width="9" style="158" hidden="1" customWidth="1"/>
    <col min="14599" max="14853" width="9" style="158"/>
    <col min="14854" max="14854" width="9" style="158" hidden="1" customWidth="1"/>
    <col min="14855" max="15109" width="9" style="158"/>
    <col min="15110" max="15110" width="9" style="158" hidden="1" customWidth="1"/>
    <col min="15111" max="15365" width="9" style="158"/>
    <col min="15366" max="15366" width="9" style="158" hidden="1" customWidth="1"/>
    <col min="15367" max="15621" width="9" style="158"/>
    <col min="15622" max="15622" width="9" style="158" hidden="1" customWidth="1"/>
    <col min="15623" max="15877" width="9" style="158"/>
    <col min="15878" max="15878" width="9" style="158" hidden="1" customWidth="1"/>
    <col min="15879" max="16133" width="9" style="158"/>
    <col min="16134" max="16134" width="9" style="158" hidden="1" customWidth="1"/>
    <col min="16135" max="16384" width="9" style="158"/>
  </cols>
  <sheetData>
    <row r="1" ht="30.75" customHeight="1" spans="1:10">
      <c r="A1" s="159" t="s">
        <v>130</v>
      </c>
      <c r="B1" s="159"/>
      <c r="C1" s="159"/>
      <c r="D1" s="159"/>
      <c r="E1" s="159"/>
      <c r="F1" s="159"/>
      <c r="G1" s="159"/>
      <c r="H1" s="159"/>
      <c r="I1" s="159"/>
      <c r="J1" s="159"/>
    </row>
    <row r="2" ht="19.5" customHeight="1" spans="2:10">
      <c r="B2" s="160"/>
      <c r="C2" s="160"/>
      <c r="D2" s="160"/>
      <c r="E2" s="160"/>
      <c r="F2" s="160"/>
      <c r="G2" s="160"/>
      <c r="H2" s="161" t="s">
        <v>265</v>
      </c>
      <c r="I2" s="208" t="str">
        <f>报告!E2</f>
        <v>J02- 0039</v>
      </c>
      <c r="J2" s="160"/>
    </row>
    <row r="3" ht="27" customHeight="1" spans="1:10">
      <c r="A3" s="162" t="s">
        <v>92</v>
      </c>
      <c r="B3" s="163" t="str">
        <f>报告!B3</f>
        <v>中铁六局呼铁局建设有限公司</v>
      </c>
      <c r="C3" s="163"/>
      <c r="D3" s="163"/>
      <c r="E3" s="163"/>
      <c r="F3" s="163"/>
      <c r="G3" s="162" t="s">
        <v>132</v>
      </c>
      <c r="H3" s="162"/>
      <c r="I3" s="567" t="str">
        <f>报告!E3</f>
        <v>02</v>
      </c>
      <c r="J3" s="209"/>
    </row>
    <row r="4" ht="27" customHeight="1" spans="1:10">
      <c r="A4" s="162" t="s">
        <v>97</v>
      </c>
      <c r="B4" s="163" t="str">
        <f>报告!B4</f>
        <v>内蒙古广誉建设监理有限责任公司</v>
      </c>
      <c r="C4" s="163"/>
      <c r="D4" s="163"/>
      <c r="E4" s="163"/>
      <c r="F4" s="163"/>
      <c r="G4" s="163"/>
      <c r="H4" s="163"/>
      <c r="I4" s="163"/>
      <c r="J4" s="163"/>
    </row>
    <row r="5" ht="27" customHeight="1" spans="1:10">
      <c r="A5" s="162" t="s">
        <v>100</v>
      </c>
      <c r="B5" s="163" t="str">
        <f>报告!B5</f>
        <v>土</v>
      </c>
      <c r="C5" s="163"/>
      <c r="D5" s="163"/>
      <c r="E5" s="163"/>
      <c r="F5" s="163"/>
      <c r="G5" s="162" t="s">
        <v>102</v>
      </c>
      <c r="H5" s="162"/>
      <c r="I5" s="210" t="str">
        <f>报告!E5</f>
        <v>JTJ  051-93</v>
      </c>
      <c r="J5" s="210"/>
    </row>
    <row r="6" ht="27" customHeight="1" spans="1:10">
      <c r="A6" s="162" t="s">
        <v>106</v>
      </c>
      <c r="B6" s="163" t="str">
        <f>报告!B6</f>
        <v>K3+600挖方段</v>
      </c>
      <c r="C6" s="163"/>
      <c r="D6" s="163"/>
      <c r="E6" s="163"/>
      <c r="F6" s="163"/>
      <c r="G6" s="162" t="s">
        <v>108</v>
      </c>
      <c r="H6" s="162"/>
      <c r="I6" s="210" t="str">
        <f>报告!E6</f>
        <v>2007.11.1</v>
      </c>
      <c r="J6" s="210"/>
    </row>
    <row r="7" ht="27" customHeight="1" spans="1:10">
      <c r="A7" s="162" t="s">
        <v>112</v>
      </c>
      <c r="B7" s="164"/>
      <c r="C7" s="164"/>
      <c r="D7" s="164"/>
      <c r="E7" s="164"/>
      <c r="F7" s="164"/>
      <c r="G7" s="162" t="s">
        <v>133</v>
      </c>
      <c r="H7" s="162"/>
      <c r="I7" s="164"/>
      <c r="J7" s="164"/>
    </row>
    <row r="8" ht="6" customHeight="1" spans="1:10">
      <c r="A8" s="165"/>
      <c r="B8" s="166"/>
      <c r="C8" s="166"/>
      <c r="D8" s="166"/>
      <c r="E8" s="166"/>
      <c r="F8" s="166"/>
      <c r="G8" s="166"/>
      <c r="H8" s="166"/>
      <c r="I8" s="166"/>
      <c r="J8" s="166"/>
    </row>
    <row r="9" ht="21.75" customHeight="1" spans="1:10">
      <c r="A9" s="167" t="s">
        <v>134</v>
      </c>
      <c r="B9" s="168"/>
      <c r="C9" s="169">
        <v>1000</v>
      </c>
      <c r="D9" s="170" t="s">
        <v>135</v>
      </c>
      <c r="E9" s="169"/>
      <c r="F9" s="169"/>
      <c r="G9" s="169" t="s">
        <v>136</v>
      </c>
      <c r="H9" s="169"/>
      <c r="I9" s="169">
        <v>500</v>
      </c>
      <c r="J9" s="211" t="s">
        <v>135</v>
      </c>
    </row>
    <row r="10" ht="21.75" customHeight="1" spans="1:10">
      <c r="A10" s="171" t="s">
        <v>138</v>
      </c>
      <c r="B10" s="172"/>
      <c r="C10" s="173">
        <f>C21</f>
        <v>1000</v>
      </c>
      <c r="D10" s="174" t="s">
        <v>135</v>
      </c>
      <c r="E10" s="173" t="s">
        <v>139</v>
      </c>
      <c r="F10" s="173"/>
      <c r="G10" s="173"/>
      <c r="H10" s="173"/>
      <c r="I10" s="173">
        <f>D21</f>
        <v>100</v>
      </c>
      <c r="J10" s="212" t="s">
        <v>140</v>
      </c>
    </row>
    <row r="11" ht="21.75" customHeight="1" spans="1:10">
      <c r="A11" s="175" t="s">
        <v>142</v>
      </c>
      <c r="B11" s="176"/>
      <c r="C11" s="176"/>
      <c r="D11" s="176"/>
      <c r="E11" s="177"/>
      <c r="F11" s="175" t="s">
        <v>143</v>
      </c>
      <c r="G11" s="176"/>
      <c r="H11" s="176"/>
      <c r="I11" s="176"/>
      <c r="J11" s="177"/>
    </row>
    <row r="12" ht="15" customHeight="1" spans="1:14">
      <c r="A12" s="178" t="s">
        <v>117</v>
      </c>
      <c r="B12" s="178" t="s">
        <v>144</v>
      </c>
      <c r="C12" s="179" t="s">
        <v>145</v>
      </c>
      <c r="D12" s="179" t="s">
        <v>145</v>
      </c>
      <c r="E12" s="180" t="s">
        <v>117</v>
      </c>
      <c r="F12" s="181"/>
      <c r="G12" s="178" t="s">
        <v>144</v>
      </c>
      <c r="H12" s="178" t="s">
        <v>146</v>
      </c>
      <c r="I12" s="179" t="s">
        <v>145</v>
      </c>
      <c r="J12" s="178" t="s">
        <v>147</v>
      </c>
      <c r="M12" s="158">
        <f t="shared" ref="M12:M17" si="0">A16</f>
        <v>60</v>
      </c>
      <c r="N12" s="158">
        <f t="shared" ref="N12:N17" si="1">100-D16</f>
        <v>0</v>
      </c>
    </row>
    <row r="13" ht="15" customHeight="1" spans="1:14">
      <c r="A13" s="182"/>
      <c r="B13" s="182"/>
      <c r="C13" s="179" t="s">
        <v>149</v>
      </c>
      <c r="D13" s="179" t="s">
        <v>150</v>
      </c>
      <c r="E13" s="183"/>
      <c r="F13" s="179"/>
      <c r="G13" s="182"/>
      <c r="H13" s="182"/>
      <c r="I13" s="179" t="s">
        <v>151</v>
      </c>
      <c r="J13" s="182"/>
      <c r="M13" s="158">
        <f t="shared" si="0"/>
        <v>40</v>
      </c>
      <c r="N13" s="158">
        <f t="shared" si="1"/>
        <v>0</v>
      </c>
    </row>
    <row r="14" ht="15" customHeight="1" spans="1:14">
      <c r="A14" s="182"/>
      <c r="B14" s="182"/>
      <c r="C14" s="179" t="s">
        <v>152</v>
      </c>
      <c r="D14" s="179" t="s">
        <v>153</v>
      </c>
      <c r="E14" s="183"/>
      <c r="F14" s="179"/>
      <c r="G14" s="182"/>
      <c r="H14" s="182"/>
      <c r="I14" s="179" t="s">
        <v>154</v>
      </c>
      <c r="J14" s="182"/>
      <c r="M14" s="158">
        <f t="shared" si="0"/>
        <v>20</v>
      </c>
      <c r="N14" s="158">
        <f t="shared" si="1"/>
        <v>0</v>
      </c>
    </row>
    <row r="15" ht="15" customHeight="1" spans="1:14">
      <c r="A15" s="184"/>
      <c r="B15" s="184"/>
      <c r="C15" s="185" t="s">
        <v>155</v>
      </c>
      <c r="D15" s="186" t="s">
        <v>156</v>
      </c>
      <c r="E15" s="187"/>
      <c r="F15" s="186"/>
      <c r="G15" s="184"/>
      <c r="H15" s="184"/>
      <c r="I15" s="186" t="s">
        <v>157</v>
      </c>
      <c r="J15" s="184"/>
      <c r="M15" s="158">
        <f t="shared" si="0"/>
        <v>10</v>
      </c>
      <c r="N15" s="158">
        <f t="shared" si="1"/>
        <v>0</v>
      </c>
    </row>
    <row r="16" ht="21.75" customHeight="1" spans="1:14">
      <c r="A16" s="188">
        <v>60</v>
      </c>
      <c r="B16" s="189"/>
      <c r="C16" s="189">
        <f>C9-B16</f>
        <v>1000</v>
      </c>
      <c r="D16" s="189">
        <f>C16/C9*100</f>
        <v>100</v>
      </c>
      <c r="E16" s="190">
        <v>2</v>
      </c>
      <c r="F16" s="191"/>
      <c r="G16" s="192">
        <v>0</v>
      </c>
      <c r="H16" s="193">
        <f>I9-G16</f>
        <v>500</v>
      </c>
      <c r="I16" s="193">
        <f>H16/I9*100</f>
        <v>100</v>
      </c>
      <c r="J16" s="193">
        <f>I16*I10*0.01</f>
        <v>100</v>
      </c>
      <c r="L16" s="213">
        <f t="shared" ref="L16:L21" si="2">100-I16</f>
        <v>0</v>
      </c>
      <c r="M16" s="158">
        <f t="shared" si="0"/>
        <v>5</v>
      </c>
      <c r="N16" s="158">
        <f t="shared" si="1"/>
        <v>0</v>
      </c>
    </row>
    <row r="17" ht="21.75" customHeight="1" spans="1:14">
      <c r="A17" s="188">
        <v>40</v>
      </c>
      <c r="B17" s="189"/>
      <c r="C17" s="189">
        <f>C9-B17</f>
        <v>1000</v>
      </c>
      <c r="D17" s="189">
        <f>C17/C9*100</f>
        <v>100</v>
      </c>
      <c r="E17" s="190">
        <v>1</v>
      </c>
      <c r="F17" s="191"/>
      <c r="G17" s="192">
        <v>14</v>
      </c>
      <c r="H17" s="193">
        <f>I9-G17</f>
        <v>486</v>
      </c>
      <c r="I17" s="193">
        <f>H17/I9*100</f>
        <v>97.2</v>
      </c>
      <c r="J17" s="193">
        <f>I17*I10/100</f>
        <v>97.2</v>
      </c>
      <c r="L17" s="213">
        <f t="shared" si="2"/>
        <v>2.8</v>
      </c>
      <c r="M17" s="158">
        <f t="shared" si="0"/>
        <v>2</v>
      </c>
      <c r="N17" s="158">
        <f t="shared" si="1"/>
        <v>0</v>
      </c>
    </row>
    <row r="18" ht="21.75" customHeight="1" spans="1:14">
      <c r="A18" s="188">
        <v>20</v>
      </c>
      <c r="B18" s="189"/>
      <c r="C18" s="189">
        <f>C9-B18</f>
        <v>1000</v>
      </c>
      <c r="D18" s="189">
        <f>C18/C9*100</f>
        <v>100</v>
      </c>
      <c r="E18" s="190">
        <v>0.5</v>
      </c>
      <c r="F18" s="191"/>
      <c r="G18" s="192">
        <v>63</v>
      </c>
      <c r="H18" s="193">
        <f>I9-G18</f>
        <v>437</v>
      </c>
      <c r="I18" s="193">
        <f>H18/I9*100</f>
        <v>87.4</v>
      </c>
      <c r="J18" s="193">
        <f>I18*I10*0.01</f>
        <v>87.4</v>
      </c>
      <c r="L18" s="213">
        <f t="shared" si="2"/>
        <v>12.6</v>
      </c>
      <c r="M18" s="158">
        <f>E17</f>
        <v>1</v>
      </c>
      <c r="N18" s="213">
        <f>100-J17</f>
        <v>2.8</v>
      </c>
    </row>
    <row r="19" ht="21.75" customHeight="1" spans="1:14">
      <c r="A19" s="188">
        <v>10</v>
      </c>
      <c r="B19" s="189"/>
      <c r="C19" s="189">
        <f>C9-B19</f>
        <v>1000</v>
      </c>
      <c r="D19" s="189">
        <f>C19/C9*100</f>
        <v>100</v>
      </c>
      <c r="E19" s="190">
        <v>0.25</v>
      </c>
      <c r="F19" s="191"/>
      <c r="G19" s="192">
        <v>95.4</v>
      </c>
      <c r="H19" s="193">
        <f>I9-G19</f>
        <v>404.6</v>
      </c>
      <c r="I19" s="193">
        <f>H19/I9*100</f>
        <v>80.92</v>
      </c>
      <c r="J19" s="193">
        <f>I19*I10*0.01</f>
        <v>80.92</v>
      </c>
      <c r="L19" s="213">
        <f t="shared" si="2"/>
        <v>19.08</v>
      </c>
      <c r="M19" s="158">
        <f t="shared" ref="M19:M22" si="3">E18</f>
        <v>0.5</v>
      </c>
      <c r="N19" s="213">
        <f t="shared" ref="N19:N22" si="4">100-J18</f>
        <v>12.6</v>
      </c>
    </row>
    <row r="20" ht="21.75" customHeight="1" spans="1:14">
      <c r="A20" s="188">
        <v>5</v>
      </c>
      <c r="B20" s="189"/>
      <c r="C20" s="189">
        <f>C9-B20</f>
        <v>1000</v>
      </c>
      <c r="D20" s="189">
        <f>C20/C9*100</f>
        <v>100</v>
      </c>
      <c r="E20" s="190">
        <v>0.074</v>
      </c>
      <c r="F20" s="191"/>
      <c r="G20" s="192">
        <v>353.5</v>
      </c>
      <c r="H20" s="193">
        <f>I9-G20</f>
        <v>146.5</v>
      </c>
      <c r="I20" s="193">
        <f>H20/I9*100</f>
        <v>29.3</v>
      </c>
      <c r="J20" s="193">
        <f>I20*I10*0.01</f>
        <v>29.3</v>
      </c>
      <c r="L20" s="213">
        <f t="shared" si="2"/>
        <v>70.7</v>
      </c>
      <c r="M20" s="158">
        <f t="shared" si="3"/>
        <v>0.25</v>
      </c>
      <c r="N20" s="213">
        <f t="shared" si="4"/>
        <v>19.08</v>
      </c>
    </row>
    <row r="21" ht="21.75" customHeight="1" spans="1:14">
      <c r="A21" s="194">
        <v>2</v>
      </c>
      <c r="B21" s="194"/>
      <c r="C21" s="194">
        <f>C9-B21</f>
        <v>1000</v>
      </c>
      <c r="D21" s="194">
        <f>C21/C9*100</f>
        <v>100</v>
      </c>
      <c r="E21" s="194" t="s">
        <v>158</v>
      </c>
      <c r="F21" s="194"/>
      <c r="G21" s="192">
        <v>497.5</v>
      </c>
      <c r="H21" s="194">
        <v>0</v>
      </c>
      <c r="I21" s="194">
        <v>0</v>
      </c>
      <c r="J21" s="194">
        <v>0</v>
      </c>
      <c r="L21" s="213">
        <f t="shared" si="2"/>
        <v>100</v>
      </c>
      <c r="M21" s="158">
        <f t="shared" si="3"/>
        <v>0.074</v>
      </c>
      <c r="N21" s="213">
        <f t="shared" si="4"/>
        <v>70.7</v>
      </c>
    </row>
    <row r="22" ht="21.75" customHeight="1" spans="1:14">
      <c r="A22" s="195"/>
      <c r="B22" s="195"/>
      <c r="C22" s="196"/>
      <c r="D22" s="196"/>
      <c r="E22" s="197"/>
      <c r="F22" s="197"/>
      <c r="G22" s="197"/>
      <c r="H22" s="197"/>
      <c r="I22" s="197"/>
      <c r="J22" s="197"/>
      <c r="M22" s="158" t="str">
        <f t="shared" si="3"/>
        <v>&lt;0.074</v>
      </c>
      <c r="N22" s="213">
        <f t="shared" si="4"/>
        <v>100</v>
      </c>
    </row>
    <row r="23" ht="66" customHeight="1" spans="1:14">
      <c r="A23" s="182"/>
      <c r="B23" s="198"/>
      <c r="C23" s="198"/>
      <c r="D23" s="198"/>
      <c r="E23" s="198"/>
      <c r="F23" s="198"/>
      <c r="G23" s="198"/>
      <c r="H23" s="198"/>
      <c r="I23" s="198"/>
      <c r="J23" s="214"/>
      <c r="N23" s="213"/>
    </row>
    <row r="24" ht="66" customHeight="1" spans="1:14">
      <c r="A24" s="182"/>
      <c r="B24" s="198"/>
      <c r="C24" s="198"/>
      <c r="D24" s="198"/>
      <c r="E24" s="199"/>
      <c r="F24" s="199"/>
      <c r="G24" s="199"/>
      <c r="H24" s="198"/>
      <c r="I24" s="198"/>
      <c r="J24" s="214"/>
      <c r="N24" s="213"/>
    </row>
    <row r="25" ht="66" customHeight="1" spans="1:14">
      <c r="A25" s="182"/>
      <c r="B25" s="198"/>
      <c r="C25" s="198"/>
      <c r="D25" s="198"/>
      <c r="E25" s="199"/>
      <c r="F25" s="199"/>
      <c r="G25" s="199"/>
      <c r="H25" s="198"/>
      <c r="I25" s="198"/>
      <c r="J25" s="214"/>
      <c r="N25" s="213"/>
    </row>
    <row r="26" ht="42" customHeight="1" spans="1:10">
      <c r="A26" s="200" t="s">
        <v>266</v>
      </c>
      <c r="B26" s="201" t="s">
        <v>159</v>
      </c>
      <c r="C26" s="202"/>
      <c r="D26" s="202"/>
      <c r="E26" s="202"/>
      <c r="F26" s="202"/>
      <c r="G26" s="202"/>
      <c r="H26" s="202"/>
      <c r="I26" s="202"/>
      <c r="J26" s="215"/>
    </row>
    <row r="27" ht="42" customHeight="1" spans="1:10">
      <c r="A27" s="203"/>
      <c r="B27" s="204" t="s">
        <v>160</v>
      </c>
      <c r="C27" s="205"/>
      <c r="D27" s="205"/>
      <c r="E27" s="205"/>
      <c r="F27" s="205"/>
      <c r="G27" s="205"/>
      <c r="H27" s="205"/>
      <c r="I27" s="205"/>
      <c r="J27" s="216"/>
    </row>
    <row r="28" spans="1:10">
      <c r="A28" s="206"/>
      <c r="B28" s="206"/>
      <c r="C28" s="206"/>
      <c r="D28" s="206"/>
      <c r="E28" s="206"/>
      <c r="F28" s="206"/>
      <c r="G28" s="206"/>
      <c r="H28" s="206"/>
      <c r="I28" s="206"/>
      <c r="J28" s="206"/>
    </row>
    <row r="29" ht="17.4" spans="1:1">
      <c r="A29" s="207"/>
    </row>
  </sheetData>
  <mergeCells count="34">
    <mergeCell ref="A1:J1"/>
    <mergeCell ref="B3:F3"/>
    <mergeCell ref="G3:H3"/>
    <mergeCell ref="I3:J3"/>
    <mergeCell ref="B4:J4"/>
    <mergeCell ref="B5:F5"/>
    <mergeCell ref="G5:H5"/>
    <mergeCell ref="I5:J5"/>
    <mergeCell ref="B6:F6"/>
    <mergeCell ref="G6:H6"/>
    <mergeCell ref="I6:J6"/>
    <mergeCell ref="B7:F7"/>
    <mergeCell ref="G7:H7"/>
    <mergeCell ref="I7:J7"/>
    <mergeCell ref="E10:H10"/>
    <mergeCell ref="A11:E11"/>
    <mergeCell ref="F11:J11"/>
    <mergeCell ref="E16:F16"/>
    <mergeCell ref="E17:F17"/>
    <mergeCell ref="E18:F18"/>
    <mergeCell ref="E19:F19"/>
    <mergeCell ref="E20:F20"/>
    <mergeCell ref="E21:F21"/>
    <mergeCell ref="A22:B22"/>
    <mergeCell ref="E22:F22"/>
    <mergeCell ref="B26:J26"/>
    <mergeCell ref="B27:J27"/>
    <mergeCell ref="A12:A15"/>
    <mergeCell ref="A26:A27"/>
    <mergeCell ref="B12:B15"/>
    <mergeCell ref="G12:G15"/>
    <mergeCell ref="H12:H15"/>
    <mergeCell ref="J12:J15"/>
    <mergeCell ref="E12:F15"/>
  </mergeCells>
  <pageMargins left="0.748031496062992" right="0.748031496062992" top="0.46" bottom="0.393700787401575" header="0.511811023622047" footer="0.39"/>
  <pageSetup paperSize="9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J20"/>
  <sheetViews>
    <sheetView workbookViewId="0">
      <selection activeCell="J11" sqref="J11:J12"/>
    </sheetView>
  </sheetViews>
  <sheetFormatPr defaultColWidth="9" defaultRowHeight="15.6"/>
  <cols>
    <col min="1" max="1" width="6.625" customWidth="1"/>
    <col min="2" max="2" width="9.625" customWidth="1"/>
    <col min="3" max="3" width="6.625" customWidth="1"/>
    <col min="4" max="8" width="8.125" customWidth="1"/>
    <col min="9" max="10" width="8.625" customWidth="1"/>
  </cols>
  <sheetData>
    <row r="1" ht="50.1" customHeight="1" spans="1:10">
      <c r="A1" s="139" t="s">
        <v>267</v>
      </c>
      <c r="B1" s="139"/>
      <c r="C1" s="139"/>
      <c r="D1" s="139"/>
      <c r="E1" s="139"/>
      <c r="F1" s="139"/>
      <c r="G1" s="139"/>
      <c r="H1" s="139"/>
      <c r="I1" s="139"/>
      <c r="J1" s="139"/>
    </row>
    <row r="2" ht="30" customHeight="1" spans="1:10">
      <c r="A2" s="140" t="s">
        <v>268</v>
      </c>
      <c r="B2" s="140"/>
      <c r="C2" s="140"/>
      <c r="D2" s="140"/>
      <c r="E2" s="140"/>
      <c r="F2" s="140"/>
      <c r="G2" s="140"/>
      <c r="H2" s="140"/>
      <c r="I2" s="140"/>
      <c r="J2" s="140"/>
    </row>
    <row r="3" ht="30" customHeight="1" spans="1:10">
      <c r="A3" s="141" t="s">
        <v>92</v>
      </c>
      <c r="B3" s="141"/>
      <c r="C3" s="141"/>
      <c r="D3" s="142" t="str">
        <f>报告!B3</f>
        <v>中铁六局呼铁局建设有限公司</v>
      </c>
      <c r="E3" s="143"/>
      <c r="F3" s="144"/>
      <c r="G3" s="141" t="s">
        <v>220</v>
      </c>
      <c r="H3" s="141"/>
      <c r="I3" s="153" t="s">
        <v>269</v>
      </c>
      <c r="J3" s="154"/>
    </row>
    <row r="4" ht="30" customHeight="1" spans="1:10">
      <c r="A4" s="141" t="s">
        <v>97</v>
      </c>
      <c r="B4" s="141"/>
      <c r="C4" s="141"/>
      <c r="D4" s="142" t="str">
        <f>报告!B4</f>
        <v>内蒙古广誉建设监理有限责任公司</v>
      </c>
      <c r="E4" s="143"/>
      <c r="F4" s="143"/>
      <c r="G4" s="143"/>
      <c r="H4" s="143"/>
      <c r="I4" s="143"/>
      <c r="J4" s="144"/>
    </row>
    <row r="5" ht="30" customHeight="1" spans="1:10">
      <c r="A5" s="141" t="s">
        <v>186</v>
      </c>
      <c r="B5" s="141"/>
      <c r="C5" s="141"/>
      <c r="D5" s="145" t="str">
        <f>报告!B5</f>
        <v>土</v>
      </c>
      <c r="E5" s="145"/>
      <c r="F5" s="145"/>
      <c r="G5" s="141" t="s">
        <v>223</v>
      </c>
      <c r="H5" s="141"/>
      <c r="I5" s="155" t="str">
        <f>报告!E5</f>
        <v>JTJ  051-93</v>
      </c>
      <c r="J5" s="155"/>
    </row>
    <row r="6" ht="30" customHeight="1" spans="1:10">
      <c r="A6" s="141" t="s">
        <v>187</v>
      </c>
      <c r="B6" s="141"/>
      <c r="C6" s="141"/>
      <c r="D6" s="145" t="str">
        <f>报告!B6</f>
        <v>K3+600挖方段</v>
      </c>
      <c r="E6" s="145"/>
      <c r="F6" s="145"/>
      <c r="G6" s="141" t="s">
        <v>225</v>
      </c>
      <c r="H6" s="141"/>
      <c r="I6" s="145" t="str">
        <f>报告!E6</f>
        <v>2007.11.1</v>
      </c>
      <c r="J6" s="145"/>
    </row>
    <row r="7" ht="30" customHeight="1" spans="1:10">
      <c r="A7" s="141" t="s">
        <v>165</v>
      </c>
      <c r="B7" s="141"/>
      <c r="C7" s="141"/>
      <c r="D7" s="141"/>
      <c r="E7" s="141"/>
      <c r="F7" s="141"/>
      <c r="G7" s="141" t="s">
        <v>227</v>
      </c>
      <c r="H7" s="141"/>
      <c r="I7" s="141"/>
      <c r="J7" s="141"/>
    </row>
    <row r="8" ht="30" customHeight="1" spans="1:9">
      <c r="A8" s="146"/>
      <c r="B8" s="146"/>
      <c r="C8" s="146"/>
      <c r="D8" s="146"/>
      <c r="E8" s="146"/>
      <c r="F8" s="146"/>
      <c r="G8" s="147"/>
      <c r="H8" s="147"/>
      <c r="I8" s="147"/>
    </row>
    <row r="9" ht="30" customHeight="1" spans="1:10">
      <c r="A9" s="148" t="s">
        <v>270</v>
      </c>
      <c r="B9" s="148" t="s">
        <v>271</v>
      </c>
      <c r="C9" s="148" t="s">
        <v>272</v>
      </c>
      <c r="D9" s="141" t="s">
        <v>273</v>
      </c>
      <c r="E9" s="141"/>
      <c r="F9" s="141"/>
      <c r="G9" s="141"/>
      <c r="H9" s="141"/>
      <c r="I9" s="141" t="s">
        <v>274</v>
      </c>
      <c r="J9" s="141"/>
    </row>
    <row r="10" ht="30" customHeight="1" spans="1:10">
      <c r="A10" s="141"/>
      <c r="B10" s="148"/>
      <c r="C10" s="141"/>
      <c r="D10" s="141">
        <v>2</v>
      </c>
      <c r="E10" s="141">
        <v>4</v>
      </c>
      <c r="F10" s="141">
        <v>6</v>
      </c>
      <c r="G10" s="141">
        <v>8</v>
      </c>
      <c r="H10" s="141">
        <v>10</v>
      </c>
      <c r="I10" s="141" t="s">
        <v>275</v>
      </c>
      <c r="J10" s="141" t="s">
        <v>276</v>
      </c>
    </row>
    <row r="11" ht="30" customHeight="1" spans="1:10">
      <c r="A11" s="141">
        <v>1</v>
      </c>
      <c r="B11" s="149">
        <v>9.04</v>
      </c>
      <c r="C11" s="145">
        <v>1</v>
      </c>
      <c r="D11" s="150">
        <v>11.7</v>
      </c>
      <c r="E11" s="150">
        <v>11.7</v>
      </c>
      <c r="F11" s="150">
        <v>11.7</v>
      </c>
      <c r="G11" s="150">
        <v>11.7</v>
      </c>
      <c r="H11" s="150">
        <v>11.7</v>
      </c>
      <c r="I11" s="156">
        <f>(H11-10)*100/10</f>
        <v>17</v>
      </c>
      <c r="J11" s="156">
        <f>(I11+I12)/2</f>
        <v>16</v>
      </c>
    </row>
    <row r="12" ht="30" customHeight="1" spans="1:10">
      <c r="A12" s="141"/>
      <c r="B12" s="149">
        <v>9.07</v>
      </c>
      <c r="C12" s="145">
        <v>2</v>
      </c>
      <c r="D12" s="150">
        <v>11.5</v>
      </c>
      <c r="E12" s="150">
        <v>11.5</v>
      </c>
      <c r="F12" s="150">
        <v>11.5</v>
      </c>
      <c r="G12" s="150">
        <v>11.5</v>
      </c>
      <c r="H12" s="150">
        <v>11.5</v>
      </c>
      <c r="I12" s="156">
        <f>(H12-10)*100/10</f>
        <v>15</v>
      </c>
      <c r="J12" s="156"/>
    </row>
    <row r="13" ht="30" customHeight="1" spans="1:10">
      <c r="A13" s="141">
        <v>2</v>
      </c>
      <c r="B13" s="149"/>
      <c r="C13" s="145"/>
      <c r="D13" s="150"/>
      <c r="E13" s="150"/>
      <c r="F13" s="150"/>
      <c r="G13" s="150"/>
      <c r="H13" s="150"/>
      <c r="I13" s="156"/>
      <c r="J13" s="156"/>
    </row>
    <row r="14" ht="30" customHeight="1" spans="1:10">
      <c r="A14" s="141"/>
      <c r="B14" s="149"/>
      <c r="C14" s="145"/>
      <c r="D14" s="150"/>
      <c r="E14" s="150"/>
      <c r="F14" s="150"/>
      <c r="G14" s="150"/>
      <c r="H14" s="150"/>
      <c r="I14" s="156"/>
      <c r="J14" s="156"/>
    </row>
    <row r="15" ht="30" customHeight="1" spans="1:10">
      <c r="A15" s="141">
        <v>3</v>
      </c>
      <c r="B15" s="149"/>
      <c r="C15" s="145"/>
      <c r="D15" s="149"/>
      <c r="E15" s="149"/>
      <c r="F15" s="149"/>
      <c r="G15" s="149"/>
      <c r="H15" s="149"/>
      <c r="I15" s="156"/>
      <c r="J15" s="145"/>
    </row>
    <row r="16" ht="30" customHeight="1" spans="1:10">
      <c r="A16" s="141"/>
      <c r="B16" s="149"/>
      <c r="C16" s="145"/>
      <c r="D16" s="149"/>
      <c r="E16" s="149"/>
      <c r="F16" s="149"/>
      <c r="G16" s="149"/>
      <c r="H16" s="149"/>
      <c r="I16" s="156"/>
      <c r="J16" s="145"/>
    </row>
    <row r="17" ht="30" customHeight="1" spans="1:10">
      <c r="A17" s="141">
        <v>4</v>
      </c>
      <c r="B17" s="149"/>
      <c r="C17" s="145"/>
      <c r="D17" s="149"/>
      <c r="E17" s="149"/>
      <c r="F17" s="149"/>
      <c r="G17" s="149"/>
      <c r="H17" s="149"/>
      <c r="I17" s="156"/>
      <c r="J17" s="145"/>
    </row>
    <row r="18" ht="30" customHeight="1" spans="1:10">
      <c r="A18" s="141"/>
      <c r="B18" s="149"/>
      <c r="C18" s="145"/>
      <c r="D18" s="149"/>
      <c r="E18" s="149"/>
      <c r="F18" s="149"/>
      <c r="G18" s="149"/>
      <c r="H18" s="149"/>
      <c r="I18" s="156"/>
      <c r="J18" s="145"/>
    </row>
    <row r="19" ht="60" customHeight="1" spans="1:10">
      <c r="A19" s="148" t="s">
        <v>277</v>
      </c>
      <c r="B19" s="148"/>
      <c r="C19" s="151" t="s">
        <v>278</v>
      </c>
      <c r="D19" s="152"/>
      <c r="E19" s="152"/>
      <c r="F19" s="152"/>
      <c r="G19" s="152"/>
      <c r="H19" s="152"/>
      <c r="I19" s="152"/>
      <c r="J19" s="157"/>
    </row>
    <row r="20" ht="60" customHeight="1" spans="1:10">
      <c r="A20" s="148"/>
      <c r="B20" s="148"/>
      <c r="C20" s="151" t="s">
        <v>279</v>
      </c>
      <c r="D20" s="152"/>
      <c r="E20" s="152"/>
      <c r="F20" s="152"/>
      <c r="G20" s="152"/>
      <c r="H20" s="152"/>
      <c r="I20" s="152"/>
      <c r="J20" s="157"/>
    </row>
  </sheetData>
  <mergeCells count="36">
    <mergeCell ref="A1:J1"/>
    <mergeCell ref="A2:J2"/>
    <mergeCell ref="A3:C3"/>
    <mergeCell ref="D3:F3"/>
    <mergeCell ref="G3:H3"/>
    <mergeCell ref="I3:J3"/>
    <mergeCell ref="A4:C4"/>
    <mergeCell ref="D4:J4"/>
    <mergeCell ref="A5:C5"/>
    <mergeCell ref="D5:F5"/>
    <mergeCell ref="G5:H5"/>
    <mergeCell ref="I5:J5"/>
    <mergeCell ref="A6:C6"/>
    <mergeCell ref="D6:F6"/>
    <mergeCell ref="G6:H6"/>
    <mergeCell ref="I6:J6"/>
    <mergeCell ref="A7:C7"/>
    <mergeCell ref="D7:F7"/>
    <mergeCell ref="G7:H7"/>
    <mergeCell ref="I7:J7"/>
    <mergeCell ref="D9:H9"/>
    <mergeCell ref="I9:J9"/>
    <mergeCell ref="C19:J19"/>
    <mergeCell ref="C20:J20"/>
    <mergeCell ref="A9:A10"/>
    <mergeCell ref="A11:A12"/>
    <mergeCell ref="A13:A14"/>
    <mergeCell ref="A15:A16"/>
    <mergeCell ref="A17:A18"/>
    <mergeCell ref="B9:B10"/>
    <mergeCell ref="C9:C10"/>
    <mergeCell ref="J11:J12"/>
    <mergeCell ref="J13:J14"/>
    <mergeCell ref="J15:J16"/>
    <mergeCell ref="J17:J18"/>
    <mergeCell ref="A19:B20"/>
  </mergeCells>
  <pageMargins left="0.75" right="0.75" top="1" bottom="1" header="0.5" footer="0.5"/>
  <pageSetup paperSize="9" orientation="portrait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K58"/>
  <sheetViews>
    <sheetView topLeftCell="A13" workbookViewId="0">
      <selection activeCell="G5" sqref="G5"/>
    </sheetView>
  </sheetViews>
  <sheetFormatPr defaultColWidth="9" defaultRowHeight="15.6"/>
  <cols>
    <col min="1" max="1" width="17.5" style="104" customWidth="1"/>
    <col min="2" max="7" width="10.125" style="104" customWidth="1"/>
    <col min="8" max="8" width="0.125" style="104" customWidth="1"/>
    <col min="9" max="11" width="9" style="104"/>
    <col min="12" max="12" width="9.125" style="104" customWidth="1"/>
    <col min="13" max="16384" width="9" style="104"/>
  </cols>
  <sheetData>
    <row r="1" ht="42.75" customHeight="1" spans="1:10">
      <c r="A1" s="105" t="s">
        <v>280</v>
      </c>
      <c r="B1" s="105"/>
      <c r="C1" s="105"/>
      <c r="D1" s="105"/>
      <c r="E1" s="105"/>
      <c r="F1" s="105"/>
      <c r="G1" s="105"/>
      <c r="H1" s="106"/>
      <c r="I1" s="133"/>
      <c r="J1" s="133"/>
    </row>
    <row r="2" ht="24.95" customHeight="1" spans="1:10">
      <c r="A2" s="107" t="s">
        <v>281</v>
      </c>
      <c r="B2" s="108" t="str">
        <f>报告!B3</f>
        <v>中铁六局呼铁局建设有限公司</v>
      </c>
      <c r="C2" s="108"/>
      <c r="D2" s="108"/>
      <c r="E2" s="107" t="s">
        <v>282</v>
      </c>
      <c r="F2" s="107"/>
      <c r="G2" s="107"/>
      <c r="H2" s="106"/>
      <c r="I2" s="132" t="s">
        <v>283</v>
      </c>
      <c r="J2" s="133"/>
    </row>
    <row r="3" ht="24.95" customHeight="1" spans="1:10">
      <c r="A3" s="107" t="s">
        <v>284</v>
      </c>
      <c r="B3" s="108" t="str">
        <f>报告!B4</f>
        <v>内蒙古广誉建设监理有限责任公司</v>
      </c>
      <c r="C3" s="108"/>
      <c r="D3" s="108"/>
      <c r="E3" s="107" t="s">
        <v>285</v>
      </c>
      <c r="F3" s="107"/>
      <c r="G3" s="107"/>
      <c r="H3" s="106"/>
      <c r="I3" s="133"/>
      <c r="J3" s="133"/>
    </row>
    <row r="4" ht="24.95" customHeight="1" spans="1:10">
      <c r="A4" s="107" t="s">
        <v>286</v>
      </c>
      <c r="B4" s="107"/>
      <c r="C4" s="107"/>
      <c r="D4" s="107"/>
      <c r="E4" s="107" t="s">
        <v>287</v>
      </c>
      <c r="F4" s="107"/>
      <c r="G4" s="108">
        <v>2</v>
      </c>
      <c r="H4" s="106"/>
      <c r="I4" s="133"/>
      <c r="J4" s="133"/>
    </row>
    <row r="5" ht="24.95" customHeight="1" spans="1:10">
      <c r="A5" s="107" t="s">
        <v>288</v>
      </c>
      <c r="B5" s="107"/>
      <c r="C5" s="107"/>
      <c r="D5" s="107"/>
      <c r="E5" s="109" t="s">
        <v>289</v>
      </c>
      <c r="F5" s="109"/>
      <c r="G5" s="109"/>
      <c r="H5" s="106"/>
      <c r="I5" s="133"/>
      <c r="J5" s="133"/>
    </row>
    <row r="6" ht="24.95" customHeight="1" spans="1:10">
      <c r="A6" s="107" t="s">
        <v>290</v>
      </c>
      <c r="B6" s="107"/>
      <c r="C6" s="107"/>
      <c r="D6" s="107"/>
      <c r="E6" s="107" t="s">
        <v>291</v>
      </c>
      <c r="F6" s="107"/>
      <c r="G6" s="107"/>
      <c r="H6" s="106"/>
      <c r="I6" s="132" t="s">
        <v>283</v>
      </c>
      <c r="J6" s="133"/>
    </row>
    <row r="7" ht="25.5" customHeight="1" spans="1:10">
      <c r="A7" s="106"/>
      <c r="B7" s="106"/>
      <c r="C7" s="106"/>
      <c r="D7" s="106" t="s">
        <v>292</v>
      </c>
      <c r="E7" s="106"/>
      <c r="F7" s="106"/>
      <c r="G7" s="106"/>
      <c r="H7" s="106"/>
      <c r="I7" s="133"/>
      <c r="J7" s="133"/>
    </row>
    <row r="8" ht="24.95" customHeight="1" spans="1:10">
      <c r="A8" s="110"/>
      <c r="B8" s="111"/>
      <c r="C8" s="112"/>
      <c r="D8" s="111"/>
      <c r="E8" s="112"/>
      <c r="F8" s="111"/>
      <c r="G8" s="112"/>
      <c r="H8" s="106"/>
      <c r="I8" s="133"/>
      <c r="J8" s="133"/>
    </row>
    <row r="9" ht="24.95" customHeight="1" spans="1:10">
      <c r="A9" s="113"/>
      <c r="B9" s="111"/>
      <c r="C9" s="112"/>
      <c r="D9" s="111"/>
      <c r="E9" s="112"/>
      <c r="F9" s="111"/>
      <c r="G9" s="112"/>
      <c r="H9" s="106"/>
      <c r="I9" s="132" t="s">
        <v>283</v>
      </c>
      <c r="J9" s="133"/>
    </row>
    <row r="10" ht="24" customHeight="1" spans="1:10">
      <c r="A10" s="114" t="s">
        <v>293</v>
      </c>
      <c r="B10" s="115">
        <f ca="1">D32</f>
        <v>11</v>
      </c>
      <c r="C10" s="116"/>
      <c r="D10" s="115">
        <f ca="1">D33</f>
        <v>16</v>
      </c>
      <c r="E10" s="116"/>
      <c r="F10" s="115">
        <f ca="1">D34</f>
        <v>1</v>
      </c>
      <c r="G10" s="116"/>
      <c r="H10" s="106"/>
      <c r="I10" s="133"/>
      <c r="J10" s="133"/>
    </row>
    <row r="11" ht="24" customHeight="1" spans="1:10">
      <c r="A11" s="114" t="s">
        <v>294</v>
      </c>
      <c r="B11" s="117">
        <f ca="1">E32</f>
        <v>199.215738677413</v>
      </c>
      <c r="C11" s="116"/>
      <c r="D11" s="117">
        <f ca="1">E33</f>
        <v>202.390679695589</v>
      </c>
      <c r="E11" s="116"/>
      <c r="F11" s="117">
        <f ca="1">E34</f>
        <v>198.769919438477</v>
      </c>
      <c r="G11" s="116"/>
      <c r="H11" s="106"/>
      <c r="I11" s="133"/>
      <c r="J11" s="133"/>
    </row>
    <row r="12" ht="24" customHeight="1" spans="1:10">
      <c r="A12" s="114" t="s">
        <v>295</v>
      </c>
      <c r="B12" s="118">
        <f ca="1">F32</f>
        <v>168.5</v>
      </c>
      <c r="C12" s="119"/>
      <c r="D12" s="118">
        <f ca="1">F33</f>
        <v>166.2</v>
      </c>
      <c r="E12" s="119"/>
      <c r="F12" s="118">
        <f ca="1">F34</f>
        <v>170.2</v>
      </c>
      <c r="G12" s="119"/>
      <c r="H12" s="106"/>
      <c r="I12" s="132" t="s">
        <v>283</v>
      </c>
      <c r="J12" s="133"/>
    </row>
    <row r="13" ht="24" customHeight="1" spans="1:10">
      <c r="A13" s="114" t="s">
        <v>296</v>
      </c>
      <c r="B13" s="118">
        <f ca="1">B14+B12</f>
        <v>539.484775754448</v>
      </c>
      <c r="C13" s="119"/>
      <c r="D13" s="118">
        <f ca="1">D14+D12</f>
        <v>542.662968692237</v>
      </c>
      <c r="E13" s="119"/>
      <c r="F13" s="118">
        <f ca="1">F14+F12</f>
        <v>535.476959220691</v>
      </c>
      <c r="G13" s="119"/>
      <c r="H13" s="106"/>
      <c r="I13" s="133"/>
      <c r="J13" s="133"/>
    </row>
    <row r="14" ht="24" customHeight="1" spans="1:10">
      <c r="A14" s="114" t="s">
        <v>297</v>
      </c>
      <c r="B14" s="118">
        <f ca="1">B15*B11</f>
        <v>370.984775754448</v>
      </c>
      <c r="C14" s="119"/>
      <c r="D14" s="118">
        <f ca="1">D15*D11</f>
        <v>376.462968692237</v>
      </c>
      <c r="E14" s="119"/>
      <c r="F14" s="118">
        <f ca="1">F15*F11</f>
        <v>365.276959220691</v>
      </c>
      <c r="G14" s="119"/>
      <c r="H14" s="106"/>
      <c r="I14" s="133"/>
      <c r="J14" s="133"/>
    </row>
    <row r="15" ht="24" customHeight="1" spans="1:10">
      <c r="A15" s="114" t="s">
        <v>298</v>
      </c>
      <c r="B15" s="120">
        <f ca="1">B24*(1+0.01*B23)</f>
        <v>1.86222623883738</v>
      </c>
      <c r="C15" s="121"/>
      <c r="D15" s="120">
        <f ca="1">D24*(1+0.01*D23)</f>
        <v>1.86008055933438</v>
      </c>
      <c r="E15" s="121"/>
      <c r="F15" s="120">
        <f ca="1">F24*(1+0.01*F23)</f>
        <v>1.83768731331478</v>
      </c>
      <c r="G15" s="121"/>
      <c r="H15" s="106"/>
      <c r="I15" s="132" t="s">
        <v>283</v>
      </c>
      <c r="J15" s="133"/>
    </row>
    <row r="16" ht="24" customHeight="1" spans="1:10">
      <c r="A16" s="114" t="s">
        <v>299</v>
      </c>
      <c r="B16" s="114">
        <f ca="1">含水量!C42</f>
        <v>24</v>
      </c>
      <c r="C16" s="114">
        <f ca="1">含水量!C43</f>
        <v>25</v>
      </c>
      <c r="D16" s="114">
        <f ca="1">含水量!C44</f>
        <v>28</v>
      </c>
      <c r="E16" s="114">
        <f ca="1">含水量!C45</f>
        <v>25</v>
      </c>
      <c r="F16" s="114">
        <f ca="1">含水量!C46</f>
        <v>21</v>
      </c>
      <c r="G16" s="114">
        <f ca="1">含水量!C47</f>
        <v>10</v>
      </c>
      <c r="H16" s="106"/>
      <c r="I16" s="133"/>
      <c r="J16" s="133"/>
    </row>
    <row r="17" ht="24" customHeight="1" spans="1:10">
      <c r="A17" s="114" t="s">
        <v>300</v>
      </c>
      <c r="B17" s="122">
        <f ca="1" t="shared" ref="B17:G17" si="0">B18+B19</f>
        <v>70.5607300987196</v>
      </c>
      <c r="C17" s="122">
        <f ca="1" t="shared" si="0"/>
        <v>62.7170261545997</v>
      </c>
      <c r="D17" s="122">
        <f ca="1" t="shared" si="0"/>
        <v>75.3315548654422</v>
      </c>
      <c r="E17" s="122">
        <f ca="1" t="shared" si="0"/>
        <v>65.3720310839711</v>
      </c>
      <c r="F17" s="122">
        <f ca="1" t="shared" si="0"/>
        <v>66.3997903507218</v>
      </c>
      <c r="G17" s="122">
        <f ca="1" t="shared" si="0"/>
        <v>68.2364818424938</v>
      </c>
      <c r="H17" s="106"/>
      <c r="I17" s="133"/>
      <c r="J17" s="133"/>
    </row>
    <row r="18" ht="24" customHeight="1" spans="1:10">
      <c r="A18" s="114" t="s">
        <v>301</v>
      </c>
      <c r="B18" s="123">
        <f ca="1" t="shared" ref="B18:G18" si="1">B21+B20</f>
        <v>70.2597714699002</v>
      </c>
      <c r="C18" s="123">
        <f ca="1" t="shared" si="1"/>
        <v>62.4443599946319</v>
      </c>
      <c r="D18" s="123">
        <f ca="1" t="shared" si="1"/>
        <v>75.1807127272604</v>
      </c>
      <c r="E18" s="123">
        <f ca="1" t="shared" si="1"/>
        <v>65.3237073765945</v>
      </c>
      <c r="F18" s="123">
        <f ca="1" t="shared" si="1"/>
        <v>66.5484356576948</v>
      </c>
      <c r="G18" s="123">
        <f ca="1" t="shared" si="1"/>
        <v>68.3783167928724</v>
      </c>
      <c r="H18" s="106"/>
      <c r="I18" s="132" t="s">
        <v>283</v>
      </c>
      <c r="J18" s="133"/>
    </row>
    <row r="19" ht="24" customHeight="1" spans="1:10">
      <c r="A19" s="114" t="s">
        <v>302</v>
      </c>
      <c r="B19" s="124">
        <f ca="1" t="shared" ref="B19:G19" si="2">B22*0.01*B21</f>
        <v>0.300958628819401</v>
      </c>
      <c r="C19" s="124">
        <f ca="1" t="shared" si="2"/>
        <v>0.272666159967791</v>
      </c>
      <c r="D19" s="124">
        <f ca="1" t="shared" si="2"/>
        <v>0.150842138181781</v>
      </c>
      <c r="E19" s="124">
        <f ca="1" t="shared" si="2"/>
        <v>0.0483237073765945</v>
      </c>
      <c r="F19" s="124">
        <f ca="1" t="shared" si="2"/>
        <v>-0.148645306973085</v>
      </c>
      <c r="G19" s="124">
        <f ca="1" t="shared" si="2"/>
        <v>-0.141834950378617</v>
      </c>
      <c r="H19" s="106"/>
      <c r="I19" s="133"/>
      <c r="J19" s="133"/>
    </row>
    <row r="20" ht="24" customHeight="1" spans="1:10">
      <c r="A20" s="114" t="s">
        <v>303</v>
      </c>
      <c r="B20" s="114">
        <f ca="1">含水量!D42</f>
        <v>20.1</v>
      </c>
      <c r="C20" s="114">
        <f ca="1">含水量!D43</f>
        <v>17</v>
      </c>
      <c r="D20" s="114">
        <f ca="1">含水量!D44</f>
        <v>24.9</v>
      </c>
      <c r="E20" s="114">
        <f ca="1">含水量!D45</f>
        <v>17</v>
      </c>
      <c r="F20" s="114">
        <f ca="1">含水量!D46</f>
        <v>17</v>
      </c>
      <c r="G20" s="114">
        <f ca="1">含水量!D47</f>
        <v>21.1</v>
      </c>
      <c r="H20" s="106"/>
      <c r="I20" s="133"/>
      <c r="J20" s="133"/>
    </row>
    <row r="21" ht="24" customHeight="1" spans="1:10">
      <c r="A21" s="114" t="s">
        <v>304</v>
      </c>
      <c r="B21" s="123">
        <f ca="1">RAND()*10+46.87</f>
        <v>50.1597714699002</v>
      </c>
      <c r="C21" s="123">
        <f ca="1">RAND()*10+41.87</f>
        <v>45.4443599946319</v>
      </c>
      <c r="D21" s="123">
        <f ca="1">RAND()*10+46.87</f>
        <v>50.2807127272604</v>
      </c>
      <c r="E21" s="123">
        <f ca="1">RAND()*10+41.87</f>
        <v>48.3237073765945</v>
      </c>
      <c r="F21" s="123">
        <f ca="1">RAND()*10+46.87</f>
        <v>49.5484356576948</v>
      </c>
      <c r="G21" s="123">
        <f ca="1">RAND()*10+41.87</f>
        <v>47.2783167928724</v>
      </c>
      <c r="H21" s="106"/>
      <c r="I21" s="132" t="s">
        <v>283</v>
      </c>
      <c r="J21" s="133"/>
    </row>
    <row r="22" ht="24" customHeight="1" spans="1:10">
      <c r="A22" s="114" t="s">
        <v>174</v>
      </c>
      <c r="B22" s="125">
        <f ca="1">G6+ROUND(RAND()/2,1)*2-0.2</f>
        <v>0.6</v>
      </c>
      <c r="C22" s="125">
        <f ca="1">G6+ROUND(RAND()/2,1)*2-0.2</f>
        <v>0.6</v>
      </c>
      <c r="D22" s="125">
        <f ca="1">G6+ROUND(RAND()/2,1)*2-0.3</f>
        <v>0.3</v>
      </c>
      <c r="E22" s="125">
        <f ca="1">G6+ROUND(RAND()/2,1)*2-0.3</f>
        <v>0.1</v>
      </c>
      <c r="F22" s="125">
        <f ca="1">G6+ROUND(RAND()/2,1)*2-0.5</f>
        <v>-0.3</v>
      </c>
      <c r="G22" s="125">
        <f ca="1">G6+ROUND(RAND()/2,1)*2-0.5</f>
        <v>-0.3</v>
      </c>
      <c r="H22" s="106"/>
      <c r="I22" s="133"/>
      <c r="J22" s="133"/>
    </row>
    <row r="23" ht="24" customHeight="1" spans="1:10">
      <c r="A23" s="114" t="s">
        <v>175</v>
      </c>
      <c r="B23" s="126">
        <f ca="1">IF(ABS(B22-C22)&lt;=1,ROUND((B22+C22)/2,1),"混蛋")</f>
        <v>0.6</v>
      </c>
      <c r="C23" s="126"/>
      <c r="D23" s="126">
        <f ca="1" t="shared" ref="D23" si="3">IF(ABS(D22-E22)&lt;=1,ROUND((D22+E22)/2,1),"混蛋")</f>
        <v>0.2</v>
      </c>
      <c r="E23" s="126"/>
      <c r="F23" s="126">
        <f ca="1" t="shared" ref="F23" si="4">IF(ABS(F22-G22)&lt;=1,ROUND((F22+G22)/2,1),"混蛋")</f>
        <v>-0.3</v>
      </c>
      <c r="G23" s="126"/>
      <c r="H23" s="106"/>
      <c r="I23" s="133"/>
      <c r="J23" s="133"/>
    </row>
    <row r="24" ht="24" customHeight="1" spans="1:10">
      <c r="A24" s="114" t="s">
        <v>305</v>
      </c>
      <c r="B24" s="120">
        <f ca="1">B25*0.01*G4</f>
        <v>1.85111952170713</v>
      </c>
      <c r="C24" s="121"/>
      <c r="D24" s="120">
        <f ca="1">D25*0.01*G4</f>
        <v>1.85636782368701</v>
      </c>
      <c r="E24" s="121"/>
      <c r="F24" s="120">
        <f ca="1">F25*0.01*G4</f>
        <v>1.84321696420741</v>
      </c>
      <c r="G24" s="121"/>
      <c r="H24" s="106"/>
      <c r="I24" s="132" t="s">
        <v>283</v>
      </c>
      <c r="J24" s="133"/>
    </row>
    <row r="25" ht="24" customHeight="1" spans="1:10">
      <c r="A25" s="114" t="s">
        <v>306</v>
      </c>
      <c r="B25" s="127">
        <f ca="1">RAND()+92.1</f>
        <v>92.5559760853567</v>
      </c>
      <c r="C25" s="128"/>
      <c r="D25" s="127">
        <f ca="1">RAND()+92.1</f>
        <v>92.8183911843505</v>
      </c>
      <c r="E25" s="128"/>
      <c r="F25" s="127">
        <f ca="1">RAND()+92.1</f>
        <v>92.1608482103703</v>
      </c>
      <c r="G25" s="128"/>
      <c r="H25" s="106"/>
      <c r="I25" s="133"/>
      <c r="J25" s="133"/>
    </row>
    <row r="26" ht="52.5" customHeight="1" spans="1:10">
      <c r="A26" s="129" t="s">
        <v>213</v>
      </c>
      <c r="B26" s="111" t="s">
        <v>307</v>
      </c>
      <c r="C26" s="130"/>
      <c r="D26" s="130"/>
      <c r="E26" s="130"/>
      <c r="F26" s="130"/>
      <c r="G26" s="112"/>
      <c r="H26" s="106"/>
      <c r="I26" s="133"/>
      <c r="J26" s="133"/>
    </row>
    <row r="27" ht="52.5" customHeight="1" spans="1:10">
      <c r="A27" s="131"/>
      <c r="B27" s="111" t="s">
        <v>308</v>
      </c>
      <c r="C27" s="130"/>
      <c r="D27" s="130"/>
      <c r="E27" s="130"/>
      <c r="F27" s="130"/>
      <c r="G27" s="112"/>
      <c r="H27" s="106"/>
      <c r="I27" s="132" t="s">
        <v>283</v>
      </c>
      <c r="J27" s="133"/>
    </row>
    <row r="28" spans="1:10">
      <c r="A28" s="106" t="s">
        <v>309</v>
      </c>
      <c r="B28" s="106" t="s">
        <v>310</v>
      </c>
      <c r="C28" s="106"/>
      <c r="D28" s="106"/>
      <c r="E28" s="106" t="s">
        <v>311</v>
      </c>
      <c r="F28" s="106"/>
      <c r="G28" s="106"/>
      <c r="H28" s="106"/>
      <c r="I28" s="133"/>
      <c r="J28" s="133"/>
    </row>
    <row r="29" spans="1:11">
      <c r="A29" s="106"/>
      <c r="B29" s="106"/>
      <c r="C29" s="106"/>
      <c r="D29" s="106"/>
      <c r="E29" s="106"/>
      <c r="F29" s="106"/>
      <c r="G29" s="106"/>
      <c r="H29" s="106"/>
      <c r="I29" s="136"/>
      <c r="J29" s="136"/>
      <c r="K29" s="137"/>
    </row>
    <row r="30" ht="30" customHeight="1" spans="1:11">
      <c r="A30" s="132" t="s">
        <v>283</v>
      </c>
      <c r="B30" s="133"/>
      <c r="C30" s="132" t="s">
        <v>283</v>
      </c>
      <c r="D30" s="133"/>
      <c r="E30" s="132" t="s">
        <v>283</v>
      </c>
      <c r="F30" s="133"/>
      <c r="G30" s="133"/>
      <c r="H30" s="132" t="s">
        <v>283</v>
      </c>
      <c r="I30" s="133"/>
      <c r="J30" s="133"/>
      <c r="K30" s="138"/>
    </row>
    <row r="31" spans="1:3">
      <c r="A31" s="104" t="s">
        <v>293</v>
      </c>
      <c r="B31" s="104" t="s">
        <v>312</v>
      </c>
      <c r="C31" s="104" t="s">
        <v>180</v>
      </c>
    </row>
    <row r="32" ht="17.4" spans="1:6">
      <c r="A32" s="134">
        <v>1</v>
      </c>
      <c r="B32" s="135">
        <f>环刀!N3</f>
        <v>198.769919438477</v>
      </c>
      <c r="C32" s="135">
        <f>环刀!O3</f>
        <v>170.2</v>
      </c>
      <c r="D32" s="134">
        <f ca="1">INT(RAND()*27+1)</f>
        <v>11</v>
      </c>
      <c r="E32" s="135">
        <f ca="1">INDIRECT(ADDRESS(31+D32,2))</f>
        <v>199.215738677413</v>
      </c>
      <c r="F32" s="135">
        <f ca="1">INDIRECT(ADDRESS(31+D32,3))</f>
        <v>168.5</v>
      </c>
    </row>
    <row r="33" ht="17.4" spans="1:6">
      <c r="A33" s="134">
        <v>2</v>
      </c>
      <c r="B33" s="135">
        <f>环刀!N4</f>
        <v>199.376940120494</v>
      </c>
      <c r="C33" s="135">
        <f>环刀!O4</f>
        <v>144.4</v>
      </c>
      <c r="D33" s="134">
        <f ca="1" t="shared" ref="D33:D58" si="5">INT(RAND()*27+1)</f>
        <v>16</v>
      </c>
      <c r="E33" s="135">
        <f ca="1" t="shared" ref="E33:E58" si="6">INDIRECT(ADDRESS(31+D33,2))</f>
        <v>202.390679695589</v>
      </c>
      <c r="F33" s="135">
        <f ca="1" t="shared" ref="F33:F58" si="7">INDIRECT(ADDRESS(31+D33,3))</f>
        <v>166.2</v>
      </c>
    </row>
    <row r="34" ht="17.4" spans="1:6">
      <c r="A34" s="134">
        <v>3</v>
      </c>
      <c r="B34" s="135">
        <f>环刀!N5</f>
        <v>199.205678713179</v>
      </c>
      <c r="C34" s="135">
        <f>环刀!O5</f>
        <v>167.5</v>
      </c>
      <c r="D34" s="134">
        <f ca="1" t="shared" si="5"/>
        <v>1</v>
      </c>
      <c r="E34" s="135">
        <f ca="1" t="shared" si="6"/>
        <v>198.769919438477</v>
      </c>
      <c r="F34" s="135">
        <f ca="1" t="shared" si="7"/>
        <v>170.2</v>
      </c>
    </row>
    <row r="35" ht="17.4" spans="1:6">
      <c r="A35" s="134">
        <v>4</v>
      </c>
      <c r="B35" s="135">
        <f>环刀!N6</f>
        <v>197.802622350051</v>
      </c>
      <c r="C35" s="135">
        <f>环刀!O6</f>
        <v>190.1</v>
      </c>
      <c r="D35" s="134">
        <f ca="1" t="shared" si="5"/>
        <v>8</v>
      </c>
      <c r="E35" s="135">
        <f ca="1" t="shared" si="6"/>
        <v>199.824003512173</v>
      </c>
      <c r="F35" s="135">
        <f ca="1" t="shared" si="7"/>
        <v>174</v>
      </c>
    </row>
    <row r="36" ht="17.4" spans="1:6">
      <c r="A36" s="134">
        <v>5</v>
      </c>
      <c r="B36" s="135">
        <f>环刀!N7</f>
        <v>198.407851480375</v>
      </c>
      <c r="C36" s="135">
        <f>环刀!O7</f>
        <v>171.8</v>
      </c>
      <c r="D36" s="134">
        <f ca="1" t="shared" si="5"/>
        <v>1</v>
      </c>
      <c r="E36" s="135">
        <f ca="1" t="shared" si="6"/>
        <v>198.769919438477</v>
      </c>
      <c r="F36" s="135">
        <f ca="1" t="shared" si="7"/>
        <v>170.2</v>
      </c>
    </row>
    <row r="37" ht="17.4" spans="1:6">
      <c r="A37" s="134">
        <v>6</v>
      </c>
      <c r="B37" s="135">
        <f>环刀!N8</f>
        <v>202.138972927323</v>
      </c>
      <c r="C37" s="135">
        <f>环刀!O8</f>
        <v>171.8</v>
      </c>
      <c r="D37" s="134">
        <f ca="1" t="shared" si="5"/>
        <v>5</v>
      </c>
      <c r="E37" s="135">
        <f ca="1" t="shared" si="6"/>
        <v>198.407851480375</v>
      </c>
      <c r="F37" s="135">
        <f ca="1" t="shared" si="7"/>
        <v>171.8</v>
      </c>
    </row>
    <row r="38" ht="17.4" spans="1:6">
      <c r="A38" s="134">
        <v>7</v>
      </c>
      <c r="B38" s="135">
        <f>环刀!N9</f>
        <v>197.053529478506</v>
      </c>
      <c r="C38" s="135">
        <f>环刀!O9</f>
        <v>171.9</v>
      </c>
      <c r="D38" s="134">
        <f ca="1" t="shared" si="5"/>
        <v>22</v>
      </c>
      <c r="E38" s="135">
        <f ca="1" t="shared" si="6"/>
        <v>201.899816261506</v>
      </c>
      <c r="F38" s="135">
        <f ca="1" t="shared" si="7"/>
        <v>171.7</v>
      </c>
    </row>
    <row r="39" ht="17.4" spans="1:6">
      <c r="A39" s="134">
        <v>8</v>
      </c>
      <c r="B39" s="135">
        <f>环刀!N10</f>
        <v>199.824003512173</v>
      </c>
      <c r="C39" s="135">
        <f>环刀!O10</f>
        <v>174</v>
      </c>
      <c r="D39" s="134">
        <f ca="1" t="shared" si="5"/>
        <v>17</v>
      </c>
      <c r="E39" s="135">
        <f ca="1" t="shared" si="6"/>
        <v>199.405375460514</v>
      </c>
      <c r="F39" s="135">
        <f ca="1" t="shared" si="7"/>
        <v>168.2</v>
      </c>
    </row>
    <row r="40" ht="17.4" spans="1:6">
      <c r="A40" s="134">
        <v>9</v>
      </c>
      <c r="B40" s="135">
        <f>环刀!N11</f>
        <v>198.749557480929</v>
      </c>
      <c r="C40" s="135">
        <f>环刀!O11</f>
        <v>227.7</v>
      </c>
      <c r="D40" s="134">
        <f ca="1" t="shared" si="5"/>
        <v>7</v>
      </c>
      <c r="E40" s="135">
        <f ca="1" t="shared" si="6"/>
        <v>197.053529478506</v>
      </c>
      <c r="F40" s="135">
        <f ca="1" t="shared" si="7"/>
        <v>171.9</v>
      </c>
    </row>
    <row r="41" ht="17.4" spans="1:6">
      <c r="A41" s="134">
        <v>10</v>
      </c>
      <c r="B41" s="135">
        <f>环刀!N12</f>
        <v>198.16249527701</v>
      </c>
      <c r="C41" s="135">
        <f>环刀!O12</f>
        <v>175</v>
      </c>
      <c r="D41" s="134">
        <f ca="1" t="shared" si="5"/>
        <v>15</v>
      </c>
      <c r="E41" s="135">
        <f ca="1" t="shared" si="6"/>
        <v>205.369081716632</v>
      </c>
      <c r="F41" s="135">
        <f ca="1" t="shared" si="7"/>
        <v>170.4</v>
      </c>
    </row>
    <row r="42" ht="17.4" spans="1:6">
      <c r="A42" s="134">
        <v>11</v>
      </c>
      <c r="B42" s="135">
        <f>环刀!N13</f>
        <v>199.215738677413</v>
      </c>
      <c r="C42" s="135">
        <f>环刀!O13</f>
        <v>168.5</v>
      </c>
      <c r="D42" s="134">
        <f ca="1" t="shared" si="5"/>
        <v>8</v>
      </c>
      <c r="E42" s="135">
        <f ca="1" t="shared" si="6"/>
        <v>199.824003512173</v>
      </c>
      <c r="F42" s="135">
        <f ca="1" t="shared" si="7"/>
        <v>174</v>
      </c>
    </row>
    <row r="43" ht="17.4" spans="1:6">
      <c r="A43" s="134">
        <v>12</v>
      </c>
      <c r="B43" s="135">
        <f>环刀!N14</f>
        <v>206.387510942493</v>
      </c>
      <c r="C43" s="135">
        <f>环刀!O14</f>
        <v>168.5</v>
      </c>
      <c r="D43" s="134">
        <f ca="1" t="shared" si="5"/>
        <v>14</v>
      </c>
      <c r="E43" s="135">
        <f ca="1" t="shared" si="6"/>
        <v>201.639059737166</v>
      </c>
      <c r="F43" s="135">
        <f ca="1" t="shared" si="7"/>
        <v>179.2</v>
      </c>
    </row>
    <row r="44" ht="17.4" spans="1:6">
      <c r="A44" s="134">
        <v>13</v>
      </c>
      <c r="B44" s="135">
        <f>环刀!N15</f>
        <v>204.316606908822</v>
      </c>
      <c r="C44" s="135">
        <f>环刀!O15</f>
        <v>169.9</v>
      </c>
      <c r="D44" s="134">
        <f ca="1" t="shared" si="5"/>
        <v>21</v>
      </c>
      <c r="E44" s="135">
        <f ca="1" t="shared" si="6"/>
        <v>204.58403171007</v>
      </c>
      <c r="F44" s="135">
        <f ca="1" t="shared" si="7"/>
        <v>169.1</v>
      </c>
    </row>
    <row r="45" ht="17.4" spans="1:6">
      <c r="A45" s="134">
        <v>14</v>
      </c>
      <c r="B45" s="135">
        <f>环刀!N16</f>
        <v>201.639059737166</v>
      </c>
      <c r="C45" s="135">
        <f>环刀!O16</f>
        <v>179.2</v>
      </c>
      <c r="D45" s="134">
        <f ca="1" t="shared" si="5"/>
        <v>15</v>
      </c>
      <c r="E45" s="135">
        <f ca="1" t="shared" si="6"/>
        <v>205.369081716632</v>
      </c>
      <c r="F45" s="135">
        <f ca="1" t="shared" si="7"/>
        <v>170.4</v>
      </c>
    </row>
    <row r="46" ht="17.4" spans="1:6">
      <c r="A46" s="134">
        <v>15</v>
      </c>
      <c r="B46" s="135">
        <f>环刀!N17</f>
        <v>205.369081716632</v>
      </c>
      <c r="C46" s="135">
        <f>环刀!O17</f>
        <v>170.4</v>
      </c>
      <c r="D46" s="134">
        <f ca="1" t="shared" si="5"/>
        <v>4</v>
      </c>
      <c r="E46" s="135">
        <f ca="1" t="shared" si="6"/>
        <v>197.802622350051</v>
      </c>
      <c r="F46" s="135">
        <f ca="1" t="shared" si="7"/>
        <v>190.1</v>
      </c>
    </row>
    <row r="47" ht="17.4" spans="1:6">
      <c r="A47" s="134">
        <v>16</v>
      </c>
      <c r="B47" s="135">
        <f>环刀!N18</f>
        <v>202.390679695589</v>
      </c>
      <c r="C47" s="135">
        <f>环刀!O18</f>
        <v>166.2</v>
      </c>
      <c r="D47" s="134">
        <f ca="1" t="shared" si="5"/>
        <v>15</v>
      </c>
      <c r="E47" s="135">
        <f ca="1" t="shared" si="6"/>
        <v>205.369081716632</v>
      </c>
      <c r="F47" s="135">
        <f ca="1" t="shared" si="7"/>
        <v>170.4</v>
      </c>
    </row>
    <row r="48" ht="17.4" spans="1:6">
      <c r="A48" s="134">
        <v>17</v>
      </c>
      <c r="B48" s="135">
        <f>环刀!N19</f>
        <v>199.405375460514</v>
      </c>
      <c r="C48" s="135">
        <f>环刀!O19</f>
        <v>168.2</v>
      </c>
      <c r="D48" s="134">
        <f ca="1" t="shared" si="5"/>
        <v>15</v>
      </c>
      <c r="E48" s="135">
        <f ca="1" t="shared" si="6"/>
        <v>205.369081716632</v>
      </c>
      <c r="F48" s="135">
        <f ca="1" t="shared" si="7"/>
        <v>170.4</v>
      </c>
    </row>
    <row r="49" ht="17.4" spans="1:6">
      <c r="A49" s="134">
        <v>18</v>
      </c>
      <c r="B49" s="135">
        <f>环刀!N20</f>
        <v>207.40205196999</v>
      </c>
      <c r="C49" s="135">
        <f>环刀!O20</f>
        <v>201.4</v>
      </c>
      <c r="D49" s="134">
        <f ca="1" t="shared" si="5"/>
        <v>20</v>
      </c>
      <c r="E49" s="135">
        <f ca="1" t="shared" si="6"/>
        <v>205.018423182478</v>
      </c>
      <c r="F49" s="135">
        <f ca="1" t="shared" si="7"/>
        <v>168.5</v>
      </c>
    </row>
    <row r="50" ht="17.4" spans="1:6">
      <c r="A50" s="134">
        <v>19</v>
      </c>
      <c r="B50" s="135">
        <f>环刀!N21</f>
        <v>202.653389906073</v>
      </c>
      <c r="C50" s="135">
        <f>环刀!O21</f>
        <v>187.2</v>
      </c>
      <c r="D50" s="134">
        <f ca="1" t="shared" si="5"/>
        <v>9</v>
      </c>
      <c r="E50" s="135">
        <f ca="1" t="shared" si="6"/>
        <v>198.749557480929</v>
      </c>
      <c r="F50" s="135">
        <f ca="1" t="shared" si="7"/>
        <v>227.7</v>
      </c>
    </row>
    <row r="51" ht="17.4" spans="1:6">
      <c r="A51" s="134">
        <v>20</v>
      </c>
      <c r="B51" s="135">
        <f>环刀!N22</f>
        <v>205.018423182478</v>
      </c>
      <c r="C51" s="135">
        <f>环刀!O22</f>
        <v>168.5</v>
      </c>
      <c r="D51" s="134">
        <f ca="1" t="shared" si="5"/>
        <v>13</v>
      </c>
      <c r="E51" s="135">
        <f ca="1" t="shared" si="6"/>
        <v>204.316606908822</v>
      </c>
      <c r="F51" s="135">
        <f ca="1" t="shared" si="7"/>
        <v>169.9</v>
      </c>
    </row>
    <row r="52" ht="17.4" spans="1:6">
      <c r="A52" s="134">
        <v>21</v>
      </c>
      <c r="B52" s="135">
        <f>环刀!N23</f>
        <v>204.58403171007</v>
      </c>
      <c r="C52" s="135">
        <f>环刀!O23</f>
        <v>169.1</v>
      </c>
      <c r="D52" s="134">
        <f ca="1" t="shared" si="5"/>
        <v>7</v>
      </c>
      <c r="E52" s="135">
        <f ca="1" t="shared" si="6"/>
        <v>197.053529478506</v>
      </c>
      <c r="F52" s="135">
        <f ca="1" t="shared" si="7"/>
        <v>171.9</v>
      </c>
    </row>
    <row r="53" ht="17.4" spans="1:6">
      <c r="A53" s="134">
        <v>22</v>
      </c>
      <c r="B53" s="135">
        <f>环刀!N24</f>
        <v>201.899816261506</v>
      </c>
      <c r="C53" s="135">
        <f>环刀!O24</f>
        <v>171.7</v>
      </c>
      <c r="D53" s="134">
        <f ca="1" t="shared" si="5"/>
        <v>7</v>
      </c>
      <c r="E53" s="135">
        <f ca="1" t="shared" si="6"/>
        <v>197.053529478506</v>
      </c>
      <c r="F53" s="135">
        <f ca="1" t="shared" si="7"/>
        <v>171.9</v>
      </c>
    </row>
    <row r="54" ht="17.4" spans="1:6">
      <c r="A54" s="134">
        <v>23</v>
      </c>
      <c r="B54" s="135">
        <f>环刀!N25</f>
        <v>201.414825766182</v>
      </c>
      <c r="C54" s="135">
        <f>环刀!O25</f>
        <v>206.7</v>
      </c>
      <c r="D54" s="134">
        <f ca="1" t="shared" si="5"/>
        <v>10</v>
      </c>
      <c r="E54" s="135">
        <f ca="1" t="shared" si="6"/>
        <v>198.16249527701</v>
      </c>
      <c r="F54" s="135">
        <f ca="1" t="shared" si="7"/>
        <v>175</v>
      </c>
    </row>
    <row r="55" ht="17.4" spans="1:6">
      <c r="A55" s="134">
        <v>24</v>
      </c>
      <c r="B55" s="135">
        <f>环刀!N26</f>
        <v>204.690832319777</v>
      </c>
      <c r="C55" s="135">
        <f>环刀!O26</f>
        <v>172.9</v>
      </c>
      <c r="D55" s="134">
        <f ca="1" t="shared" si="5"/>
        <v>21</v>
      </c>
      <c r="E55" s="135">
        <f ca="1" t="shared" si="6"/>
        <v>204.58403171007</v>
      </c>
      <c r="F55" s="135">
        <f ca="1" t="shared" si="7"/>
        <v>169.1</v>
      </c>
    </row>
    <row r="56" ht="17.4" spans="1:6">
      <c r="A56" s="134">
        <v>25</v>
      </c>
      <c r="B56" s="135">
        <f>环刀!N27</f>
        <v>203.834177080074</v>
      </c>
      <c r="C56" s="135">
        <f>环刀!O27</f>
        <v>206.3</v>
      </c>
      <c r="D56" s="134">
        <f ca="1" t="shared" si="5"/>
        <v>20</v>
      </c>
      <c r="E56" s="135">
        <f ca="1" t="shared" si="6"/>
        <v>205.018423182478</v>
      </c>
      <c r="F56" s="135">
        <f ca="1" t="shared" si="7"/>
        <v>168.5</v>
      </c>
    </row>
    <row r="57" ht="17.4" spans="1:6">
      <c r="A57" s="134">
        <v>26</v>
      </c>
      <c r="B57" s="135">
        <f>环刀!N28</f>
        <v>200.275423381728</v>
      </c>
      <c r="C57" s="135">
        <f>环刀!O28</f>
        <v>167.2</v>
      </c>
      <c r="D57" s="134">
        <f ca="1" t="shared" si="5"/>
        <v>7</v>
      </c>
      <c r="E57" s="135">
        <f ca="1" t="shared" si="6"/>
        <v>197.053529478506</v>
      </c>
      <c r="F57" s="135">
        <f ca="1" t="shared" si="7"/>
        <v>171.9</v>
      </c>
    </row>
    <row r="58" ht="17.4" spans="1:6">
      <c r="A58" s="134">
        <v>27</v>
      </c>
      <c r="B58" s="135">
        <f>环刀!N29</f>
        <v>204.263713876141</v>
      </c>
      <c r="C58" s="135">
        <f>环刀!O29</f>
        <v>169.4</v>
      </c>
      <c r="D58" s="134">
        <f ca="1" t="shared" si="5"/>
        <v>17</v>
      </c>
      <c r="E58" s="135">
        <f ca="1" t="shared" si="6"/>
        <v>199.405375460514</v>
      </c>
      <c r="F58" s="135">
        <f ca="1" t="shared" si="7"/>
        <v>168.2</v>
      </c>
    </row>
  </sheetData>
  <mergeCells count="47">
    <mergeCell ref="A1:G1"/>
    <mergeCell ref="B2:D2"/>
    <mergeCell ref="E2:G2"/>
    <mergeCell ref="B3:D3"/>
    <mergeCell ref="E3:G3"/>
    <mergeCell ref="A4:D4"/>
    <mergeCell ref="E4:F4"/>
    <mergeCell ref="A5:D5"/>
    <mergeCell ref="A6:D6"/>
    <mergeCell ref="E6:G6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G26"/>
    <mergeCell ref="B27:G27"/>
    <mergeCell ref="A8:A9"/>
    <mergeCell ref="A26:A27"/>
  </mergeCells>
  <pageMargins left="0.75" right="0.75" top="0.45" bottom="0.56" header="0.5" footer="0.5"/>
  <pageSetup paperSize="9" orientation="portrait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H30"/>
  <sheetViews>
    <sheetView topLeftCell="A7" workbookViewId="0">
      <selection activeCell="F37" sqref="F37"/>
    </sheetView>
  </sheetViews>
  <sheetFormatPr defaultColWidth="9" defaultRowHeight="15.6" outlineLevelCol="7"/>
  <cols>
    <col min="1" max="1" width="18.125" style="67" customWidth="1"/>
    <col min="2" max="3" width="10.625" style="67" customWidth="1"/>
    <col min="4" max="7" width="10.5" style="67" customWidth="1"/>
    <col min="8" max="16384" width="9" style="67"/>
  </cols>
  <sheetData>
    <row r="1" ht="35.25" customHeight="1" spans="1:8">
      <c r="A1" s="68" t="s">
        <v>313</v>
      </c>
      <c r="B1" s="68"/>
      <c r="C1" s="68"/>
      <c r="D1" s="68"/>
      <c r="E1" s="68"/>
      <c r="F1" s="68"/>
      <c r="G1" s="68"/>
      <c r="H1" s="69"/>
    </row>
    <row r="2" ht="16.5" customHeight="1" spans="5:8">
      <c r="E2" s="70" t="s">
        <v>314</v>
      </c>
      <c r="F2" s="70"/>
      <c r="G2" s="71"/>
      <c r="H2" s="69"/>
    </row>
    <row r="3" ht="20.25" customHeight="1" spans="1:8">
      <c r="A3" s="72" t="s">
        <v>315</v>
      </c>
      <c r="B3" s="72" t="s">
        <v>96</v>
      </c>
      <c r="C3" s="72"/>
      <c r="D3" s="72"/>
      <c r="E3" s="73" t="s">
        <v>316</v>
      </c>
      <c r="F3" s="73"/>
      <c r="G3" s="73"/>
      <c r="H3" s="69"/>
    </row>
    <row r="4" ht="20.25" customHeight="1" spans="1:8">
      <c r="A4" s="72" t="s">
        <v>284</v>
      </c>
      <c r="B4" s="72" t="s">
        <v>98</v>
      </c>
      <c r="C4" s="72"/>
      <c r="D4" s="72"/>
      <c r="E4" s="73" t="s">
        <v>317</v>
      </c>
      <c r="F4" s="73"/>
      <c r="G4" s="73"/>
      <c r="H4" s="69"/>
    </row>
    <row r="5" ht="20.25" customHeight="1" spans="1:8">
      <c r="A5" s="72" t="s">
        <v>318</v>
      </c>
      <c r="B5" s="74">
        <v>93</v>
      </c>
      <c r="C5" s="72" t="s">
        <v>319</v>
      </c>
      <c r="D5" s="72"/>
      <c r="E5" s="75" t="s">
        <v>320</v>
      </c>
      <c r="F5" s="75"/>
      <c r="G5" s="76" t="s">
        <v>321</v>
      </c>
      <c r="H5" s="69"/>
    </row>
    <row r="6" ht="20.25" customHeight="1" spans="1:8">
      <c r="A6" s="72" t="s">
        <v>290</v>
      </c>
      <c r="B6" s="72"/>
      <c r="C6" s="72"/>
      <c r="D6" s="72"/>
      <c r="E6" s="75" t="s">
        <v>322</v>
      </c>
      <c r="F6" s="77"/>
      <c r="G6" s="76">
        <v>1.91</v>
      </c>
      <c r="H6" s="69"/>
    </row>
    <row r="7" ht="20.25" customHeight="1" spans="1:8">
      <c r="A7" s="73" t="s">
        <v>288</v>
      </c>
      <c r="B7" s="78"/>
      <c r="C7" s="78"/>
      <c r="D7" s="78"/>
      <c r="E7" s="75" t="s">
        <v>323</v>
      </c>
      <c r="F7" s="77"/>
      <c r="G7" s="76">
        <v>9.6</v>
      </c>
      <c r="H7" s="69"/>
    </row>
    <row r="8" ht="20.25" customHeight="1" spans="1:8">
      <c r="A8" s="73" t="s">
        <v>324</v>
      </c>
      <c r="B8" s="79">
        <v>736</v>
      </c>
      <c r="C8" s="79"/>
      <c r="D8" s="80" t="s">
        <v>325</v>
      </c>
      <c r="E8" s="75" t="s">
        <v>326</v>
      </c>
      <c r="F8" s="77"/>
      <c r="G8" s="76">
        <v>1.4</v>
      </c>
      <c r="H8" s="69"/>
    </row>
    <row r="9" ht="33.75" customHeight="1" spans="1:8">
      <c r="A9" s="81"/>
      <c r="B9" s="82" t="s">
        <v>327</v>
      </c>
      <c r="C9" s="83"/>
      <c r="D9" s="82" t="s">
        <v>328</v>
      </c>
      <c r="E9" s="83"/>
      <c r="F9" s="82" t="s">
        <v>329</v>
      </c>
      <c r="G9" s="83"/>
      <c r="H9" s="69"/>
    </row>
    <row r="10" ht="24" customHeight="1" spans="1:8">
      <c r="A10" s="84" t="s">
        <v>330</v>
      </c>
      <c r="B10" s="85">
        <v>9000</v>
      </c>
      <c r="C10" s="86"/>
      <c r="D10" s="85">
        <v>9000</v>
      </c>
      <c r="E10" s="86"/>
      <c r="F10" s="85">
        <v>9000</v>
      </c>
      <c r="G10" s="86"/>
      <c r="H10" s="69"/>
    </row>
    <row r="11" ht="24" customHeight="1" spans="1:8">
      <c r="A11" s="84" t="s">
        <v>331</v>
      </c>
      <c r="B11" s="87">
        <f ca="1">ROUND(RAND()*1111+4253,0)</f>
        <v>4641</v>
      </c>
      <c r="C11" s="88"/>
      <c r="D11" s="87">
        <f ca="1" t="shared" ref="D11" si="0">ROUND(RAND()*1111+4253,0)</f>
        <v>4940</v>
      </c>
      <c r="E11" s="88"/>
      <c r="F11" s="87">
        <f ca="1" t="shared" ref="F11" si="1">ROUND(RAND()*1111+4253,0)</f>
        <v>4376</v>
      </c>
      <c r="G11" s="88"/>
      <c r="H11" s="69"/>
    </row>
    <row r="12" ht="24" customHeight="1" spans="1:8">
      <c r="A12" s="84" t="s">
        <v>332</v>
      </c>
      <c r="B12" s="87">
        <f ca="1">B10-B11-B8</f>
        <v>3623</v>
      </c>
      <c r="C12" s="88"/>
      <c r="D12" s="87">
        <f ca="1">D10-D11-B8</f>
        <v>3324</v>
      </c>
      <c r="E12" s="88"/>
      <c r="F12" s="87">
        <f ca="1">F10-F11-B8</f>
        <v>3888</v>
      </c>
      <c r="G12" s="88"/>
      <c r="H12" s="69"/>
    </row>
    <row r="13" ht="24" customHeight="1" spans="1:8">
      <c r="A13" s="84" t="s">
        <v>333</v>
      </c>
      <c r="B13" s="87">
        <f ca="1">B12/G8</f>
        <v>2587.85714285714</v>
      </c>
      <c r="C13" s="88"/>
      <c r="D13" s="87">
        <f ca="1">D12/G8</f>
        <v>2374.28571428571</v>
      </c>
      <c r="E13" s="88"/>
      <c r="F13" s="87">
        <f ca="1">F12/G8</f>
        <v>2777.14285714286</v>
      </c>
      <c r="G13" s="88"/>
      <c r="H13" s="69"/>
    </row>
    <row r="14" ht="24" customHeight="1" spans="1:8">
      <c r="A14" s="84" t="s">
        <v>334</v>
      </c>
      <c r="B14" s="87">
        <f ca="1">B15*B13</f>
        <v>5157.10759285714</v>
      </c>
      <c r="C14" s="88"/>
      <c r="D14" s="87">
        <f ca="1">D15*D13</f>
        <v>4792.44822857143</v>
      </c>
      <c r="E14" s="88"/>
      <c r="F14" s="87">
        <f ca="1">F15*F13</f>
        <v>5519.23817142857</v>
      </c>
      <c r="G14" s="88"/>
      <c r="H14" s="69"/>
    </row>
    <row r="15" ht="24" customHeight="1" spans="1:8">
      <c r="A15" s="84" t="s">
        <v>298</v>
      </c>
      <c r="B15" s="89">
        <f ca="1">B24*(1+0.01*B23)</f>
        <v>1.99281</v>
      </c>
      <c r="C15" s="90"/>
      <c r="D15" s="89">
        <f ca="1">D24*(1+0.01*D23)</f>
        <v>2.01848</v>
      </c>
      <c r="E15" s="90"/>
      <c r="F15" s="89">
        <f ca="1">F24*(1+0.01*F23)</f>
        <v>1.98738</v>
      </c>
      <c r="G15" s="90"/>
      <c r="H15" s="69"/>
    </row>
    <row r="16" ht="24" customHeight="1" spans="1:8">
      <c r="A16" s="84" t="s">
        <v>299</v>
      </c>
      <c r="B16" s="85">
        <f ca="1">含水量!C30</f>
        <v>15</v>
      </c>
      <c r="C16" s="91">
        <f ca="1">含水量!C31</f>
        <v>4</v>
      </c>
      <c r="D16" s="91">
        <f ca="1">含水量!C32</f>
        <v>26</v>
      </c>
      <c r="E16" s="91">
        <f ca="1">含水量!C33</f>
        <v>18</v>
      </c>
      <c r="F16" s="91">
        <f ca="1">含水量!C34</f>
        <v>22</v>
      </c>
      <c r="G16" s="91">
        <f ca="1">含水量!C35</f>
        <v>7</v>
      </c>
      <c r="H16" s="69"/>
    </row>
    <row r="17" ht="24" customHeight="1" spans="1:8">
      <c r="A17" s="84" t="s">
        <v>300</v>
      </c>
      <c r="B17" s="89">
        <f ca="1" t="shared" ref="B17:G17" si="2">B18+B19</f>
        <v>70.64828</v>
      </c>
      <c r="C17" s="92">
        <f ca="1" t="shared" si="2"/>
        <v>56.95184</v>
      </c>
      <c r="D17" s="92">
        <f ca="1" t="shared" si="2"/>
        <v>72.58556</v>
      </c>
      <c r="E17" s="92">
        <f ca="1" t="shared" si="2"/>
        <v>74.37737</v>
      </c>
      <c r="F17" s="92">
        <f ca="1" t="shared" si="2"/>
        <v>69.14676</v>
      </c>
      <c r="G17" s="92">
        <f ca="1" t="shared" si="2"/>
        <v>64.89651</v>
      </c>
      <c r="H17" s="69"/>
    </row>
    <row r="18" ht="24" customHeight="1" spans="1:8">
      <c r="A18" s="84" t="s">
        <v>301</v>
      </c>
      <c r="B18" s="89">
        <f ca="1" t="shared" ref="B18:G18" si="3">B20+B21</f>
        <v>65.86</v>
      </c>
      <c r="C18" s="92">
        <f ca="1" t="shared" si="3"/>
        <v>53.16</v>
      </c>
      <c r="D18" s="92">
        <f ca="1" t="shared" si="3"/>
        <v>67.98</v>
      </c>
      <c r="E18" s="92">
        <f ca="1" t="shared" si="3"/>
        <v>69.41</v>
      </c>
      <c r="F18" s="92">
        <f ca="1" t="shared" si="3"/>
        <v>64.58</v>
      </c>
      <c r="G18" s="92">
        <f ca="1" t="shared" si="3"/>
        <v>60.69</v>
      </c>
      <c r="H18" s="69"/>
    </row>
    <row r="19" ht="24" customHeight="1" spans="1:8">
      <c r="A19" s="84" t="s">
        <v>302</v>
      </c>
      <c r="B19" s="89">
        <f ca="1" t="shared" ref="B19:G19" si="4">B22*B21/100</f>
        <v>4.78828</v>
      </c>
      <c r="C19" s="92">
        <f ca="1" t="shared" si="4"/>
        <v>3.79184</v>
      </c>
      <c r="D19" s="92">
        <f ca="1" t="shared" si="4"/>
        <v>4.60556</v>
      </c>
      <c r="E19" s="92">
        <f ca="1" t="shared" si="4"/>
        <v>4.96737</v>
      </c>
      <c r="F19" s="92">
        <f ca="1" t="shared" si="4"/>
        <v>4.56676</v>
      </c>
      <c r="G19" s="92">
        <f ca="1" t="shared" si="4"/>
        <v>4.20651</v>
      </c>
      <c r="H19" s="69"/>
    </row>
    <row r="20" ht="24" customHeight="1" spans="1:8">
      <c r="A20" s="84" t="s">
        <v>303</v>
      </c>
      <c r="B20" s="93">
        <f ca="1">含水量!D30</f>
        <v>17</v>
      </c>
      <c r="C20" s="94">
        <f ca="1">含水量!D31</f>
        <v>16.7</v>
      </c>
      <c r="D20" s="94">
        <f ca="1">含水量!D32</f>
        <v>20.5</v>
      </c>
      <c r="E20" s="94">
        <f ca="1">含水量!D33</f>
        <v>18.2</v>
      </c>
      <c r="F20" s="94">
        <f ca="1">含水量!D34</f>
        <v>17.5</v>
      </c>
      <c r="G20" s="94">
        <f ca="1">含水量!D35</f>
        <v>18.2</v>
      </c>
      <c r="H20" s="69"/>
    </row>
    <row r="21" ht="24" customHeight="1" spans="1:8">
      <c r="A21" s="84" t="s">
        <v>304</v>
      </c>
      <c r="B21" s="89">
        <f ca="1">ROUND(RAND()*22+35,2)</f>
        <v>48.86</v>
      </c>
      <c r="C21" s="89">
        <f ca="1" t="shared" ref="C21:G21" si="5">ROUND(RAND()*22+35,2)</f>
        <v>36.46</v>
      </c>
      <c r="D21" s="89">
        <f ca="1" t="shared" si="5"/>
        <v>47.48</v>
      </c>
      <c r="E21" s="89">
        <f ca="1" t="shared" si="5"/>
        <v>51.21</v>
      </c>
      <c r="F21" s="89">
        <f ca="1" t="shared" si="5"/>
        <v>47.08</v>
      </c>
      <c r="G21" s="89">
        <f ca="1" t="shared" si="5"/>
        <v>42.49</v>
      </c>
      <c r="H21" s="69"/>
    </row>
    <row r="22" ht="24" customHeight="1" spans="1:8">
      <c r="A22" s="84" t="s">
        <v>174</v>
      </c>
      <c r="B22" s="93">
        <f ca="1">G7+ROUND(RAND()/2,1)*2-0.2</f>
        <v>9.8</v>
      </c>
      <c r="C22" s="94">
        <f ca="1">G7+ROUND(RAND()/2,1)*2-0.2</f>
        <v>10.4</v>
      </c>
      <c r="D22" s="94">
        <f ca="1">G7+ROUND(RAND()/2,1)*2-0.3</f>
        <v>9.7</v>
      </c>
      <c r="E22" s="94">
        <f ca="1">G7+ROUND(RAND()/2,1)*2-0.3</f>
        <v>9.7</v>
      </c>
      <c r="F22" s="94">
        <f ca="1">G7+ROUND(RAND()/2,1)*2-0.5</f>
        <v>9.7</v>
      </c>
      <c r="G22" s="94">
        <f ca="1">G7+ROUND(RAND()/2,1)*2-0.5</f>
        <v>9.9</v>
      </c>
      <c r="H22" s="69"/>
    </row>
    <row r="23" ht="24" customHeight="1" spans="1:8">
      <c r="A23" s="84" t="s">
        <v>175</v>
      </c>
      <c r="B23" s="93">
        <f ca="1">(B22+C22)/2</f>
        <v>10.1</v>
      </c>
      <c r="C23" s="95"/>
      <c r="D23" s="93">
        <f ca="1">(D22+E22)/2</f>
        <v>9.7</v>
      </c>
      <c r="E23" s="95"/>
      <c r="F23" s="93">
        <f ca="1">(F22+G22)/2</f>
        <v>9.8</v>
      </c>
      <c r="G23" s="95"/>
      <c r="H23" s="69"/>
    </row>
    <row r="24" ht="24" customHeight="1" spans="1:8">
      <c r="A24" s="84" t="s">
        <v>305</v>
      </c>
      <c r="B24" s="89">
        <f ca="1">ROUND(B5*0.01*G6+RAND()*0.06,2)+0.01</f>
        <v>1.81</v>
      </c>
      <c r="C24" s="90"/>
      <c r="D24" s="89">
        <f ca="1">ROUND(B5*0.01*G6+RAND()*0.06,2)+0.01</f>
        <v>1.84</v>
      </c>
      <c r="E24" s="90"/>
      <c r="F24" s="89">
        <f ca="1">ROUND(B5*0.01*G6+RAND()*0.06,2)+0.01</f>
        <v>1.81</v>
      </c>
      <c r="G24" s="90"/>
      <c r="H24" s="69"/>
    </row>
    <row r="25" ht="24" customHeight="1" spans="1:8">
      <c r="A25" s="84" t="s">
        <v>306</v>
      </c>
      <c r="B25" s="93">
        <f ca="1">ROUND(B24*100/G6,1)</f>
        <v>94.8</v>
      </c>
      <c r="C25" s="95"/>
      <c r="D25" s="93">
        <f ca="1">ROUND(D24*100/G6,1)</f>
        <v>96.3</v>
      </c>
      <c r="E25" s="95"/>
      <c r="F25" s="93">
        <f ca="1">ROUND(F24*100/G6,1)</f>
        <v>94.8</v>
      </c>
      <c r="G25" s="95"/>
      <c r="H25" s="69"/>
    </row>
    <row r="26" ht="52.5" customHeight="1" spans="1:8">
      <c r="A26" s="96" t="s">
        <v>213</v>
      </c>
      <c r="B26" s="97" t="s">
        <v>335</v>
      </c>
      <c r="C26" s="98"/>
      <c r="D26" s="98"/>
      <c r="E26" s="98"/>
      <c r="F26" s="98"/>
      <c r="G26" s="99"/>
      <c r="H26" s="69"/>
    </row>
    <row r="27" ht="52.5" customHeight="1" spans="1:8">
      <c r="A27" s="100"/>
      <c r="B27" s="97" t="s">
        <v>336</v>
      </c>
      <c r="C27" s="98"/>
      <c r="D27" s="98"/>
      <c r="E27" s="98"/>
      <c r="F27" s="98"/>
      <c r="G27" s="99"/>
      <c r="H27" s="69"/>
    </row>
    <row r="28" ht="5.25" customHeight="1" spans="1:8">
      <c r="A28" s="101"/>
      <c r="B28" s="102"/>
      <c r="C28" s="102"/>
      <c r="D28" s="102"/>
      <c r="E28" s="102"/>
      <c r="F28" s="102"/>
      <c r="G28" s="102"/>
      <c r="H28" s="69"/>
    </row>
    <row r="29" spans="1:8">
      <c r="A29" s="67" t="s">
        <v>309</v>
      </c>
      <c r="B29" s="103" t="s">
        <v>337</v>
      </c>
      <c r="E29" s="67" t="s">
        <v>338</v>
      </c>
      <c r="H29" s="69"/>
    </row>
    <row r="30" ht="42.75" customHeight="1" spans="1:8">
      <c r="A30" s="69"/>
      <c r="B30" s="69"/>
      <c r="C30" s="69"/>
      <c r="D30" s="69"/>
      <c r="E30" s="69"/>
      <c r="F30" s="69"/>
      <c r="G30" s="69"/>
      <c r="H30" s="69"/>
    </row>
  </sheetData>
  <mergeCells count="46">
    <mergeCell ref="A1:G1"/>
    <mergeCell ref="E2:F2"/>
    <mergeCell ref="B3:D3"/>
    <mergeCell ref="E3:G3"/>
    <mergeCell ref="B4:D4"/>
    <mergeCell ref="E4:G4"/>
    <mergeCell ref="E5:F5"/>
    <mergeCell ref="A6:D6"/>
    <mergeCell ref="E6:F6"/>
    <mergeCell ref="B7:D7"/>
    <mergeCell ref="E7:F7"/>
    <mergeCell ref="B8:C8"/>
    <mergeCell ref="E8:F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G26"/>
    <mergeCell ref="B27:G27"/>
    <mergeCell ref="A26:A27"/>
  </mergeCells>
  <pageMargins left="0.748031496062992" right="0.53" top="0.66" bottom="0.51" header="0.511811023622047" footer="0.53"/>
  <pageSetup paperSize="9" orientation="portrait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Z79"/>
  <sheetViews>
    <sheetView workbookViewId="0">
      <selection activeCell="Q2" sqref="Q2:Z22"/>
    </sheetView>
  </sheetViews>
  <sheetFormatPr defaultColWidth="9" defaultRowHeight="15.6"/>
  <cols>
    <col min="1" max="1" width="5.75" customWidth="1"/>
    <col min="2" max="2" width="5.625" customWidth="1"/>
    <col min="3" max="3" width="6" customWidth="1"/>
    <col min="4" max="5" width="3.375" customWidth="1"/>
    <col min="6" max="6" width="6.75" customWidth="1"/>
    <col min="7" max="9" width="6.125" customWidth="1"/>
    <col min="10" max="11" width="3.375" customWidth="1"/>
    <col min="12" max="12" width="6.125" customWidth="1"/>
    <col min="13" max="14" width="3.375" customWidth="1"/>
    <col min="15" max="16" width="6.125" customWidth="1"/>
    <col min="17" max="17" width="10" style="16" customWidth="1"/>
    <col min="18" max="18" width="7.875" style="16" customWidth="1"/>
    <col min="19" max="19" width="10" style="16" customWidth="1"/>
    <col min="20" max="20" width="8.25" style="16" customWidth="1"/>
    <col min="21" max="21" width="10" style="16" customWidth="1"/>
    <col min="22" max="22" width="8" style="16" customWidth="1"/>
    <col min="23" max="23" width="10" style="16" customWidth="1"/>
    <col min="24" max="24" width="8.5" style="16" customWidth="1"/>
    <col min="25" max="25" width="10" style="16" customWidth="1"/>
    <col min="26" max="26" width="9.875" style="16" customWidth="1"/>
    <col min="27" max="27" width="9" style="16"/>
  </cols>
  <sheetData>
    <row r="1" ht="20.4" spans="1:25">
      <c r="A1" s="17" t="s">
        <v>339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59">
        <v>1</v>
      </c>
      <c r="R1" s="59"/>
      <c r="S1" s="59">
        <v>2</v>
      </c>
      <c r="T1" s="59"/>
      <c r="U1" s="59">
        <v>3</v>
      </c>
      <c r="V1" s="59"/>
      <c r="W1" s="59">
        <v>4</v>
      </c>
      <c r="X1" s="59"/>
      <c r="Y1" s="59">
        <v>5</v>
      </c>
    </row>
    <row r="2" ht="20.4" spans="1:25">
      <c r="A2" s="18" t="s">
        <v>340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60">
        <f ca="1">RAND()+15</f>
        <v>15.6911425926557</v>
      </c>
      <c r="R2" s="60"/>
      <c r="S2" s="60">
        <f ca="1" t="shared" ref="S2:Y2" si="0">RAND()+15</f>
        <v>15.3592905017472</v>
      </c>
      <c r="T2" s="60"/>
      <c r="U2" s="60">
        <f ca="1" t="shared" si="0"/>
        <v>15.0007886787737</v>
      </c>
      <c r="V2" s="60"/>
      <c r="W2" s="60">
        <f ca="1" t="shared" si="0"/>
        <v>15.7426641880757</v>
      </c>
      <c r="X2" s="60"/>
      <c r="Y2" s="60">
        <f ca="1" t="shared" si="0"/>
        <v>15.4531953063229</v>
      </c>
    </row>
    <row r="3" ht="18" customHeight="1" spans="1:25">
      <c r="A3" s="19" t="s">
        <v>341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61">
        <f>D10</f>
        <v>9000</v>
      </c>
      <c r="R3" s="61"/>
      <c r="S3" s="61">
        <f>G10</f>
        <v>9000</v>
      </c>
      <c r="T3" s="61"/>
      <c r="U3" s="61">
        <f>I10</f>
        <v>9000</v>
      </c>
      <c r="V3" s="61"/>
      <c r="W3" s="61">
        <f>L10</f>
        <v>9000</v>
      </c>
      <c r="X3" s="61"/>
      <c r="Y3" s="61">
        <f>O10</f>
        <v>9000</v>
      </c>
    </row>
    <row r="4" ht="18" customHeight="1" spans="1:25">
      <c r="A4" s="20" t="s">
        <v>342</v>
      </c>
      <c r="B4" s="21"/>
      <c r="C4" s="21" t="s">
        <v>343</v>
      </c>
      <c r="D4" s="21"/>
      <c r="E4" s="21"/>
      <c r="F4" s="21"/>
      <c r="G4" s="21"/>
      <c r="H4" s="21" t="s">
        <v>344</v>
      </c>
      <c r="I4" s="21"/>
      <c r="J4" s="21"/>
      <c r="K4" s="21"/>
      <c r="L4" s="48" t="s">
        <v>345</v>
      </c>
      <c r="M4" s="48"/>
      <c r="N4" s="48"/>
      <c r="O4" s="48"/>
      <c r="P4" s="49"/>
      <c r="Q4" s="62">
        <f ca="1">Q3-Q5-Q6</f>
        <v>4886.87340326545</v>
      </c>
      <c r="R4" s="62"/>
      <c r="S4" s="62">
        <f ca="1">S3-S5-S6</f>
        <v>4957.57721242064</v>
      </c>
      <c r="T4" s="62"/>
      <c r="U4" s="62">
        <f ca="1">U3-U5-U6</f>
        <v>5033.95896552009</v>
      </c>
      <c r="V4" s="62"/>
      <c r="W4" s="62">
        <f ca="1">W3-W5-W6</f>
        <v>4875.89630488412</v>
      </c>
      <c r="X4" s="62"/>
      <c r="Y4" s="62">
        <f ca="1">Y3-Y5-Y6</f>
        <v>4937.57002378639</v>
      </c>
    </row>
    <row r="5" ht="18" customHeight="1" spans="1:25">
      <c r="A5" s="22" t="s">
        <v>102</v>
      </c>
      <c r="B5" s="23"/>
      <c r="C5" s="24" t="s">
        <v>346</v>
      </c>
      <c r="D5" s="24"/>
      <c r="E5" s="24"/>
      <c r="F5" s="24"/>
      <c r="G5" s="24"/>
      <c r="H5" s="23" t="s">
        <v>108</v>
      </c>
      <c r="I5" s="23"/>
      <c r="J5" s="23"/>
      <c r="K5" s="23"/>
      <c r="L5" s="24" t="s">
        <v>347</v>
      </c>
      <c r="M5" s="24"/>
      <c r="N5" s="24"/>
      <c r="O5" s="24"/>
      <c r="P5" s="50"/>
      <c r="Q5" s="61">
        <f>D12</f>
        <v>770</v>
      </c>
      <c r="R5" s="61"/>
      <c r="S5" s="61">
        <f>G12</f>
        <v>770</v>
      </c>
      <c r="T5" s="61"/>
      <c r="U5" s="61">
        <f>I12</f>
        <v>770</v>
      </c>
      <c r="V5" s="61"/>
      <c r="W5" s="61">
        <f>L12</f>
        <v>770</v>
      </c>
      <c r="X5" s="61"/>
      <c r="Y5" s="61">
        <f>O12</f>
        <v>770</v>
      </c>
    </row>
    <row r="6" ht="18" customHeight="1" spans="1:25">
      <c r="A6" s="22" t="s">
        <v>348</v>
      </c>
      <c r="B6" s="23"/>
      <c r="C6" s="24" t="s">
        <v>349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50"/>
      <c r="Q6" s="62">
        <f ca="1">Q9*1.38</f>
        <v>3343.12659673455</v>
      </c>
      <c r="R6" s="62"/>
      <c r="S6" s="62">
        <f ca="1">S9*1.38</f>
        <v>3272.42278757936</v>
      </c>
      <c r="T6" s="62"/>
      <c r="U6" s="62">
        <f ca="1">U9*1.38</f>
        <v>3196.04103447991</v>
      </c>
      <c r="V6" s="62"/>
      <c r="W6" s="62">
        <f ca="1">W9*1.38</f>
        <v>3354.10369511588</v>
      </c>
      <c r="X6" s="62"/>
      <c r="Y6" s="62">
        <f ca="1">Y9*1.38</f>
        <v>3292.42997621361</v>
      </c>
    </row>
    <row r="7" ht="18" customHeight="1" spans="1:25">
      <c r="A7" s="22" t="s">
        <v>350</v>
      </c>
      <c r="B7" s="23"/>
      <c r="C7" s="23" t="s">
        <v>351</v>
      </c>
      <c r="D7" s="24"/>
      <c r="E7" s="24"/>
      <c r="F7" s="24"/>
      <c r="G7" s="23" t="s">
        <v>352</v>
      </c>
      <c r="H7" s="23"/>
      <c r="I7" s="24">
        <v>11.1</v>
      </c>
      <c r="J7" s="24"/>
      <c r="K7" s="24"/>
      <c r="L7" s="23" t="s">
        <v>353</v>
      </c>
      <c r="M7" s="23"/>
      <c r="N7" s="23"/>
      <c r="O7" s="24">
        <v>90</v>
      </c>
      <c r="P7" s="50"/>
      <c r="Q7" s="63">
        <v>1.38</v>
      </c>
      <c r="R7" s="63"/>
      <c r="S7" s="63">
        <v>1.38</v>
      </c>
      <c r="T7" s="63"/>
      <c r="U7" s="63">
        <v>1.38</v>
      </c>
      <c r="V7" s="63"/>
      <c r="W7" s="63">
        <v>1.38</v>
      </c>
      <c r="X7" s="63"/>
      <c r="Y7" s="63">
        <v>1.38</v>
      </c>
    </row>
    <row r="8" ht="18" customHeight="1" spans="1:25">
      <c r="A8" s="22" t="s">
        <v>354</v>
      </c>
      <c r="B8" s="23"/>
      <c r="C8" s="23"/>
      <c r="D8" s="25" t="s">
        <v>355</v>
      </c>
      <c r="E8" s="26"/>
      <c r="F8" s="27"/>
      <c r="G8" s="25" t="s">
        <v>356</v>
      </c>
      <c r="H8" s="27"/>
      <c r="I8" s="25" t="s">
        <v>357</v>
      </c>
      <c r="J8" s="26"/>
      <c r="K8" s="27"/>
      <c r="L8" s="25" t="s">
        <v>358</v>
      </c>
      <c r="M8" s="26"/>
      <c r="N8" s="27"/>
      <c r="O8" s="24" t="s">
        <v>359</v>
      </c>
      <c r="P8" s="50"/>
      <c r="Q8" s="62">
        <f ca="1">Q9*Q10</f>
        <v>4580.69248637922</v>
      </c>
      <c r="R8" s="62"/>
      <c r="S8" s="62">
        <f ca="1">S9*S10</f>
        <v>4499.7441042888</v>
      </c>
      <c r="T8" s="62"/>
      <c r="U8" s="62">
        <f ca="1">U9*U10</f>
        <v>4429.04128515039</v>
      </c>
      <c r="V8" s="62"/>
      <c r="W8" s="62">
        <f ca="1">W9*W10</f>
        <v>4560.00777189883</v>
      </c>
      <c r="X8" s="62"/>
      <c r="Y8" s="62">
        <f ca="1">Y9*Y10</f>
        <v>4523.97512679914</v>
      </c>
    </row>
    <row r="9" ht="18" customHeight="1" spans="1:25">
      <c r="A9" s="22" t="s">
        <v>360</v>
      </c>
      <c r="B9" s="23"/>
      <c r="C9" s="23"/>
      <c r="D9" s="28">
        <f ca="1">Q2</f>
        <v>15.6911425926557</v>
      </c>
      <c r="E9" s="29"/>
      <c r="F9" s="30"/>
      <c r="G9" s="28">
        <f ca="1">S2</f>
        <v>15.3592905017472</v>
      </c>
      <c r="H9" s="30"/>
      <c r="I9" s="28">
        <f ca="1">U2</f>
        <v>15.0007886787737</v>
      </c>
      <c r="J9" s="29"/>
      <c r="K9" s="30"/>
      <c r="L9" s="28">
        <f ca="1">W2</f>
        <v>15.7426641880757</v>
      </c>
      <c r="M9" s="29"/>
      <c r="N9" s="30"/>
      <c r="O9" s="38">
        <f ca="1">Y2</f>
        <v>15.4531953063229</v>
      </c>
      <c r="P9" s="51"/>
      <c r="Q9" s="62">
        <f ca="1">Q2*154.39</f>
        <v>2422.55550488011</v>
      </c>
      <c r="R9" s="62"/>
      <c r="S9" s="62">
        <f ca="1">S2*154.39</f>
        <v>2371.32086056475</v>
      </c>
      <c r="T9" s="62"/>
      <c r="U9" s="62">
        <f ca="1">U2*154.39</f>
        <v>2315.97176411587</v>
      </c>
      <c r="V9" s="62"/>
      <c r="W9" s="62">
        <f ca="1">W2*154.39</f>
        <v>2430.50992399701</v>
      </c>
      <c r="X9" s="62"/>
      <c r="Y9" s="62">
        <f ca="1">Y2*154.39</f>
        <v>2385.8188233432</v>
      </c>
    </row>
    <row r="10" ht="18" customHeight="1" spans="1:25">
      <c r="A10" s="22" t="s">
        <v>361</v>
      </c>
      <c r="B10" s="23"/>
      <c r="C10" s="23"/>
      <c r="D10" s="25">
        <v>9000</v>
      </c>
      <c r="E10" s="26"/>
      <c r="F10" s="27"/>
      <c r="G10" s="25">
        <v>9000</v>
      </c>
      <c r="H10" s="27"/>
      <c r="I10" s="25">
        <v>9000</v>
      </c>
      <c r="J10" s="26"/>
      <c r="K10" s="27"/>
      <c r="L10" s="25">
        <v>9000</v>
      </c>
      <c r="M10" s="26"/>
      <c r="N10" s="27"/>
      <c r="O10" s="24">
        <v>9000</v>
      </c>
      <c r="P10" s="50"/>
      <c r="Q10" s="63">
        <f ca="1">Q19*(1+Q18*0.01)</f>
        <v>1.89085140759486</v>
      </c>
      <c r="R10" s="63"/>
      <c r="S10" s="63">
        <f ca="1">S19*(1+S18*0.01)</f>
        <v>1.89756864164605</v>
      </c>
      <c r="T10" s="63"/>
      <c r="U10" s="63">
        <f ca="1">U19*(1+U18*0.01)</f>
        <v>1.91239001864134</v>
      </c>
      <c r="V10" s="63"/>
      <c r="W10" s="63">
        <f ca="1">W19*(1+W18*0.01)</f>
        <v>1.8761527064246</v>
      </c>
      <c r="X10" s="63"/>
      <c r="Y10" s="63">
        <f ca="1">Y19*(1+Y18*0.01)</f>
        <v>1.89619391151411</v>
      </c>
    </row>
    <row r="11" ht="18" customHeight="1" spans="1:26">
      <c r="A11" s="22" t="s">
        <v>362</v>
      </c>
      <c r="B11" s="23"/>
      <c r="C11" s="23"/>
      <c r="D11" s="31">
        <f ca="1">Q4</f>
        <v>4886.87340326545</v>
      </c>
      <c r="E11" s="32"/>
      <c r="F11" s="33"/>
      <c r="G11" s="31">
        <f ca="1">S4</f>
        <v>4957.57721242064</v>
      </c>
      <c r="H11" s="33"/>
      <c r="I11" s="31">
        <f ca="1">U4</f>
        <v>5033.95896552009</v>
      </c>
      <c r="J11" s="32"/>
      <c r="K11" s="33"/>
      <c r="L11" s="31">
        <f ca="1">W4</f>
        <v>4875.89630488412</v>
      </c>
      <c r="M11" s="32"/>
      <c r="N11" s="33"/>
      <c r="O11" s="52">
        <f ca="1">Y4</f>
        <v>4937.57002378639</v>
      </c>
      <c r="P11" s="53"/>
      <c r="Q11" s="16">
        <f>D18</f>
        <v>1</v>
      </c>
      <c r="R11" s="16">
        <f t="shared" ref="R11:V12" si="1">F18</f>
        <v>2</v>
      </c>
      <c r="S11" s="16">
        <f t="shared" si="1"/>
        <v>3</v>
      </c>
      <c r="T11" s="16">
        <f t="shared" si="1"/>
        <v>4</v>
      </c>
      <c r="U11" s="16">
        <f t="shared" si="1"/>
        <v>5</v>
      </c>
      <c r="V11" s="16">
        <f t="shared" si="1"/>
        <v>6</v>
      </c>
      <c r="W11" s="16">
        <f>L18</f>
        <v>7</v>
      </c>
      <c r="X11" s="16">
        <f>M18</f>
        <v>8</v>
      </c>
      <c r="Y11" s="16">
        <f>O18</f>
        <v>9</v>
      </c>
      <c r="Z11" s="16">
        <f>P18</f>
        <v>10</v>
      </c>
    </row>
    <row r="12" ht="18" customHeight="1" spans="1:26">
      <c r="A12" s="22" t="s">
        <v>363</v>
      </c>
      <c r="B12" s="23"/>
      <c r="C12" s="23"/>
      <c r="D12" s="25">
        <v>770</v>
      </c>
      <c r="E12" s="26"/>
      <c r="F12" s="27"/>
      <c r="G12" s="25">
        <f>D12</f>
        <v>770</v>
      </c>
      <c r="H12" s="27"/>
      <c r="I12" s="25">
        <f>D12</f>
        <v>770</v>
      </c>
      <c r="J12" s="26"/>
      <c r="K12" s="27"/>
      <c r="L12" s="25">
        <f>D12</f>
        <v>770</v>
      </c>
      <c r="M12" s="26"/>
      <c r="N12" s="27"/>
      <c r="O12" s="24">
        <f>D12</f>
        <v>770</v>
      </c>
      <c r="P12" s="50"/>
      <c r="Q12" s="64">
        <f>D19</f>
        <v>50</v>
      </c>
      <c r="R12" s="64">
        <f t="shared" si="1"/>
        <v>50</v>
      </c>
      <c r="S12" s="64">
        <f t="shared" si="1"/>
        <v>50</v>
      </c>
      <c r="T12" s="64">
        <f t="shared" si="1"/>
        <v>50</v>
      </c>
      <c r="U12" s="64">
        <f t="shared" si="1"/>
        <v>50</v>
      </c>
      <c r="V12" s="64">
        <f t="shared" si="1"/>
        <v>50</v>
      </c>
      <c r="W12" s="64">
        <f>L19</f>
        <v>50</v>
      </c>
      <c r="X12" s="64">
        <f>M19</f>
        <v>50</v>
      </c>
      <c r="Y12" s="64">
        <f>O19</f>
        <v>50</v>
      </c>
      <c r="Z12" s="64">
        <f>P19</f>
        <v>50</v>
      </c>
    </row>
    <row r="13" ht="18" customHeight="1" spans="1:26">
      <c r="A13" s="22" t="s">
        <v>364</v>
      </c>
      <c r="B13" s="23"/>
      <c r="C13" s="23"/>
      <c r="D13" s="31">
        <f ca="1">Q6</f>
        <v>3343.12659673455</v>
      </c>
      <c r="E13" s="32"/>
      <c r="F13" s="33"/>
      <c r="G13" s="31">
        <f ca="1">S6</f>
        <v>3272.42278757936</v>
      </c>
      <c r="H13" s="33"/>
      <c r="I13" s="31">
        <f ca="1">U6</f>
        <v>3196.04103447991</v>
      </c>
      <c r="J13" s="32"/>
      <c r="K13" s="33"/>
      <c r="L13" s="31">
        <f ca="1">W6</f>
        <v>3354.10369511588</v>
      </c>
      <c r="M13" s="32"/>
      <c r="N13" s="33"/>
      <c r="O13" s="52">
        <f ca="1">Y6</f>
        <v>3292.42997621361</v>
      </c>
      <c r="P13" s="53"/>
      <c r="Q13" s="64">
        <f ca="1">Q14+Q15</f>
        <v>156.6359981311</v>
      </c>
      <c r="R13" s="64">
        <f ca="1">R14+R15</f>
        <v>155.390986125968</v>
      </c>
      <c r="S13" s="64">
        <f ca="1" t="shared" ref="S13:Z13" si="2">S14+S15</f>
        <v>150.319218052594</v>
      </c>
      <c r="T13" s="64">
        <f ca="1" t="shared" si="2"/>
        <v>152.835834534723</v>
      </c>
      <c r="U13" s="64">
        <f ca="1" t="shared" si="2"/>
        <v>152.011740179717</v>
      </c>
      <c r="V13" s="64">
        <f ca="1" t="shared" si="2"/>
        <v>156.57649979855</v>
      </c>
      <c r="W13" s="64">
        <f ca="1" t="shared" si="2"/>
        <v>151.861435034663</v>
      </c>
      <c r="X13" s="64">
        <f ca="1" t="shared" si="2"/>
        <v>156.539184805317</v>
      </c>
      <c r="Y13" s="64">
        <f ca="1" t="shared" si="2"/>
        <v>152.949837039696</v>
      </c>
      <c r="Z13" s="64">
        <f ca="1" t="shared" si="2"/>
        <v>156.514604971689</v>
      </c>
    </row>
    <row r="14" ht="18" customHeight="1" spans="1:26">
      <c r="A14" s="22" t="s">
        <v>365</v>
      </c>
      <c r="B14" s="23"/>
      <c r="C14" s="23"/>
      <c r="D14" s="25">
        <v>1.38</v>
      </c>
      <c r="E14" s="26"/>
      <c r="F14" s="27"/>
      <c r="G14" s="25">
        <v>1.38</v>
      </c>
      <c r="H14" s="27"/>
      <c r="I14" s="25">
        <v>1.38</v>
      </c>
      <c r="J14" s="26"/>
      <c r="K14" s="27"/>
      <c r="L14" s="25">
        <v>1.38</v>
      </c>
      <c r="M14" s="26"/>
      <c r="N14" s="27"/>
      <c r="O14" s="24">
        <v>1.38</v>
      </c>
      <c r="P14" s="50"/>
      <c r="Q14" s="64">
        <f ca="1">Q16+Q12</f>
        <v>146.423736442856</v>
      </c>
      <c r="R14" s="64">
        <f ca="1">R16+R12</f>
        <v>145.118289405412</v>
      </c>
      <c r="S14" s="64">
        <f ca="1" t="shared" ref="S14:X14" si="3">S16+R12</f>
        <v>141.191950558604</v>
      </c>
      <c r="T14" s="64">
        <f ca="1" t="shared" si="3"/>
        <v>143.38761592216</v>
      </c>
      <c r="U14" s="64">
        <f ca="1" t="shared" si="3"/>
        <v>142.306023422285</v>
      </c>
      <c r="V14" s="64">
        <f ca="1" t="shared" si="3"/>
        <v>146.264170570092</v>
      </c>
      <c r="W14" s="64">
        <f ca="1" t="shared" si="3"/>
        <v>142.104582536366</v>
      </c>
      <c r="X14" s="64">
        <f ca="1" t="shared" si="3"/>
        <v>146.230858082534</v>
      </c>
      <c r="Y14" s="64">
        <f ca="1">Y16+W12</f>
        <v>142.961015684814</v>
      </c>
      <c r="Z14" s="64">
        <f ca="1">Z16+X12</f>
        <v>146.044888380198</v>
      </c>
    </row>
    <row r="15" ht="18" customHeight="1" spans="1:26">
      <c r="A15" s="22" t="s">
        <v>366</v>
      </c>
      <c r="B15" s="23"/>
      <c r="C15" s="23"/>
      <c r="D15" s="31">
        <f ca="1" t="shared" ref="D15:D27" si="4">Q8</f>
        <v>4580.69248637922</v>
      </c>
      <c r="E15" s="32"/>
      <c r="F15" s="33"/>
      <c r="G15" s="31">
        <f ca="1" t="shared" ref="G15:H27" si="5">S8</f>
        <v>4499.7441042888</v>
      </c>
      <c r="H15" s="33"/>
      <c r="I15" s="31">
        <f ca="1" t="shared" ref="I15:J27" si="6">U8</f>
        <v>4429.04128515039</v>
      </c>
      <c r="J15" s="32"/>
      <c r="K15" s="33"/>
      <c r="L15" s="31">
        <f ca="1" t="shared" ref="L15:M27" si="7">W8</f>
        <v>4560.00777189883</v>
      </c>
      <c r="M15" s="32"/>
      <c r="N15" s="33"/>
      <c r="O15" s="52">
        <f ca="1" t="shared" ref="O15:P27" si="8">Y8</f>
        <v>4523.97512679914</v>
      </c>
      <c r="P15" s="53"/>
      <c r="Q15" s="64">
        <f ca="1">Q16*Q17/100</f>
        <v>10.2122616882444</v>
      </c>
      <c r="R15" s="64">
        <f ca="1" t="shared" ref="R15:Z15" si="9">R16*R17/100</f>
        <v>10.2726967205557</v>
      </c>
      <c r="S15" s="64">
        <f ca="1" t="shared" si="9"/>
        <v>9.12726749399044</v>
      </c>
      <c r="T15" s="64">
        <f ca="1" t="shared" si="9"/>
        <v>9.44821861256266</v>
      </c>
      <c r="U15" s="64">
        <f ca="1" t="shared" si="9"/>
        <v>9.70571675743136</v>
      </c>
      <c r="V15" s="64">
        <f ca="1" t="shared" si="9"/>
        <v>10.3123292284571</v>
      </c>
      <c r="W15" s="64">
        <f ca="1" t="shared" si="9"/>
        <v>9.75685249829737</v>
      </c>
      <c r="X15" s="64">
        <f ca="1" t="shared" si="9"/>
        <v>10.308326722783</v>
      </c>
      <c r="Y15" s="64">
        <f ca="1" t="shared" si="9"/>
        <v>9.98882135488221</v>
      </c>
      <c r="Z15" s="64">
        <f ca="1" t="shared" si="9"/>
        <v>10.4697165914916</v>
      </c>
    </row>
    <row r="16" ht="18" customHeight="1" spans="1:26">
      <c r="A16" s="22" t="s">
        <v>367</v>
      </c>
      <c r="B16" s="23"/>
      <c r="C16" s="23"/>
      <c r="D16" s="28">
        <f ca="1" t="shared" si="4"/>
        <v>2422.55550488011</v>
      </c>
      <c r="E16" s="29"/>
      <c r="F16" s="30"/>
      <c r="G16" s="28">
        <f ca="1" t="shared" si="5"/>
        <v>2371.32086056475</v>
      </c>
      <c r="H16" s="30"/>
      <c r="I16" s="28">
        <f ca="1" t="shared" si="6"/>
        <v>2315.97176411587</v>
      </c>
      <c r="J16" s="29"/>
      <c r="K16" s="30"/>
      <c r="L16" s="28">
        <f ca="1" t="shared" si="7"/>
        <v>2430.50992399701</v>
      </c>
      <c r="M16" s="29"/>
      <c r="N16" s="30"/>
      <c r="O16" s="38">
        <f ca="1" t="shared" si="8"/>
        <v>2385.8188233432</v>
      </c>
      <c r="P16" s="51"/>
      <c r="Q16" s="64">
        <f ca="1">RAND()*7.31+90.6</f>
        <v>96.4237364428558</v>
      </c>
      <c r="R16" s="64">
        <f ca="1">RAND()*7.31+90.6</f>
        <v>95.1182894054124</v>
      </c>
      <c r="S16" s="64">
        <f ca="1" t="shared" ref="S16:Z16" si="10">RAND()*7.31+90.6</f>
        <v>91.1919505586037</v>
      </c>
      <c r="T16" s="64">
        <f ca="1" t="shared" si="10"/>
        <v>93.3876159221603</v>
      </c>
      <c r="U16" s="64">
        <f ca="1" t="shared" si="10"/>
        <v>92.3060234222854</v>
      </c>
      <c r="V16" s="64">
        <f ca="1" t="shared" si="10"/>
        <v>96.2641705700925</v>
      </c>
      <c r="W16" s="64">
        <f ca="1" t="shared" si="10"/>
        <v>92.1045825363659</v>
      </c>
      <c r="X16" s="64">
        <f ca="1" t="shared" si="10"/>
        <v>96.2308580825344</v>
      </c>
      <c r="Y16" s="64">
        <f ca="1" t="shared" si="10"/>
        <v>92.961015684814</v>
      </c>
      <c r="Z16" s="64">
        <f ca="1" t="shared" si="10"/>
        <v>96.0448883801978</v>
      </c>
    </row>
    <row r="17" ht="18" customHeight="1" spans="1:26">
      <c r="A17" s="22" t="s">
        <v>368</v>
      </c>
      <c r="B17" s="23"/>
      <c r="C17" s="23"/>
      <c r="D17" s="34">
        <f ca="1" t="shared" si="4"/>
        <v>1.89085140759486</v>
      </c>
      <c r="E17" s="35"/>
      <c r="F17" s="36"/>
      <c r="G17" s="34">
        <f ca="1" t="shared" si="5"/>
        <v>1.89756864164605</v>
      </c>
      <c r="H17" s="36"/>
      <c r="I17" s="34">
        <f ca="1" t="shared" si="6"/>
        <v>1.91239001864134</v>
      </c>
      <c r="J17" s="35"/>
      <c r="K17" s="36"/>
      <c r="L17" s="34">
        <f ca="1" t="shared" si="7"/>
        <v>1.8761527064246</v>
      </c>
      <c r="M17" s="35"/>
      <c r="N17" s="36"/>
      <c r="O17" s="37">
        <f ca="1" t="shared" si="8"/>
        <v>1.89619391151411</v>
      </c>
      <c r="P17" s="54"/>
      <c r="Q17" s="60">
        <f ca="1">RAND()*1+10</f>
        <v>10.5910246428757</v>
      </c>
      <c r="R17" s="60">
        <f ca="1">RAND()*1+10</f>
        <v>10.799917434145</v>
      </c>
      <c r="S17" s="60">
        <f ca="1" t="shared" ref="S17:Z17" si="11">RAND()*1+10</f>
        <v>10.0088521389011</v>
      </c>
      <c r="T17" s="60">
        <f ca="1" t="shared" si="11"/>
        <v>10.1172072113265</v>
      </c>
      <c r="U17" s="60">
        <f ca="1" t="shared" si="11"/>
        <v>10.5147165890023</v>
      </c>
      <c r="V17" s="60">
        <f ca="1" t="shared" si="11"/>
        <v>10.7125311186766</v>
      </c>
      <c r="W17" s="60">
        <f ca="1" t="shared" si="11"/>
        <v>10.5932324208136</v>
      </c>
      <c r="X17" s="60">
        <f ca="1" t="shared" si="11"/>
        <v>10.7120802289239</v>
      </c>
      <c r="Y17" s="60">
        <f ca="1" t="shared" si="11"/>
        <v>10.7451723513322</v>
      </c>
      <c r="Z17" s="60">
        <f ca="1" t="shared" si="11"/>
        <v>10.9008576802618</v>
      </c>
    </row>
    <row r="18" ht="18" customHeight="1" spans="1:26">
      <c r="A18" s="22" t="s">
        <v>179</v>
      </c>
      <c r="B18" s="23"/>
      <c r="C18" s="23"/>
      <c r="D18" s="25">
        <v>1</v>
      </c>
      <c r="E18" s="27"/>
      <c r="F18" s="24">
        <v>2</v>
      </c>
      <c r="G18" s="24">
        <v>3</v>
      </c>
      <c r="H18" s="24">
        <v>4</v>
      </c>
      <c r="I18" s="24">
        <v>5</v>
      </c>
      <c r="J18" s="25">
        <v>6</v>
      </c>
      <c r="K18" s="27"/>
      <c r="L18" s="24">
        <v>7</v>
      </c>
      <c r="M18" s="25">
        <v>8</v>
      </c>
      <c r="N18" s="27"/>
      <c r="O18" s="24">
        <v>9</v>
      </c>
      <c r="P18" s="50">
        <v>10</v>
      </c>
      <c r="Q18" s="65">
        <f ca="1">(Q17+R17)/2</f>
        <v>10.6954710385104</v>
      </c>
      <c r="R18" s="65"/>
      <c r="S18" s="65">
        <f ca="1">(S17+T17)/2</f>
        <v>10.0630296751138</v>
      </c>
      <c r="T18" s="65"/>
      <c r="U18" s="65">
        <f ca="1">(U17+V17)/2</f>
        <v>10.6136238538394</v>
      </c>
      <c r="V18" s="65"/>
      <c r="W18" s="65">
        <f ca="1">(W17+X17)/2</f>
        <v>10.6526563248688</v>
      </c>
      <c r="X18" s="65"/>
      <c r="Y18" s="65">
        <f ca="1">(Y17+Z17)/2</f>
        <v>10.823015015797</v>
      </c>
      <c r="Z18" s="65"/>
    </row>
    <row r="19" ht="18" customHeight="1" spans="1:26">
      <c r="A19" s="22" t="s">
        <v>369</v>
      </c>
      <c r="B19" s="23"/>
      <c r="C19" s="23"/>
      <c r="D19" s="34">
        <v>50</v>
      </c>
      <c r="E19" s="36"/>
      <c r="F19" s="37">
        <v>50</v>
      </c>
      <c r="G19" s="37">
        <v>50</v>
      </c>
      <c r="H19" s="37">
        <v>50</v>
      </c>
      <c r="I19" s="37">
        <v>50</v>
      </c>
      <c r="J19" s="34">
        <v>50</v>
      </c>
      <c r="K19" s="36"/>
      <c r="L19" s="37">
        <v>50</v>
      </c>
      <c r="M19" s="34">
        <v>50</v>
      </c>
      <c r="N19" s="36"/>
      <c r="O19" s="37">
        <v>50</v>
      </c>
      <c r="P19" s="54">
        <v>50</v>
      </c>
      <c r="Q19" s="66">
        <f ca="1">Q20*Q21/100</f>
        <v>1.70815606985135</v>
      </c>
      <c r="R19" s="66"/>
      <c r="S19" s="66">
        <f ca="1">S20*S21/100</f>
        <v>1.72407451189317</v>
      </c>
      <c r="T19" s="66"/>
      <c r="U19" s="66">
        <f ca="1">U20*U21/100</f>
        <v>1.7288919321261</v>
      </c>
      <c r="V19" s="66"/>
      <c r="W19" s="66">
        <f ca="1">W20*W21/100</f>
        <v>1.69553336425683</v>
      </c>
      <c r="X19" s="66"/>
      <c r="Y19" s="66">
        <f ca="1">Y20*Y21/100</f>
        <v>1.71101094050169</v>
      </c>
      <c r="Z19" s="66"/>
    </row>
    <row r="20" ht="18" customHeight="1" spans="1:26">
      <c r="A20" s="22" t="s">
        <v>370</v>
      </c>
      <c r="B20" s="23"/>
      <c r="C20" s="23"/>
      <c r="D20" s="34">
        <f ca="1" t="shared" si="4"/>
        <v>156.6359981311</v>
      </c>
      <c r="E20" s="36"/>
      <c r="F20" s="37">
        <f ca="1">R13</f>
        <v>155.390986125968</v>
      </c>
      <c r="G20" s="37">
        <f ca="1" t="shared" si="5"/>
        <v>150.319218052594</v>
      </c>
      <c r="H20" s="37">
        <f ca="1" t="shared" si="5"/>
        <v>152.835834534723</v>
      </c>
      <c r="I20" s="37">
        <f ca="1" t="shared" si="6"/>
        <v>152.011740179717</v>
      </c>
      <c r="J20" s="34">
        <f ca="1" t="shared" si="6"/>
        <v>156.57649979855</v>
      </c>
      <c r="K20" s="36"/>
      <c r="L20" s="37">
        <f ca="1" t="shared" si="7"/>
        <v>151.861435034663</v>
      </c>
      <c r="M20" s="34">
        <f ca="1" t="shared" si="7"/>
        <v>156.539184805317</v>
      </c>
      <c r="N20" s="36"/>
      <c r="O20" s="37">
        <f ca="1" t="shared" si="8"/>
        <v>152.949837039696</v>
      </c>
      <c r="P20" s="54">
        <f ca="1" t="shared" si="8"/>
        <v>156.514604971689</v>
      </c>
      <c r="Q20" s="59">
        <v>1.86</v>
      </c>
      <c r="R20" s="59"/>
      <c r="S20" s="59">
        <v>1.86</v>
      </c>
      <c r="T20" s="59"/>
      <c r="U20" s="59">
        <v>1.86</v>
      </c>
      <c r="V20" s="59"/>
      <c r="W20" s="59">
        <v>1.86</v>
      </c>
      <c r="X20" s="59"/>
      <c r="Y20" s="59">
        <v>1.86</v>
      </c>
      <c r="Z20" s="59"/>
    </row>
    <row r="21" ht="18" customHeight="1" spans="1:26">
      <c r="A21" s="22" t="s">
        <v>371</v>
      </c>
      <c r="B21" s="23"/>
      <c r="C21" s="23"/>
      <c r="D21" s="34">
        <f ca="1" t="shared" si="4"/>
        <v>146.423736442856</v>
      </c>
      <c r="E21" s="36"/>
      <c r="F21" s="37">
        <f ca="1">R14</f>
        <v>145.118289405412</v>
      </c>
      <c r="G21" s="37">
        <f ca="1" t="shared" si="5"/>
        <v>141.191950558604</v>
      </c>
      <c r="H21" s="37">
        <f ca="1" t="shared" si="5"/>
        <v>143.38761592216</v>
      </c>
      <c r="I21" s="37">
        <f ca="1" t="shared" si="6"/>
        <v>142.306023422285</v>
      </c>
      <c r="J21" s="34">
        <f ca="1" t="shared" si="6"/>
        <v>146.264170570092</v>
      </c>
      <c r="K21" s="36"/>
      <c r="L21" s="37">
        <f ca="1" t="shared" si="7"/>
        <v>142.104582536366</v>
      </c>
      <c r="M21" s="34">
        <f ca="1" t="shared" si="7"/>
        <v>146.230858082534</v>
      </c>
      <c r="N21" s="36"/>
      <c r="O21" s="37">
        <f ca="1" t="shared" si="8"/>
        <v>142.961015684814</v>
      </c>
      <c r="P21" s="54">
        <f ca="1" t="shared" si="8"/>
        <v>146.044888380198</v>
      </c>
      <c r="Q21" s="65">
        <f ca="1">D28</f>
        <v>91.8363478414704</v>
      </c>
      <c r="R21" s="65"/>
      <c r="S21" s="65">
        <f ca="1">G28</f>
        <v>92.6921780587726</v>
      </c>
      <c r="T21" s="65"/>
      <c r="U21" s="65">
        <f ca="1">I28</f>
        <v>92.9511791465647</v>
      </c>
      <c r="V21" s="65"/>
      <c r="W21" s="65">
        <f ca="1">L28</f>
        <v>91.1577077557435</v>
      </c>
      <c r="X21" s="65"/>
      <c r="Y21" s="65">
        <f ca="1">O28</f>
        <v>91.9898355108433</v>
      </c>
      <c r="Z21" s="65"/>
    </row>
    <row r="22" ht="18" customHeight="1" spans="1:16">
      <c r="A22" s="22" t="s">
        <v>372</v>
      </c>
      <c r="B22" s="23"/>
      <c r="C22" s="23"/>
      <c r="D22" s="34">
        <f ca="1" t="shared" si="4"/>
        <v>10.2122616882444</v>
      </c>
      <c r="E22" s="36"/>
      <c r="F22" s="37">
        <f ca="1">R15</f>
        <v>10.2726967205557</v>
      </c>
      <c r="G22" s="37">
        <f ca="1" t="shared" si="5"/>
        <v>9.12726749399044</v>
      </c>
      <c r="H22" s="37">
        <f ca="1" t="shared" si="5"/>
        <v>9.44821861256266</v>
      </c>
      <c r="I22" s="37">
        <f ca="1" t="shared" si="6"/>
        <v>9.70571675743136</v>
      </c>
      <c r="J22" s="34">
        <f ca="1" t="shared" si="6"/>
        <v>10.3123292284571</v>
      </c>
      <c r="K22" s="36"/>
      <c r="L22" s="37">
        <f ca="1" t="shared" si="7"/>
        <v>9.75685249829737</v>
      </c>
      <c r="M22" s="34">
        <f ca="1" t="shared" si="7"/>
        <v>10.308326722783</v>
      </c>
      <c r="N22" s="36"/>
      <c r="O22" s="37">
        <f ca="1" t="shared" si="8"/>
        <v>9.98882135488221</v>
      </c>
      <c r="P22" s="54">
        <f ca="1" t="shared" si="8"/>
        <v>10.4697165914916</v>
      </c>
    </row>
    <row r="23" ht="18" customHeight="1" spans="1:16">
      <c r="A23" s="22" t="s">
        <v>373</v>
      </c>
      <c r="B23" s="23"/>
      <c r="C23" s="23"/>
      <c r="D23" s="34">
        <f ca="1" t="shared" si="4"/>
        <v>96.4237364428558</v>
      </c>
      <c r="E23" s="36"/>
      <c r="F23" s="37">
        <f ca="1">R16</f>
        <v>95.1182894054124</v>
      </c>
      <c r="G23" s="37">
        <f ca="1" t="shared" si="5"/>
        <v>91.1919505586037</v>
      </c>
      <c r="H23" s="37">
        <f ca="1" t="shared" si="5"/>
        <v>93.3876159221603</v>
      </c>
      <c r="I23" s="37">
        <f ca="1" t="shared" si="6"/>
        <v>92.3060234222854</v>
      </c>
      <c r="J23" s="34">
        <f ca="1" t="shared" si="6"/>
        <v>96.2641705700925</v>
      </c>
      <c r="K23" s="36"/>
      <c r="L23" s="37">
        <f ca="1" t="shared" si="7"/>
        <v>92.1045825363659</v>
      </c>
      <c r="M23" s="34">
        <f ca="1" t="shared" si="7"/>
        <v>96.2308580825344</v>
      </c>
      <c r="N23" s="36"/>
      <c r="O23" s="37">
        <f ca="1" t="shared" si="8"/>
        <v>92.961015684814</v>
      </c>
      <c r="P23" s="54">
        <f ca="1" t="shared" si="8"/>
        <v>96.0448883801978</v>
      </c>
    </row>
    <row r="24" ht="18" customHeight="1" spans="1:16">
      <c r="A24" s="22" t="s">
        <v>374</v>
      </c>
      <c r="B24" s="23"/>
      <c r="C24" s="23"/>
      <c r="D24" s="28">
        <f ca="1" t="shared" si="4"/>
        <v>10.5910246428757</v>
      </c>
      <c r="E24" s="30"/>
      <c r="F24" s="38">
        <f ca="1">R17</f>
        <v>10.799917434145</v>
      </c>
      <c r="G24" s="38">
        <f ca="1" t="shared" si="5"/>
        <v>10.0088521389011</v>
      </c>
      <c r="H24" s="38">
        <f ca="1" t="shared" si="5"/>
        <v>10.1172072113265</v>
      </c>
      <c r="I24" s="38">
        <f ca="1" t="shared" si="6"/>
        <v>10.5147165890023</v>
      </c>
      <c r="J24" s="28">
        <f ca="1" t="shared" si="6"/>
        <v>10.7125311186766</v>
      </c>
      <c r="K24" s="30"/>
      <c r="L24" s="38">
        <f ca="1" t="shared" si="7"/>
        <v>10.5932324208136</v>
      </c>
      <c r="M24" s="28">
        <f ca="1" t="shared" si="7"/>
        <v>10.7120802289239</v>
      </c>
      <c r="N24" s="30"/>
      <c r="O24" s="38">
        <f ca="1" t="shared" si="8"/>
        <v>10.7451723513322</v>
      </c>
      <c r="P24" s="51">
        <f ca="1" t="shared" si="8"/>
        <v>10.9008576802618</v>
      </c>
    </row>
    <row r="25" ht="18" customHeight="1" spans="1:16">
      <c r="A25" s="22" t="s">
        <v>375</v>
      </c>
      <c r="B25" s="23"/>
      <c r="C25" s="23"/>
      <c r="D25" s="28">
        <f ca="1" t="shared" si="4"/>
        <v>10.6954710385104</v>
      </c>
      <c r="E25" s="29"/>
      <c r="F25" s="30"/>
      <c r="G25" s="28">
        <f ca="1" t="shared" si="5"/>
        <v>10.0630296751138</v>
      </c>
      <c r="H25" s="30"/>
      <c r="I25" s="28">
        <f ca="1" t="shared" si="6"/>
        <v>10.6136238538394</v>
      </c>
      <c r="J25" s="29"/>
      <c r="K25" s="30"/>
      <c r="L25" s="28">
        <f ca="1" t="shared" si="7"/>
        <v>10.6526563248688</v>
      </c>
      <c r="M25" s="29"/>
      <c r="N25" s="30"/>
      <c r="O25" s="38">
        <f ca="1" t="shared" si="8"/>
        <v>10.823015015797</v>
      </c>
      <c r="P25" s="51"/>
    </row>
    <row r="26" ht="18" customHeight="1" spans="1:16">
      <c r="A26" s="22" t="s">
        <v>376</v>
      </c>
      <c r="B26" s="23"/>
      <c r="C26" s="23"/>
      <c r="D26" s="34">
        <f ca="1" t="shared" si="4"/>
        <v>1.70815606985135</v>
      </c>
      <c r="E26" s="35"/>
      <c r="F26" s="36"/>
      <c r="G26" s="34">
        <f ca="1" t="shared" si="5"/>
        <v>1.72407451189317</v>
      </c>
      <c r="H26" s="36"/>
      <c r="I26" s="34">
        <f ca="1" t="shared" si="6"/>
        <v>1.7288919321261</v>
      </c>
      <c r="J26" s="35"/>
      <c r="K26" s="36"/>
      <c r="L26" s="34">
        <f ca="1" t="shared" si="7"/>
        <v>1.69553336425683</v>
      </c>
      <c r="M26" s="35"/>
      <c r="N26" s="36"/>
      <c r="O26" s="37">
        <f ca="1" t="shared" si="8"/>
        <v>1.71101094050169</v>
      </c>
      <c r="P26" s="54"/>
    </row>
    <row r="27" ht="18" customHeight="1" spans="1:16">
      <c r="A27" s="22" t="s">
        <v>377</v>
      </c>
      <c r="B27" s="23"/>
      <c r="C27" s="23"/>
      <c r="D27" s="25">
        <f ca="1" t="shared" si="4"/>
        <v>1.86</v>
      </c>
      <c r="E27" s="26"/>
      <c r="F27" s="27"/>
      <c r="G27" s="25">
        <f ca="1" t="shared" si="5"/>
        <v>1.86</v>
      </c>
      <c r="H27" s="27"/>
      <c r="I27" s="25">
        <f ca="1" t="shared" si="6"/>
        <v>1.86</v>
      </c>
      <c r="J27" s="26"/>
      <c r="K27" s="27"/>
      <c r="L27" s="25">
        <f ca="1" t="shared" si="7"/>
        <v>1.86</v>
      </c>
      <c r="M27" s="26"/>
      <c r="N27" s="27"/>
      <c r="O27" s="24">
        <f ca="1" t="shared" si="8"/>
        <v>1.86</v>
      </c>
      <c r="P27" s="50"/>
    </row>
    <row r="28" ht="18" customHeight="1" spans="1:16">
      <c r="A28" s="22" t="s">
        <v>378</v>
      </c>
      <c r="B28" s="23"/>
      <c r="C28" s="23"/>
      <c r="D28" s="28">
        <f ca="1">RAND()*2.2+91</f>
        <v>91.8363478414704</v>
      </c>
      <c r="E28" s="29"/>
      <c r="F28" s="30"/>
      <c r="G28" s="28">
        <f ca="1">RAND()*2.2+91</f>
        <v>92.6921780587726</v>
      </c>
      <c r="H28" s="30"/>
      <c r="I28" s="28">
        <f ca="1">RAND()*2.2+91</f>
        <v>92.9511791465647</v>
      </c>
      <c r="J28" s="29"/>
      <c r="K28" s="30"/>
      <c r="L28" s="28">
        <f ca="1">RAND()*2.2+91</f>
        <v>91.1577077557435</v>
      </c>
      <c r="M28" s="29"/>
      <c r="N28" s="30"/>
      <c r="O28" s="38">
        <f ca="1">RAND()*2.2+91</f>
        <v>91.9898355108433</v>
      </c>
      <c r="P28" s="51"/>
    </row>
    <row r="29" ht="18" customHeight="1" spans="1:16">
      <c r="A29" s="22" t="s">
        <v>379</v>
      </c>
      <c r="B29" s="23"/>
      <c r="C29" s="23"/>
      <c r="D29" s="24"/>
      <c r="E29" s="24"/>
      <c r="F29" s="23" t="s">
        <v>380</v>
      </c>
      <c r="G29" s="23"/>
      <c r="H29" s="23"/>
      <c r="I29" s="24"/>
      <c r="J29" s="24"/>
      <c r="K29" s="23" t="s">
        <v>381</v>
      </c>
      <c r="L29" s="23"/>
      <c r="M29" s="23"/>
      <c r="N29" s="23"/>
      <c r="O29" s="24"/>
      <c r="P29" s="50"/>
    </row>
    <row r="30" spans="1:16">
      <c r="A30" s="39" t="s">
        <v>382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55"/>
    </row>
    <row r="31" spans="1:16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56"/>
    </row>
    <row r="32" spans="1:16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56"/>
    </row>
    <row r="33" spans="1:16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56"/>
    </row>
    <row r="34" spans="1:16">
      <c r="A34" s="43" t="s">
        <v>383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57"/>
    </row>
    <row r="35" spans="1:16">
      <c r="A35" s="39" t="s">
        <v>384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55"/>
    </row>
    <row r="36" spans="1:16">
      <c r="A36" s="41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56"/>
    </row>
    <row r="37" spans="1:16">
      <c r="A37" s="41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56"/>
    </row>
    <row r="38" spans="1:16">
      <c r="A38" s="41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56"/>
    </row>
    <row r="39" ht="16.35" spans="1:16">
      <c r="A39" s="45" t="s">
        <v>383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58"/>
    </row>
    <row r="40" spans="1:16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</row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4" ht="14.25" customHeight="1"/>
    <row r="75" ht="14.25" customHeight="1"/>
    <row r="79" ht="15" customHeight="1"/>
  </sheetData>
  <mergeCells count="167">
    <mergeCell ref="A1:P1"/>
    <mergeCell ref="A2:P2"/>
    <mergeCell ref="A3:P3"/>
    <mergeCell ref="A4:B4"/>
    <mergeCell ref="C4:G4"/>
    <mergeCell ref="H4:K4"/>
    <mergeCell ref="L4:P4"/>
    <mergeCell ref="A5:B5"/>
    <mergeCell ref="C5:G5"/>
    <mergeCell ref="H5:K5"/>
    <mergeCell ref="L5:P5"/>
    <mergeCell ref="A6:B6"/>
    <mergeCell ref="C6:P6"/>
    <mergeCell ref="A7:B7"/>
    <mergeCell ref="C7:F7"/>
    <mergeCell ref="G7:H7"/>
    <mergeCell ref="I7:K7"/>
    <mergeCell ref="L7:N7"/>
    <mergeCell ref="O7:P7"/>
    <mergeCell ref="A8:C8"/>
    <mergeCell ref="D8:F8"/>
    <mergeCell ref="G8:H8"/>
    <mergeCell ref="I8:K8"/>
    <mergeCell ref="L8:N8"/>
    <mergeCell ref="O8:P8"/>
    <mergeCell ref="A9:C9"/>
    <mergeCell ref="D9:F9"/>
    <mergeCell ref="G9:H9"/>
    <mergeCell ref="I9:K9"/>
    <mergeCell ref="L9:N9"/>
    <mergeCell ref="O9:P9"/>
    <mergeCell ref="A10:C10"/>
    <mergeCell ref="D10:F10"/>
    <mergeCell ref="G10:H10"/>
    <mergeCell ref="I10:K10"/>
    <mergeCell ref="L10:N10"/>
    <mergeCell ref="O10:P10"/>
    <mergeCell ref="A11:C11"/>
    <mergeCell ref="D11:F11"/>
    <mergeCell ref="G11:H11"/>
    <mergeCell ref="I11:K11"/>
    <mergeCell ref="L11:N11"/>
    <mergeCell ref="O11:P11"/>
    <mergeCell ref="A12:C12"/>
    <mergeCell ref="D12:F12"/>
    <mergeCell ref="G12:H12"/>
    <mergeCell ref="I12:K12"/>
    <mergeCell ref="L12:N12"/>
    <mergeCell ref="O12:P12"/>
    <mergeCell ref="A13:C13"/>
    <mergeCell ref="D13:F13"/>
    <mergeCell ref="G13:H13"/>
    <mergeCell ref="I13:K13"/>
    <mergeCell ref="L13:N13"/>
    <mergeCell ref="O13:P13"/>
    <mergeCell ref="A14:C14"/>
    <mergeCell ref="D14:F14"/>
    <mergeCell ref="G14:H14"/>
    <mergeCell ref="I14:K14"/>
    <mergeCell ref="L14:N14"/>
    <mergeCell ref="O14:P14"/>
    <mergeCell ref="A15:C15"/>
    <mergeCell ref="D15:F15"/>
    <mergeCell ref="G15:H15"/>
    <mergeCell ref="I15:K15"/>
    <mergeCell ref="L15:N15"/>
    <mergeCell ref="O15:P15"/>
    <mergeCell ref="A16:C16"/>
    <mergeCell ref="D16:F16"/>
    <mergeCell ref="G16:H16"/>
    <mergeCell ref="I16:K16"/>
    <mergeCell ref="L16:N16"/>
    <mergeCell ref="O16:P16"/>
    <mergeCell ref="A17:C17"/>
    <mergeCell ref="D17:F17"/>
    <mergeCell ref="G17:H17"/>
    <mergeCell ref="I17:K17"/>
    <mergeCell ref="L17:N17"/>
    <mergeCell ref="O17:P17"/>
    <mergeCell ref="A18:C18"/>
    <mergeCell ref="D18:E18"/>
    <mergeCell ref="J18:K18"/>
    <mergeCell ref="M18:N18"/>
    <mergeCell ref="Q18:R18"/>
    <mergeCell ref="S18:T18"/>
    <mergeCell ref="U18:V18"/>
    <mergeCell ref="W18:X18"/>
    <mergeCell ref="Y18:Z18"/>
    <mergeCell ref="A19:C19"/>
    <mergeCell ref="D19:E19"/>
    <mergeCell ref="J19:K19"/>
    <mergeCell ref="M19:N19"/>
    <mergeCell ref="Q19:R19"/>
    <mergeCell ref="S19:T19"/>
    <mergeCell ref="U19:V19"/>
    <mergeCell ref="W19:X19"/>
    <mergeCell ref="Y19:Z19"/>
    <mergeCell ref="A20:C20"/>
    <mergeCell ref="D20:E20"/>
    <mergeCell ref="J20:K20"/>
    <mergeCell ref="M20:N20"/>
    <mergeCell ref="Q20:R20"/>
    <mergeCell ref="S20:T20"/>
    <mergeCell ref="U20:V20"/>
    <mergeCell ref="W20:X20"/>
    <mergeCell ref="Y20:Z20"/>
    <mergeCell ref="A21:C21"/>
    <mergeCell ref="D21:E21"/>
    <mergeCell ref="J21:K21"/>
    <mergeCell ref="M21:N21"/>
    <mergeCell ref="Q21:R21"/>
    <mergeCell ref="S21:T21"/>
    <mergeCell ref="U21:V21"/>
    <mergeCell ref="W21:X21"/>
    <mergeCell ref="Y21:Z21"/>
    <mergeCell ref="A22:C22"/>
    <mergeCell ref="D22:E22"/>
    <mergeCell ref="J22:K22"/>
    <mergeCell ref="M22:N22"/>
    <mergeCell ref="A23:C23"/>
    <mergeCell ref="D23:E23"/>
    <mergeCell ref="J23:K23"/>
    <mergeCell ref="M23:N23"/>
    <mergeCell ref="A24:C24"/>
    <mergeCell ref="D24:E24"/>
    <mergeCell ref="J24:K24"/>
    <mergeCell ref="M24:N24"/>
    <mergeCell ref="A25:C25"/>
    <mergeCell ref="D25:F25"/>
    <mergeCell ref="G25:H25"/>
    <mergeCell ref="I25:K25"/>
    <mergeCell ref="L25:N25"/>
    <mergeCell ref="O25:P25"/>
    <mergeCell ref="A26:C26"/>
    <mergeCell ref="D26:F26"/>
    <mergeCell ref="G26:H26"/>
    <mergeCell ref="I26:K26"/>
    <mergeCell ref="L26:N26"/>
    <mergeCell ref="O26:P26"/>
    <mergeCell ref="A27:C27"/>
    <mergeCell ref="D27:F27"/>
    <mergeCell ref="G27:H27"/>
    <mergeCell ref="I27:K27"/>
    <mergeCell ref="L27:N27"/>
    <mergeCell ref="O27:P27"/>
    <mergeCell ref="A28:C28"/>
    <mergeCell ref="D28:F28"/>
    <mergeCell ref="G28:H28"/>
    <mergeCell ref="I28:K28"/>
    <mergeCell ref="L28:N28"/>
    <mergeCell ref="O28:P28"/>
    <mergeCell ref="A29:B29"/>
    <mergeCell ref="C29:E29"/>
    <mergeCell ref="F29:G29"/>
    <mergeCell ref="H29:J29"/>
    <mergeCell ref="K29:M29"/>
    <mergeCell ref="N29:P29"/>
    <mergeCell ref="A30:P30"/>
    <mergeCell ref="A31:P31"/>
    <mergeCell ref="A32:P32"/>
    <mergeCell ref="A33:P33"/>
    <mergeCell ref="A34:P34"/>
    <mergeCell ref="A35:P35"/>
    <mergeCell ref="A36:P36"/>
    <mergeCell ref="A37:P37"/>
    <mergeCell ref="A38:P38"/>
    <mergeCell ref="A39:P39"/>
  </mergeCells>
  <pageMargins left="0.75" right="0.75" top="1" bottom="1" header="0.5" footer="0.5"/>
  <pageSetup paperSize="9" orientation="portrait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499984740745262"/>
  </sheetPr>
  <dimension ref="A1:H32"/>
  <sheetViews>
    <sheetView topLeftCell="A16" workbookViewId="0">
      <selection activeCell="E30" sqref="E30"/>
    </sheetView>
  </sheetViews>
  <sheetFormatPr defaultColWidth="9" defaultRowHeight="17.4" outlineLevelCol="7"/>
  <cols>
    <col min="1" max="8" width="9.625" style="11" customWidth="1"/>
    <col min="9" max="16384" width="9" style="11"/>
  </cols>
  <sheetData>
    <row r="1" ht="45" spans="1:8">
      <c r="A1" s="12" t="s">
        <v>385</v>
      </c>
      <c r="B1" s="12"/>
      <c r="C1" s="12"/>
      <c r="D1" s="12"/>
      <c r="E1" s="12"/>
      <c r="F1" s="12"/>
      <c r="G1" s="12"/>
      <c r="H1" s="12"/>
    </row>
    <row r="2" ht="30.75" customHeight="1" spans="1:8">
      <c r="A2" s="13" t="s">
        <v>179</v>
      </c>
      <c r="B2" s="13" t="s">
        <v>253</v>
      </c>
      <c r="D2" s="13" t="s">
        <v>179</v>
      </c>
      <c r="E2" s="13" t="s">
        <v>253</v>
      </c>
      <c r="G2" s="13" t="s">
        <v>386</v>
      </c>
      <c r="H2" s="13" t="s">
        <v>253</v>
      </c>
    </row>
    <row r="3" ht="23.25" customHeight="1" spans="1:8">
      <c r="A3" s="14">
        <v>1</v>
      </c>
      <c r="B3" s="14">
        <v>18.4</v>
      </c>
      <c r="C3" s="15"/>
      <c r="D3" s="568" t="s">
        <v>387</v>
      </c>
      <c r="E3" s="14">
        <v>16.9</v>
      </c>
      <c r="G3" s="14">
        <v>1</v>
      </c>
      <c r="H3" s="14">
        <v>51.3</v>
      </c>
    </row>
    <row r="4" ht="23.25" customHeight="1" spans="1:8">
      <c r="A4" s="14">
        <v>2</v>
      </c>
      <c r="B4" s="14">
        <v>18.6</v>
      </c>
      <c r="C4" s="15"/>
      <c r="D4" s="14">
        <v>41</v>
      </c>
      <c r="E4" s="14">
        <v>27.3</v>
      </c>
      <c r="G4" s="14">
        <v>2</v>
      </c>
      <c r="H4" s="14">
        <v>51.7</v>
      </c>
    </row>
    <row r="5" ht="23.25" customHeight="1" spans="1:8">
      <c r="A5" s="14">
        <v>3</v>
      </c>
      <c r="B5" s="14">
        <v>16.5</v>
      </c>
      <c r="C5" s="15"/>
      <c r="D5" s="14">
        <v>42</v>
      </c>
      <c r="E5" s="14">
        <v>20.9</v>
      </c>
      <c r="G5" s="14">
        <v>3</v>
      </c>
      <c r="H5" s="14">
        <v>52.1</v>
      </c>
    </row>
    <row r="6" ht="23.25" customHeight="1" spans="1:8">
      <c r="A6" s="14">
        <v>4</v>
      </c>
      <c r="B6" s="14">
        <v>16.7</v>
      </c>
      <c r="C6" s="15"/>
      <c r="D6" s="14">
        <v>81</v>
      </c>
      <c r="E6" s="14">
        <v>20.2</v>
      </c>
      <c r="G6" s="14">
        <v>4</v>
      </c>
      <c r="H6" s="14">
        <v>51.4</v>
      </c>
    </row>
    <row r="7" ht="23.25" customHeight="1" spans="1:8">
      <c r="A7" s="14">
        <v>5</v>
      </c>
      <c r="B7" s="14">
        <v>16</v>
      </c>
      <c r="C7" s="15"/>
      <c r="D7" s="14">
        <v>110</v>
      </c>
      <c r="E7" s="14">
        <v>17.9</v>
      </c>
      <c r="G7" s="14">
        <v>5</v>
      </c>
      <c r="H7" s="14">
        <v>52.7</v>
      </c>
    </row>
    <row r="8" ht="23.25" customHeight="1" spans="1:8">
      <c r="A8" s="14">
        <v>6</v>
      </c>
      <c r="B8" s="14">
        <v>16.2</v>
      </c>
      <c r="C8" s="15"/>
      <c r="D8" s="568" t="s">
        <v>388</v>
      </c>
      <c r="E8" s="14">
        <v>18.2</v>
      </c>
      <c r="G8" s="14">
        <v>6</v>
      </c>
      <c r="H8" s="14">
        <v>51.7</v>
      </c>
    </row>
    <row r="9" ht="23.25" customHeight="1" spans="1:8">
      <c r="A9" s="14">
        <v>7</v>
      </c>
      <c r="B9" s="14">
        <v>18.2</v>
      </c>
      <c r="C9" s="15"/>
      <c r="D9" s="568" t="s">
        <v>389</v>
      </c>
      <c r="E9" s="14">
        <v>16</v>
      </c>
      <c r="G9" s="14">
        <v>7</v>
      </c>
      <c r="H9" s="14">
        <v>51.3</v>
      </c>
    </row>
    <row r="10" ht="23.25" customHeight="1" spans="1:8">
      <c r="A10" s="14">
        <v>8</v>
      </c>
      <c r="B10" s="14">
        <v>19.9</v>
      </c>
      <c r="C10" s="15"/>
      <c r="D10" s="568" t="s">
        <v>114</v>
      </c>
      <c r="E10" s="14">
        <v>18.8</v>
      </c>
      <c r="G10" s="14">
        <v>8</v>
      </c>
      <c r="H10" s="14">
        <v>55.1</v>
      </c>
    </row>
    <row r="11" ht="23.25" customHeight="1" spans="1:8">
      <c r="A11" s="14">
        <v>9</v>
      </c>
      <c r="B11" s="14">
        <v>16.6</v>
      </c>
      <c r="C11" s="15"/>
      <c r="D11" s="14">
        <v>31</v>
      </c>
      <c r="E11" s="14">
        <v>17.9</v>
      </c>
      <c r="G11" s="14">
        <v>9</v>
      </c>
      <c r="H11" s="14">
        <v>50.5</v>
      </c>
    </row>
    <row r="12" ht="23.25" customHeight="1" spans="1:8">
      <c r="A12" s="14">
        <v>10</v>
      </c>
      <c r="B12" s="14">
        <v>21.1</v>
      </c>
      <c r="C12" s="15"/>
      <c r="D12" s="14">
        <v>61</v>
      </c>
      <c r="E12" s="14">
        <v>20.5</v>
      </c>
      <c r="G12" s="14">
        <v>10</v>
      </c>
      <c r="H12" s="14">
        <v>51.9</v>
      </c>
    </row>
    <row r="13" ht="23.25" customHeight="1" spans="1:8">
      <c r="A13" s="14">
        <v>11</v>
      </c>
      <c r="B13" s="14">
        <v>16.7</v>
      </c>
      <c r="C13" s="15"/>
      <c r="D13" s="14">
        <v>110</v>
      </c>
      <c r="E13" s="14">
        <v>24</v>
      </c>
      <c r="G13" s="13"/>
      <c r="H13" s="13"/>
    </row>
    <row r="14" ht="23.25" customHeight="1" spans="1:8">
      <c r="A14" s="14">
        <v>12</v>
      </c>
      <c r="B14" s="14">
        <v>17.6</v>
      </c>
      <c r="C14" s="15"/>
      <c r="D14" s="14">
        <v>190</v>
      </c>
      <c r="E14" s="14">
        <v>16</v>
      </c>
      <c r="G14" s="13"/>
      <c r="H14" s="13"/>
    </row>
    <row r="15" ht="23.25" customHeight="1" spans="1:8">
      <c r="A15" s="14">
        <v>13</v>
      </c>
      <c r="B15" s="14">
        <v>17</v>
      </c>
      <c r="C15" s="15"/>
      <c r="D15" s="568" t="s">
        <v>390</v>
      </c>
      <c r="E15" s="14">
        <v>21.4</v>
      </c>
      <c r="G15" s="13"/>
      <c r="H15" s="13"/>
    </row>
    <row r="16" ht="23.25" customHeight="1" spans="1:8">
      <c r="A16" s="14">
        <v>14</v>
      </c>
      <c r="B16" s="14">
        <v>17.9</v>
      </c>
      <c r="C16" s="15"/>
      <c r="D16" s="568" t="s">
        <v>391</v>
      </c>
      <c r="E16" s="14">
        <v>16.8</v>
      </c>
      <c r="G16" s="13"/>
      <c r="H16" s="13"/>
    </row>
    <row r="17" ht="23.25" customHeight="1" spans="1:8">
      <c r="A17" s="14">
        <v>15</v>
      </c>
      <c r="B17" s="14">
        <v>17</v>
      </c>
      <c r="C17" s="15"/>
      <c r="D17" s="568" t="s">
        <v>94</v>
      </c>
      <c r="E17" s="14">
        <v>19.8</v>
      </c>
      <c r="G17" s="13" t="s">
        <v>392</v>
      </c>
      <c r="H17" s="13" t="s">
        <v>253</v>
      </c>
    </row>
    <row r="18" ht="23.25" customHeight="1" spans="1:8">
      <c r="A18" s="14">
        <v>16</v>
      </c>
      <c r="B18" s="14">
        <v>20.5</v>
      </c>
      <c r="C18" s="15"/>
      <c r="D18" s="568" t="s">
        <v>104</v>
      </c>
      <c r="E18" s="14">
        <v>22.9</v>
      </c>
      <c r="G18" s="14">
        <v>1</v>
      </c>
      <c r="H18" s="14">
        <v>124</v>
      </c>
    </row>
    <row r="19" ht="23.25" customHeight="1" spans="1:8">
      <c r="A19" s="14">
        <v>17</v>
      </c>
      <c r="B19" s="14">
        <v>21.1</v>
      </c>
      <c r="C19" s="15"/>
      <c r="D19" s="568" t="s">
        <v>393</v>
      </c>
      <c r="E19" s="14">
        <v>17.6</v>
      </c>
      <c r="G19" s="14">
        <v>2</v>
      </c>
      <c r="H19" s="14">
        <v>114.3</v>
      </c>
    </row>
    <row r="20" ht="23.25" customHeight="1" spans="1:8">
      <c r="A20" s="14">
        <v>18</v>
      </c>
      <c r="B20" s="14">
        <v>18.2</v>
      </c>
      <c r="C20" s="15"/>
      <c r="D20" s="568" t="s">
        <v>394</v>
      </c>
      <c r="E20" s="14">
        <v>19.7</v>
      </c>
      <c r="G20" s="14">
        <v>3</v>
      </c>
      <c r="H20" s="14">
        <v>141.3</v>
      </c>
    </row>
    <row r="21" ht="23.25" customHeight="1" spans="1:8">
      <c r="A21" s="14">
        <v>19</v>
      </c>
      <c r="B21" s="14">
        <v>23.5</v>
      </c>
      <c r="C21" s="15"/>
      <c r="D21" s="568" t="s">
        <v>395</v>
      </c>
      <c r="E21" s="14">
        <v>21</v>
      </c>
      <c r="G21" s="14">
        <v>4</v>
      </c>
      <c r="H21" s="14">
        <v>116</v>
      </c>
    </row>
    <row r="22" ht="23.25" customHeight="1" spans="1:8">
      <c r="A22" s="14">
        <v>20</v>
      </c>
      <c r="B22" s="14">
        <v>20.5</v>
      </c>
      <c r="C22" s="15"/>
      <c r="D22" s="11">
        <v>112</v>
      </c>
      <c r="E22" s="11">
        <v>16</v>
      </c>
      <c r="G22" s="14">
        <v>5</v>
      </c>
      <c r="H22" s="14">
        <v>122</v>
      </c>
    </row>
    <row r="23" ht="23.25" customHeight="1" spans="1:8">
      <c r="A23" s="14">
        <v>21</v>
      </c>
      <c r="B23" s="14">
        <v>17</v>
      </c>
      <c r="C23" s="15"/>
      <c r="G23" s="14">
        <v>6</v>
      </c>
      <c r="H23" s="14">
        <v>130</v>
      </c>
    </row>
    <row r="24" ht="23.25" customHeight="1" spans="1:3">
      <c r="A24" s="14">
        <v>22</v>
      </c>
      <c r="B24" s="14">
        <v>17.5</v>
      </c>
      <c r="C24" s="15"/>
    </row>
    <row r="25" ht="23.25" customHeight="1" spans="1:3">
      <c r="A25" s="14">
        <v>23</v>
      </c>
      <c r="B25" s="14">
        <v>16.8</v>
      </c>
      <c r="C25" s="15"/>
    </row>
    <row r="26" ht="23.25" customHeight="1" spans="1:3">
      <c r="A26" s="14">
        <v>24</v>
      </c>
      <c r="B26" s="14">
        <v>20.1</v>
      </c>
      <c r="C26" s="15"/>
    </row>
    <row r="27" ht="23.25" customHeight="1" spans="1:3">
      <c r="A27" s="14">
        <v>25</v>
      </c>
      <c r="B27" s="14">
        <v>17</v>
      </c>
      <c r="C27" s="15"/>
    </row>
    <row r="28" spans="1:2">
      <c r="A28" s="14">
        <v>26</v>
      </c>
      <c r="B28" s="14">
        <v>20.5</v>
      </c>
    </row>
    <row r="29" spans="1:2">
      <c r="A29" s="14">
        <v>27</v>
      </c>
      <c r="B29" s="14">
        <v>16.4</v>
      </c>
    </row>
    <row r="30" spans="1:2">
      <c r="A30" s="14">
        <v>28</v>
      </c>
      <c r="B30" s="14">
        <v>24.9</v>
      </c>
    </row>
    <row r="31" spans="1:2">
      <c r="A31" s="14">
        <v>29</v>
      </c>
      <c r="B31" s="14">
        <v>17.3</v>
      </c>
    </row>
    <row r="32" spans="1:2">
      <c r="A32" s="14">
        <v>30</v>
      </c>
      <c r="B32" s="14">
        <v>17.4</v>
      </c>
    </row>
  </sheetData>
  <mergeCells count="1">
    <mergeCell ref="A1:H1"/>
  </mergeCells>
  <pageMargins left="0.75" right="0.75" top="1" bottom="1" header="0.5" footer="0.5"/>
  <pageSetup paperSize="9" orientation="portrait"/>
  <headerFooter alignWithMargins="0"/>
  <ignoredErrors>
    <ignoredError sqref="D8:D10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O29"/>
  <sheetViews>
    <sheetView tabSelected="1" topLeftCell="A4" workbookViewId="0">
      <selection activeCell="O29" sqref="O29"/>
    </sheetView>
  </sheetViews>
  <sheetFormatPr defaultColWidth="9" defaultRowHeight="15.6"/>
  <cols>
    <col min="1" max="1" width="3.875" style="2" customWidth="1"/>
    <col min="2" max="3" width="0.125" style="2" hidden="1" customWidth="1"/>
    <col min="4" max="4" width="6.5" style="2" customWidth="1"/>
    <col min="5" max="5" width="8.375" style="2" customWidth="1"/>
    <col min="6" max="7" width="6.5" style="2" hidden="1" customWidth="1"/>
    <col min="8" max="8" width="6.5" style="2" customWidth="1"/>
    <col min="9" max="10" width="8.5" style="2" customWidth="1"/>
    <col min="11" max="11" width="6.5" style="2" customWidth="1"/>
    <col min="12" max="12" width="6.25" style="2" customWidth="1"/>
    <col min="13" max="13" width="6.75" style="2" customWidth="1"/>
    <col min="14" max="14" width="8.375" style="2" customWidth="1"/>
    <col min="15" max="15" width="9.125" style="2" customWidth="1"/>
    <col min="16" max="16384" width="9" style="2"/>
  </cols>
  <sheetData>
    <row r="1" ht="48" customHeight="1" spans="1:15">
      <c r="A1" s="3" t="s">
        <v>396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="1" customFormat="1" ht="46.5" customHeight="1" spans="1:15">
      <c r="A2" s="4" t="s">
        <v>293</v>
      </c>
      <c r="B2" s="4" t="s">
        <v>397</v>
      </c>
      <c r="C2" s="4" t="s">
        <v>398</v>
      </c>
      <c r="D2" s="4" t="s">
        <v>399</v>
      </c>
      <c r="E2" s="4" t="s">
        <v>400</v>
      </c>
      <c r="F2" s="4" t="s">
        <v>401</v>
      </c>
      <c r="G2" s="4" t="s">
        <v>402</v>
      </c>
      <c r="H2" s="4" t="s">
        <v>403</v>
      </c>
      <c r="I2" s="4" t="s">
        <v>404</v>
      </c>
      <c r="J2" s="4" t="s">
        <v>405</v>
      </c>
      <c r="K2" s="4" t="s">
        <v>406</v>
      </c>
      <c r="L2" s="4" t="s">
        <v>407</v>
      </c>
      <c r="M2" s="4" t="s">
        <v>408</v>
      </c>
      <c r="N2" s="4" t="s">
        <v>409</v>
      </c>
      <c r="O2" s="4" t="s">
        <v>410</v>
      </c>
    </row>
    <row r="3" ht="23.25" customHeight="1" spans="1:15">
      <c r="A3" s="5">
        <v>1</v>
      </c>
      <c r="B3" s="6">
        <v>69.62</v>
      </c>
      <c r="C3" s="6">
        <v>69.66</v>
      </c>
      <c r="D3" s="7">
        <f t="shared" ref="D3:D29" si="0">(B3+C3)/2</f>
        <v>69.64</v>
      </c>
      <c r="E3" s="7">
        <f t="shared" ref="E3:E29" si="1">D3*D3/4*3.1415926</f>
        <v>3808.96865584024</v>
      </c>
      <c r="F3" s="7">
        <v>69.82</v>
      </c>
      <c r="G3" s="7">
        <v>69.82</v>
      </c>
      <c r="H3" s="7">
        <f t="shared" ref="H3:H29" si="2">(F3+G3)/2</f>
        <v>69.82</v>
      </c>
      <c r="I3" s="7">
        <f t="shared" ref="I3:I29" si="3">H3*H3/4*3.1415926</f>
        <v>3828.68434852006</v>
      </c>
      <c r="J3" s="7">
        <f t="shared" ref="J3:J29" si="4">(E3+I3)/2</f>
        <v>3818.82650218015</v>
      </c>
      <c r="K3" s="7">
        <v>52</v>
      </c>
      <c r="L3" s="7">
        <v>52.1</v>
      </c>
      <c r="M3" s="7">
        <f t="shared" ref="M3:M29" si="5">(K3+L3)/2</f>
        <v>52.05</v>
      </c>
      <c r="N3" s="10">
        <f t="shared" ref="N3:N29" si="6">J3*M3*0.001</f>
        <v>198.769919438477</v>
      </c>
      <c r="O3" s="10">
        <v>170.2</v>
      </c>
    </row>
    <row r="4" ht="23.25" customHeight="1" spans="1:15">
      <c r="A4" s="5">
        <v>2</v>
      </c>
      <c r="B4" s="6">
        <v>69.86</v>
      </c>
      <c r="C4" s="6">
        <v>69.78</v>
      </c>
      <c r="D4" s="7">
        <f t="shared" si="0"/>
        <v>69.82</v>
      </c>
      <c r="E4" s="7">
        <f t="shared" si="1"/>
        <v>3828.68434852006</v>
      </c>
      <c r="F4" s="7">
        <v>69.88</v>
      </c>
      <c r="G4" s="7">
        <v>69.96</v>
      </c>
      <c r="H4" s="7">
        <f t="shared" si="2"/>
        <v>69.92</v>
      </c>
      <c r="I4" s="7">
        <f t="shared" si="3"/>
        <v>3839.65950226816</v>
      </c>
      <c r="J4" s="7">
        <f t="shared" si="4"/>
        <v>3834.17192539411</v>
      </c>
      <c r="K4" s="7">
        <v>52</v>
      </c>
      <c r="L4" s="7">
        <v>52</v>
      </c>
      <c r="M4" s="7">
        <f t="shared" si="5"/>
        <v>52</v>
      </c>
      <c r="N4" s="10">
        <f t="shared" si="6"/>
        <v>199.376940120494</v>
      </c>
      <c r="O4" s="10">
        <v>144.4</v>
      </c>
    </row>
    <row r="5" ht="23.25" customHeight="1" spans="1:15">
      <c r="A5" s="5">
        <v>3</v>
      </c>
      <c r="B5" s="6">
        <v>69.8</v>
      </c>
      <c r="C5" s="6">
        <v>69.92</v>
      </c>
      <c r="D5" s="7">
        <f t="shared" si="0"/>
        <v>69.86</v>
      </c>
      <c r="E5" s="7">
        <f t="shared" si="1"/>
        <v>3833.07252506374</v>
      </c>
      <c r="F5" s="7">
        <v>70</v>
      </c>
      <c r="G5" s="7">
        <v>69.64</v>
      </c>
      <c r="H5" s="7">
        <f t="shared" si="2"/>
        <v>69.82</v>
      </c>
      <c r="I5" s="7">
        <f t="shared" si="3"/>
        <v>3828.68434852006</v>
      </c>
      <c r="J5" s="7">
        <f t="shared" si="4"/>
        <v>3830.8784367919</v>
      </c>
      <c r="K5" s="7">
        <v>52</v>
      </c>
      <c r="L5" s="7">
        <v>52</v>
      </c>
      <c r="M5" s="7">
        <f t="shared" si="5"/>
        <v>52</v>
      </c>
      <c r="N5" s="10">
        <f t="shared" si="6"/>
        <v>199.205678713179</v>
      </c>
      <c r="O5" s="10">
        <v>167.5</v>
      </c>
    </row>
    <row r="6" ht="23.25" customHeight="1" spans="1:15">
      <c r="A6" s="5">
        <v>4</v>
      </c>
      <c r="B6" s="6">
        <v>69.64</v>
      </c>
      <c r="C6" s="6">
        <v>69.9</v>
      </c>
      <c r="D6" s="7">
        <f t="shared" si="0"/>
        <v>69.77</v>
      </c>
      <c r="E6" s="7">
        <f t="shared" si="1"/>
        <v>3823.20266213214</v>
      </c>
      <c r="F6" s="7">
        <v>69.68</v>
      </c>
      <c r="G6" s="7">
        <v>69.88</v>
      </c>
      <c r="H6" s="7">
        <f t="shared" si="2"/>
        <v>69.78</v>
      </c>
      <c r="I6" s="7">
        <f t="shared" si="3"/>
        <v>3824.29868525046</v>
      </c>
      <c r="J6" s="7">
        <f t="shared" si="4"/>
        <v>3823.7506736913</v>
      </c>
      <c r="K6" s="7">
        <v>51.78</v>
      </c>
      <c r="L6" s="7">
        <v>51.68</v>
      </c>
      <c r="M6" s="7">
        <f t="shared" si="5"/>
        <v>51.73</v>
      </c>
      <c r="N6" s="10">
        <f t="shared" si="6"/>
        <v>197.802622350051</v>
      </c>
      <c r="O6" s="10">
        <v>190.1</v>
      </c>
    </row>
    <row r="7" ht="23.25" customHeight="1" spans="1:15">
      <c r="A7" s="5">
        <v>5</v>
      </c>
      <c r="B7" s="6">
        <v>69.52</v>
      </c>
      <c r="C7" s="6">
        <v>69.82</v>
      </c>
      <c r="D7" s="7">
        <f t="shared" si="0"/>
        <v>69.67</v>
      </c>
      <c r="E7" s="7">
        <f t="shared" si="1"/>
        <v>3812.25107032853</v>
      </c>
      <c r="F7" s="7">
        <v>69.7</v>
      </c>
      <c r="G7" s="7">
        <v>69.76</v>
      </c>
      <c r="H7" s="7">
        <f t="shared" si="2"/>
        <v>69.73</v>
      </c>
      <c r="I7" s="7">
        <f t="shared" si="3"/>
        <v>3818.82014045514</v>
      </c>
      <c r="J7" s="7">
        <f t="shared" si="4"/>
        <v>3815.53560539183</v>
      </c>
      <c r="K7" s="7">
        <v>52</v>
      </c>
      <c r="L7" s="7">
        <v>52</v>
      </c>
      <c r="M7" s="7">
        <f t="shared" si="5"/>
        <v>52</v>
      </c>
      <c r="N7" s="10">
        <f t="shared" si="6"/>
        <v>198.407851480375</v>
      </c>
      <c r="O7" s="10">
        <v>171.8</v>
      </c>
    </row>
    <row r="8" ht="23.25" customHeight="1" spans="1:15">
      <c r="A8" s="8">
        <v>6</v>
      </c>
      <c r="B8" s="6">
        <v>70.2</v>
      </c>
      <c r="C8" s="6">
        <v>70.32</v>
      </c>
      <c r="D8" s="7">
        <f t="shared" si="0"/>
        <v>70.26</v>
      </c>
      <c r="E8" s="7">
        <f t="shared" si="1"/>
        <v>3877.09252057494</v>
      </c>
      <c r="F8" s="7">
        <v>70.26</v>
      </c>
      <c r="G8" s="7">
        <v>70.44</v>
      </c>
      <c r="H8" s="7">
        <f t="shared" si="2"/>
        <v>70.35</v>
      </c>
      <c r="I8" s="7">
        <f t="shared" si="3"/>
        <v>3887.03165562337</v>
      </c>
      <c r="J8" s="7">
        <f t="shared" si="4"/>
        <v>3882.06208809916</v>
      </c>
      <c r="K8" s="7">
        <v>52.02</v>
      </c>
      <c r="L8" s="7">
        <v>52.12</v>
      </c>
      <c r="M8" s="7">
        <f t="shared" si="5"/>
        <v>52.07</v>
      </c>
      <c r="N8" s="10">
        <f t="shared" si="6"/>
        <v>202.138972927323</v>
      </c>
      <c r="O8" s="10">
        <v>171.8</v>
      </c>
    </row>
    <row r="9" ht="23.25" customHeight="1" spans="1:15">
      <c r="A9" s="8">
        <v>7</v>
      </c>
      <c r="B9" s="6">
        <v>69.52</v>
      </c>
      <c r="C9" s="6">
        <v>69.24</v>
      </c>
      <c r="D9" s="7">
        <f t="shared" si="0"/>
        <v>69.38</v>
      </c>
      <c r="E9" s="7">
        <f t="shared" si="1"/>
        <v>3780.58028262886</v>
      </c>
      <c r="F9" s="7">
        <v>69.62</v>
      </c>
      <c r="G9" s="7">
        <v>69.28</v>
      </c>
      <c r="H9" s="7">
        <f t="shared" si="2"/>
        <v>69.45</v>
      </c>
      <c r="I9" s="7">
        <f t="shared" si="3"/>
        <v>3788.21286039038</v>
      </c>
      <c r="J9" s="7">
        <f t="shared" si="4"/>
        <v>3784.39657150962</v>
      </c>
      <c r="K9" s="7">
        <v>52.08</v>
      </c>
      <c r="L9" s="7">
        <v>52.06</v>
      </c>
      <c r="M9" s="7">
        <f t="shared" si="5"/>
        <v>52.07</v>
      </c>
      <c r="N9" s="10">
        <f t="shared" si="6"/>
        <v>197.053529478506</v>
      </c>
      <c r="O9" s="10">
        <v>171.9</v>
      </c>
    </row>
    <row r="10" ht="23.25" customHeight="1" spans="1:15">
      <c r="A10" s="8">
        <v>8</v>
      </c>
      <c r="B10" s="6">
        <v>69.86</v>
      </c>
      <c r="C10" s="6">
        <v>69.24</v>
      </c>
      <c r="D10" s="7">
        <f t="shared" si="0"/>
        <v>69.55</v>
      </c>
      <c r="E10" s="7">
        <f t="shared" si="1"/>
        <v>3799.12989467537</v>
      </c>
      <c r="F10" s="7">
        <v>69.22</v>
      </c>
      <c r="G10" s="7">
        <v>69.82</v>
      </c>
      <c r="H10" s="7">
        <f t="shared" si="2"/>
        <v>69.52</v>
      </c>
      <c r="I10" s="7">
        <f t="shared" si="3"/>
        <v>3795.85313505376</v>
      </c>
      <c r="J10" s="7">
        <f t="shared" si="4"/>
        <v>3797.49151486457</v>
      </c>
      <c r="K10" s="7">
        <v>52.62</v>
      </c>
      <c r="L10" s="7">
        <v>52.62</v>
      </c>
      <c r="M10" s="7">
        <f t="shared" si="5"/>
        <v>52.62</v>
      </c>
      <c r="N10" s="10">
        <f t="shared" si="6"/>
        <v>199.824003512173</v>
      </c>
      <c r="O10" s="10">
        <v>174</v>
      </c>
    </row>
    <row r="11" ht="23.25" customHeight="1" spans="1:15">
      <c r="A11" s="5">
        <v>9</v>
      </c>
      <c r="B11" s="6">
        <v>69.88</v>
      </c>
      <c r="C11" s="6">
        <v>69.62</v>
      </c>
      <c r="D11" s="7">
        <f t="shared" si="0"/>
        <v>69.75</v>
      </c>
      <c r="E11" s="7">
        <f t="shared" si="1"/>
        <v>3821.01108713437</v>
      </c>
      <c r="F11" s="7">
        <v>69.54</v>
      </c>
      <c r="G11" s="7">
        <v>70</v>
      </c>
      <c r="H11" s="7">
        <f t="shared" si="2"/>
        <v>69.77</v>
      </c>
      <c r="I11" s="7">
        <f t="shared" si="3"/>
        <v>3823.20266213214</v>
      </c>
      <c r="J11" s="7">
        <f t="shared" si="4"/>
        <v>3822.10687463326</v>
      </c>
      <c r="K11" s="7">
        <v>52</v>
      </c>
      <c r="L11" s="7">
        <v>52</v>
      </c>
      <c r="M11" s="7">
        <f t="shared" si="5"/>
        <v>52</v>
      </c>
      <c r="N11" s="10">
        <f t="shared" si="6"/>
        <v>198.749557480929</v>
      </c>
      <c r="O11" s="10">
        <v>227.7</v>
      </c>
    </row>
    <row r="12" ht="23.25" customHeight="1" spans="1:15">
      <c r="A12" s="8">
        <v>10</v>
      </c>
      <c r="B12" s="6">
        <v>69.26</v>
      </c>
      <c r="C12" s="6">
        <v>69.68</v>
      </c>
      <c r="D12" s="7">
        <f t="shared" si="0"/>
        <v>69.47</v>
      </c>
      <c r="E12" s="7">
        <f t="shared" si="1"/>
        <v>3790.39501061034</v>
      </c>
      <c r="F12" s="7">
        <v>69.52</v>
      </c>
      <c r="G12" s="7">
        <v>69.58</v>
      </c>
      <c r="H12" s="7">
        <f t="shared" si="2"/>
        <v>69.55</v>
      </c>
      <c r="I12" s="7">
        <f t="shared" si="3"/>
        <v>3799.12989467537</v>
      </c>
      <c r="J12" s="7">
        <f t="shared" si="4"/>
        <v>3794.76245264285</v>
      </c>
      <c r="K12" s="7">
        <v>52.22</v>
      </c>
      <c r="L12" s="7">
        <v>52.22</v>
      </c>
      <c r="M12" s="7">
        <f t="shared" si="5"/>
        <v>52.22</v>
      </c>
      <c r="N12" s="10">
        <f t="shared" si="6"/>
        <v>198.16249527701</v>
      </c>
      <c r="O12" s="10">
        <v>175</v>
      </c>
    </row>
    <row r="13" ht="23.25" customHeight="1" spans="1:15">
      <c r="A13" s="5">
        <v>11</v>
      </c>
      <c r="B13" s="6">
        <v>69.62</v>
      </c>
      <c r="C13" s="6">
        <v>69.88</v>
      </c>
      <c r="D13" s="7">
        <f t="shared" si="0"/>
        <v>69.75</v>
      </c>
      <c r="E13" s="7">
        <f t="shared" si="1"/>
        <v>3821.01108713437</v>
      </c>
      <c r="F13" s="7">
        <v>69.92</v>
      </c>
      <c r="G13" s="7">
        <v>69.92</v>
      </c>
      <c r="H13" s="7">
        <f t="shared" si="2"/>
        <v>69.92</v>
      </c>
      <c r="I13" s="7">
        <f t="shared" si="3"/>
        <v>3839.65950226816</v>
      </c>
      <c r="J13" s="7">
        <f t="shared" si="4"/>
        <v>3830.33529470127</v>
      </c>
      <c r="K13" s="7">
        <v>52</v>
      </c>
      <c r="L13" s="7">
        <v>52.02</v>
      </c>
      <c r="M13" s="7">
        <f t="shared" si="5"/>
        <v>52.01</v>
      </c>
      <c r="N13" s="10">
        <f t="shared" si="6"/>
        <v>199.215738677413</v>
      </c>
      <c r="O13" s="10">
        <v>168.5</v>
      </c>
    </row>
    <row r="14" ht="23.25" customHeight="1" spans="1:15">
      <c r="A14" s="9">
        <v>12</v>
      </c>
      <c r="B14" s="6">
        <v>70.72</v>
      </c>
      <c r="C14" s="6">
        <v>70.68</v>
      </c>
      <c r="D14" s="7">
        <f t="shared" si="0"/>
        <v>70.7</v>
      </c>
      <c r="E14" s="7">
        <f t="shared" si="1"/>
        <v>3925.8047987935</v>
      </c>
      <c r="F14" s="7">
        <v>70.82</v>
      </c>
      <c r="G14" s="7">
        <v>70.72</v>
      </c>
      <c r="H14" s="7">
        <f t="shared" si="2"/>
        <v>70.77</v>
      </c>
      <c r="I14" s="7">
        <f t="shared" si="3"/>
        <v>3933.58251813313</v>
      </c>
      <c r="J14" s="7">
        <f t="shared" si="4"/>
        <v>3929.69365846332</v>
      </c>
      <c r="K14" s="7">
        <v>52.12</v>
      </c>
      <c r="L14" s="7">
        <v>52.92</v>
      </c>
      <c r="M14" s="7">
        <f t="shared" si="5"/>
        <v>52.52</v>
      </c>
      <c r="N14" s="10">
        <f t="shared" si="6"/>
        <v>206.387510942493</v>
      </c>
      <c r="O14" s="10">
        <v>168.5</v>
      </c>
    </row>
    <row r="15" ht="23.25" customHeight="1" spans="1:15">
      <c r="A15" s="9">
        <v>13</v>
      </c>
      <c r="B15" s="6">
        <v>70.72</v>
      </c>
      <c r="C15" s="6">
        <v>70.36</v>
      </c>
      <c r="D15" s="7">
        <f t="shared" si="0"/>
        <v>70.54</v>
      </c>
      <c r="E15" s="7">
        <f t="shared" si="1"/>
        <v>3908.05605724054</v>
      </c>
      <c r="F15" s="7">
        <v>70.82</v>
      </c>
      <c r="G15" s="7">
        <v>71.02</v>
      </c>
      <c r="H15" s="7">
        <f t="shared" si="2"/>
        <v>70.92</v>
      </c>
      <c r="I15" s="7">
        <f t="shared" si="3"/>
        <v>3950.27497771416</v>
      </c>
      <c r="J15" s="7">
        <f t="shared" si="4"/>
        <v>3929.16551747735</v>
      </c>
      <c r="K15" s="7">
        <v>52</v>
      </c>
      <c r="L15" s="7">
        <v>52</v>
      </c>
      <c r="M15" s="7">
        <f t="shared" si="5"/>
        <v>52</v>
      </c>
      <c r="N15" s="10">
        <f t="shared" si="6"/>
        <v>204.316606908822</v>
      </c>
      <c r="O15" s="10">
        <v>169.9</v>
      </c>
    </row>
    <row r="16" ht="23.25" customHeight="1" spans="1:15">
      <c r="A16" s="8">
        <v>14</v>
      </c>
      <c r="B16" s="6">
        <v>70.12</v>
      </c>
      <c r="C16" s="6">
        <v>70.02</v>
      </c>
      <c r="D16" s="7">
        <f t="shared" si="0"/>
        <v>70.07</v>
      </c>
      <c r="E16" s="7">
        <f t="shared" si="1"/>
        <v>3856.15168532093</v>
      </c>
      <c r="F16" s="7">
        <v>70.66</v>
      </c>
      <c r="G16" s="7">
        <v>70.26</v>
      </c>
      <c r="H16" s="7">
        <f t="shared" si="2"/>
        <v>70.46</v>
      </c>
      <c r="I16" s="7">
        <f t="shared" si="3"/>
        <v>3899.19676610854</v>
      </c>
      <c r="J16" s="7">
        <f t="shared" si="4"/>
        <v>3877.67422571474</v>
      </c>
      <c r="K16" s="7">
        <v>52</v>
      </c>
      <c r="L16" s="7">
        <v>52</v>
      </c>
      <c r="M16" s="7">
        <f t="shared" si="5"/>
        <v>52</v>
      </c>
      <c r="N16" s="10">
        <f t="shared" si="6"/>
        <v>201.639059737166</v>
      </c>
      <c r="O16" s="10">
        <v>179.2</v>
      </c>
    </row>
    <row r="17" ht="23.25" customHeight="1" spans="1:15">
      <c r="A17" s="5">
        <v>15</v>
      </c>
      <c r="B17" s="6">
        <v>70.72</v>
      </c>
      <c r="C17" s="6">
        <v>70.72</v>
      </c>
      <c r="D17" s="7">
        <f t="shared" si="0"/>
        <v>70.72</v>
      </c>
      <c r="E17" s="7">
        <f t="shared" si="1"/>
        <v>3928.02621892096</v>
      </c>
      <c r="F17" s="7">
        <v>70.62</v>
      </c>
      <c r="G17" s="7">
        <v>70.72</v>
      </c>
      <c r="H17" s="7">
        <f t="shared" si="2"/>
        <v>70.67</v>
      </c>
      <c r="I17" s="7">
        <f t="shared" si="3"/>
        <v>3922.47384669954</v>
      </c>
      <c r="J17" s="7">
        <f t="shared" si="4"/>
        <v>3925.25003281025</v>
      </c>
      <c r="K17" s="7">
        <v>52.32</v>
      </c>
      <c r="L17" s="7">
        <v>52.32</v>
      </c>
      <c r="M17" s="7">
        <f t="shared" si="5"/>
        <v>52.32</v>
      </c>
      <c r="N17" s="10">
        <f t="shared" si="6"/>
        <v>205.369081716632</v>
      </c>
      <c r="O17" s="10">
        <v>170.4</v>
      </c>
    </row>
    <row r="18" ht="23.25" customHeight="1" spans="1:15">
      <c r="A18" s="5">
        <v>16</v>
      </c>
      <c r="B18" s="6">
        <v>70.12</v>
      </c>
      <c r="C18" s="6">
        <v>70.62</v>
      </c>
      <c r="D18" s="7">
        <f t="shared" si="0"/>
        <v>70.37</v>
      </c>
      <c r="E18" s="7">
        <f t="shared" si="1"/>
        <v>3889.24208017674</v>
      </c>
      <c r="F18" s="7">
        <v>70.24</v>
      </c>
      <c r="G18" s="7">
        <v>70.28</v>
      </c>
      <c r="H18" s="7">
        <f t="shared" si="2"/>
        <v>70.26</v>
      </c>
      <c r="I18" s="7">
        <f t="shared" si="3"/>
        <v>3877.09252057494</v>
      </c>
      <c r="J18" s="7">
        <f t="shared" si="4"/>
        <v>3883.16730037584</v>
      </c>
      <c r="K18" s="7">
        <v>52.12</v>
      </c>
      <c r="L18" s="7">
        <v>52.12</v>
      </c>
      <c r="M18" s="7">
        <f t="shared" si="5"/>
        <v>52.12</v>
      </c>
      <c r="N18" s="10">
        <f t="shared" si="6"/>
        <v>202.390679695589</v>
      </c>
      <c r="O18" s="10">
        <v>166.2</v>
      </c>
    </row>
    <row r="19" ht="23.25" customHeight="1" spans="1:15">
      <c r="A19" s="5">
        <v>17</v>
      </c>
      <c r="B19" s="6">
        <v>69.84</v>
      </c>
      <c r="C19" s="6">
        <v>69.92</v>
      </c>
      <c r="D19" s="7">
        <f t="shared" si="0"/>
        <v>69.88</v>
      </c>
      <c r="E19" s="7">
        <f t="shared" si="1"/>
        <v>3835.26755581336</v>
      </c>
      <c r="F19" s="7">
        <v>69.9</v>
      </c>
      <c r="G19" s="7">
        <v>69.84</v>
      </c>
      <c r="H19" s="7">
        <f t="shared" si="2"/>
        <v>69.87</v>
      </c>
      <c r="I19" s="7">
        <f t="shared" si="3"/>
        <v>3834.16996189874</v>
      </c>
      <c r="J19" s="7">
        <f t="shared" si="4"/>
        <v>3834.71875885605</v>
      </c>
      <c r="K19" s="7">
        <v>52</v>
      </c>
      <c r="L19" s="7">
        <v>52</v>
      </c>
      <c r="M19" s="7">
        <f t="shared" si="5"/>
        <v>52</v>
      </c>
      <c r="N19" s="10">
        <f t="shared" si="6"/>
        <v>199.405375460514</v>
      </c>
      <c r="O19" s="10">
        <v>168.2</v>
      </c>
    </row>
    <row r="20" ht="23.25" customHeight="1" spans="1:15">
      <c r="A20" s="9">
        <v>18</v>
      </c>
      <c r="B20" s="6">
        <v>70.82</v>
      </c>
      <c r="C20" s="6">
        <v>70.16</v>
      </c>
      <c r="D20" s="7">
        <f t="shared" si="0"/>
        <v>70.49</v>
      </c>
      <c r="E20" s="7">
        <f t="shared" si="1"/>
        <v>3902.51782218581</v>
      </c>
      <c r="F20" s="7">
        <v>70.82</v>
      </c>
      <c r="G20" s="7">
        <v>70.76</v>
      </c>
      <c r="H20" s="7">
        <f t="shared" si="2"/>
        <v>70.79</v>
      </c>
      <c r="I20" s="7">
        <f t="shared" si="3"/>
        <v>3935.80613737541</v>
      </c>
      <c r="J20" s="7">
        <f t="shared" si="4"/>
        <v>3919.16197978061</v>
      </c>
      <c r="K20" s="7">
        <v>52.92</v>
      </c>
      <c r="L20" s="7">
        <v>52.92</v>
      </c>
      <c r="M20" s="7">
        <f t="shared" si="5"/>
        <v>52.92</v>
      </c>
      <c r="N20" s="10">
        <f t="shared" si="6"/>
        <v>207.40205196999</v>
      </c>
      <c r="O20" s="10">
        <v>201.4</v>
      </c>
    </row>
    <row r="21" ht="23.25" customHeight="1" spans="1:15">
      <c r="A21" s="9">
        <v>19</v>
      </c>
      <c r="B21" s="6">
        <v>70.12</v>
      </c>
      <c r="C21" s="6">
        <v>70.68</v>
      </c>
      <c r="D21" s="7">
        <f t="shared" si="0"/>
        <v>70.4</v>
      </c>
      <c r="E21" s="7">
        <f t="shared" si="1"/>
        <v>3892.558895104</v>
      </c>
      <c r="F21" s="7">
        <v>70.12</v>
      </c>
      <c r="G21" s="7">
        <v>70.82</v>
      </c>
      <c r="H21" s="7">
        <f t="shared" si="2"/>
        <v>70.47</v>
      </c>
      <c r="I21" s="7">
        <f t="shared" si="3"/>
        <v>3900.30362772133</v>
      </c>
      <c r="J21" s="7">
        <f t="shared" si="4"/>
        <v>3896.43126141267</v>
      </c>
      <c r="K21" s="7">
        <v>52.02</v>
      </c>
      <c r="L21" s="7">
        <v>52</v>
      </c>
      <c r="M21" s="7">
        <f t="shared" si="5"/>
        <v>52.01</v>
      </c>
      <c r="N21" s="10">
        <f t="shared" si="6"/>
        <v>202.653389906073</v>
      </c>
      <c r="O21" s="10">
        <v>187.2</v>
      </c>
    </row>
    <row r="22" ht="23.25" customHeight="1" spans="1:15">
      <c r="A22" s="5">
        <v>20</v>
      </c>
      <c r="B22" s="6">
        <v>70.82</v>
      </c>
      <c r="C22" s="6">
        <v>70.82</v>
      </c>
      <c r="D22" s="7">
        <f t="shared" si="0"/>
        <v>70.82</v>
      </c>
      <c r="E22" s="7">
        <f t="shared" si="1"/>
        <v>3939.14274433606</v>
      </c>
      <c r="F22" s="7">
        <v>70.72</v>
      </c>
      <c r="G22" s="7">
        <v>70.72</v>
      </c>
      <c r="H22" s="7">
        <f t="shared" si="2"/>
        <v>70.72</v>
      </c>
      <c r="I22" s="7">
        <f t="shared" si="3"/>
        <v>3928.02621892096</v>
      </c>
      <c r="J22" s="7">
        <f t="shared" si="4"/>
        <v>3933.58448162851</v>
      </c>
      <c r="K22" s="7">
        <v>52.12</v>
      </c>
      <c r="L22" s="7">
        <v>52.12</v>
      </c>
      <c r="M22" s="7">
        <f t="shared" si="5"/>
        <v>52.12</v>
      </c>
      <c r="N22" s="10">
        <f t="shared" si="6"/>
        <v>205.018423182478</v>
      </c>
      <c r="O22" s="10">
        <v>168.5</v>
      </c>
    </row>
    <row r="23" ht="23.25" customHeight="1" spans="1:15">
      <c r="A23" s="9">
        <v>21</v>
      </c>
      <c r="B23" s="6">
        <v>70.72</v>
      </c>
      <c r="C23" s="6">
        <v>70.62</v>
      </c>
      <c r="D23" s="7">
        <f t="shared" si="0"/>
        <v>70.67</v>
      </c>
      <c r="E23" s="7">
        <f t="shared" si="1"/>
        <v>3922.47384669954</v>
      </c>
      <c r="F23" s="7">
        <v>70.72</v>
      </c>
      <c r="G23" s="7">
        <v>70.72</v>
      </c>
      <c r="H23" s="7">
        <f t="shared" si="2"/>
        <v>70.72</v>
      </c>
      <c r="I23" s="7">
        <f t="shared" si="3"/>
        <v>3928.02621892096</v>
      </c>
      <c r="J23" s="7">
        <f t="shared" si="4"/>
        <v>3925.25003281025</v>
      </c>
      <c r="K23" s="7">
        <v>52.12</v>
      </c>
      <c r="L23" s="7">
        <v>52.12</v>
      </c>
      <c r="M23" s="7">
        <f t="shared" si="5"/>
        <v>52.12</v>
      </c>
      <c r="N23" s="10">
        <f t="shared" si="6"/>
        <v>204.58403171007</v>
      </c>
      <c r="O23" s="10">
        <v>169.1</v>
      </c>
    </row>
    <row r="24" ht="23.25" customHeight="1" spans="1:15">
      <c r="A24" s="8">
        <v>22</v>
      </c>
      <c r="B24" s="6">
        <v>70.12</v>
      </c>
      <c r="C24" s="6">
        <v>70.12</v>
      </c>
      <c r="D24" s="7">
        <f t="shared" si="0"/>
        <v>70.12</v>
      </c>
      <c r="E24" s="7">
        <f t="shared" si="1"/>
        <v>3861.65693365336</v>
      </c>
      <c r="F24" s="7">
        <v>70.22</v>
      </c>
      <c r="G24" s="7">
        <v>70.62</v>
      </c>
      <c r="H24" s="7">
        <f t="shared" si="2"/>
        <v>70.42</v>
      </c>
      <c r="I24" s="7">
        <f t="shared" si="3"/>
        <v>3894.77089045366</v>
      </c>
      <c r="J24" s="7">
        <f t="shared" si="4"/>
        <v>3878.21391205351</v>
      </c>
      <c r="K24" s="7">
        <v>52.06</v>
      </c>
      <c r="L24" s="7">
        <v>52.06</v>
      </c>
      <c r="M24" s="7">
        <f t="shared" si="5"/>
        <v>52.06</v>
      </c>
      <c r="N24" s="10">
        <f t="shared" si="6"/>
        <v>201.899816261506</v>
      </c>
      <c r="O24" s="10">
        <v>171.7</v>
      </c>
    </row>
    <row r="25" ht="23.25" customHeight="1" spans="1:15">
      <c r="A25" s="9">
        <v>23</v>
      </c>
      <c r="B25" s="6">
        <v>69.42</v>
      </c>
      <c r="C25" s="6">
        <v>70.06</v>
      </c>
      <c r="D25" s="7">
        <f t="shared" si="0"/>
        <v>69.74</v>
      </c>
      <c r="E25" s="7">
        <f t="shared" si="1"/>
        <v>3819.91553525494</v>
      </c>
      <c r="F25" s="7">
        <v>69.52</v>
      </c>
      <c r="G25" s="7">
        <v>69.98</v>
      </c>
      <c r="H25" s="7">
        <f t="shared" si="2"/>
        <v>69.75</v>
      </c>
      <c r="I25" s="7">
        <f t="shared" si="3"/>
        <v>3821.01108713437</v>
      </c>
      <c r="J25" s="7">
        <f t="shared" si="4"/>
        <v>3820.46331119466</v>
      </c>
      <c r="K25" s="7">
        <v>52.72</v>
      </c>
      <c r="L25" s="7">
        <v>52.72</v>
      </c>
      <c r="M25" s="7">
        <f t="shared" si="5"/>
        <v>52.72</v>
      </c>
      <c r="N25" s="10">
        <f t="shared" si="6"/>
        <v>201.414825766182</v>
      </c>
      <c r="O25" s="10">
        <v>206.7</v>
      </c>
    </row>
    <row r="26" ht="23.25" customHeight="1" spans="1:15">
      <c r="A26" s="9">
        <v>24</v>
      </c>
      <c r="B26" s="6">
        <v>70.92</v>
      </c>
      <c r="C26" s="6">
        <v>70.68</v>
      </c>
      <c r="D26" s="7">
        <f t="shared" si="0"/>
        <v>70.8</v>
      </c>
      <c r="E26" s="7">
        <f t="shared" si="1"/>
        <v>3936.918182616</v>
      </c>
      <c r="F26" s="7">
        <v>70.62</v>
      </c>
      <c r="G26" s="7">
        <v>70.96</v>
      </c>
      <c r="H26" s="7">
        <f t="shared" si="2"/>
        <v>70.79</v>
      </c>
      <c r="I26" s="7">
        <f t="shared" si="3"/>
        <v>3935.80613737541</v>
      </c>
      <c r="J26" s="7">
        <f t="shared" si="4"/>
        <v>3936.36215999571</v>
      </c>
      <c r="K26" s="7">
        <v>52</v>
      </c>
      <c r="L26" s="7">
        <v>52</v>
      </c>
      <c r="M26" s="7">
        <f t="shared" si="5"/>
        <v>52</v>
      </c>
      <c r="N26" s="10">
        <f t="shared" si="6"/>
        <v>204.690832319777</v>
      </c>
      <c r="O26" s="10">
        <v>172.9</v>
      </c>
    </row>
    <row r="27" ht="23.25" customHeight="1" spans="1:15">
      <c r="A27" s="9">
        <v>25</v>
      </c>
      <c r="B27" s="6">
        <v>70.72</v>
      </c>
      <c r="C27" s="6">
        <v>69.98</v>
      </c>
      <c r="D27" s="7">
        <f t="shared" si="0"/>
        <v>70.35</v>
      </c>
      <c r="E27" s="7">
        <f t="shared" si="1"/>
        <v>3887.03165562337</v>
      </c>
      <c r="F27" s="7">
        <v>70.92</v>
      </c>
      <c r="G27" s="7">
        <v>70.64</v>
      </c>
      <c r="H27" s="7">
        <f t="shared" si="2"/>
        <v>70.78</v>
      </c>
      <c r="I27" s="7">
        <f t="shared" si="3"/>
        <v>3934.69424921446</v>
      </c>
      <c r="J27" s="7">
        <f t="shared" si="4"/>
        <v>3910.86295241892</v>
      </c>
      <c r="K27" s="7">
        <v>52.12</v>
      </c>
      <c r="L27" s="7">
        <v>52.12</v>
      </c>
      <c r="M27" s="7">
        <f t="shared" si="5"/>
        <v>52.12</v>
      </c>
      <c r="N27" s="10">
        <f t="shared" si="6"/>
        <v>203.834177080074</v>
      </c>
      <c r="O27" s="10">
        <v>206.3</v>
      </c>
    </row>
    <row r="28" ht="23.25" customHeight="1" spans="1:15">
      <c r="A28" s="9">
        <v>26</v>
      </c>
      <c r="B28" s="6">
        <v>70.22</v>
      </c>
      <c r="C28" s="6">
        <v>70.62</v>
      </c>
      <c r="D28" s="7">
        <f t="shared" si="0"/>
        <v>70.42</v>
      </c>
      <c r="E28" s="7">
        <f t="shared" si="1"/>
        <v>3894.77089045366</v>
      </c>
      <c r="F28" s="7">
        <v>69.32</v>
      </c>
      <c r="G28" s="7">
        <v>69.62</v>
      </c>
      <c r="H28" s="7">
        <f t="shared" si="2"/>
        <v>69.47</v>
      </c>
      <c r="I28" s="7">
        <f t="shared" si="3"/>
        <v>3790.39501061034</v>
      </c>
      <c r="J28" s="7">
        <f t="shared" si="4"/>
        <v>3842.582950532</v>
      </c>
      <c r="K28" s="7">
        <v>52.12</v>
      </c>
      <c r="L28" s="7">
        <v>52.12</v>
      </c>
      <c r="M28" s="7">
        <f t="shared" si="5"/>
        <v>52.12</v>
      </c>
      <c r="N28" s="10">
        <f t="shared" si="6"/>
        <v>200.275423381728</v>
      </c>
      <c r="O28" s="10">
        <v>167.2</v>
      </c>
    </row>
    <row r="29" ht="23.25" customHeight="1" spans="1:15">
      <c r="A29" s="5">
        <v>27</v>
      </c>
      <c r="B29" s="6">
        <v>70.12</v>
      </c>
      <c r="C29" s="6">
        <v>70.22</v>
      </c>
      <c r="D29" s="7">
        <f t="shared" si="0"/>
        <v>70.17</v>
      </c>
      <c r="E29" s="7">
        <f t="shared" si="1"/>
        <v>3867.16610897654</v>
      </c>
      <c r="F29" s="7">
        <v>70.22</v>
      </c>
      <c r="G29" s="7">
        <v>70.12</v>
      </c>
      <c r="H29" s="7">
        <f t="shared" si="2"/>
        <v>70.17</v>
      </c>
      <c r="I29" s="7">
        <f t="shared" si="3"/>
        <v>3867.16610897654</v>
      </c>
      <c r="J29" s="7">
        <f t="shared" si="4"/>
        <v>3867.16610897654</v>
      </c>
      <c r="K29" s="7">
        <v>52.82</v>
      </c>
      <c r="L29" s="7">
        <v>52.82</v>
      </c>
      <c r="M29" s="7">
        <f t="shared" si="5"/>
        <v>52.82</v>
      </c>
      <c r="N29" s="10">
        <f t="shared" si="6"/>
        <v>204.263713876141</v>
      </c>
      <c r="O29" s="10">
        <v>169.4</v>
      </c>
    </row>
  </sheetData>
  <mergeCells count="1">
    <mergeCell ref="A1:O1"/>
  </mergeCells>
  <pageMargins left="0.93" right="0.7" top="0.66" bottom="0.63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China</Company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土类判定</vt:lpstr>
      <vt:lpstr>报告</vt:lpstr>
      <vt:lpstr>颗粒分析</vt:lpstr>
      <vt:lpstr>含水量</vt:lpstr>
      <vt:lpstr>击实</vt:lpstr>
      <vt:lpstr>液塑限</vt:lpstr>
      <vt:lpstr>累计曲线</vt:lpstr>
      <vt:lpstr>膨胀率</vt:lpstr>
      <vt:lpstr>环刀压实度</vt:lpstr>
      <vt:lpstr>灌砂压实度 (2)</vt:lpstr>
      <vt:lpstr>灌砂</vt:lpstr>
      <vt:lpstr>铝盒</vt:lpstr>
      <vt:lpstr>环刀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魏鹏翔</dc:creator>
  <cp:lastModifiedBy>asus</cp:lastModifiedBy>
  <dcterms:created xsi:type="dcterms:W3CDTF">2007-07-20T09:07:00Z</dcterms:created>
  <cp:lastPrinted>2007-11-08T09:00:00Z</cp:lastPrinted>
  <dcterms:modified xsi:type="dcterms:W3CDTF">2020-08-28T01:45:56Z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2052-11.1.0.9926</vt:lpwstr>
  </property>
</Properties>
</file>