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60" windowWidth="16035" windowHeight="11640" tabRatio="802"/>
  </bookViews>
  <sheets>
    <sheet name="11-001" sheetId="3" r:id="rId1"/>
  </sheets>
  <definedNames>
    <definedName name="_xlnm.Print_Area" localSheetId="0">'11-001'!$A$1:$AF$45</definedName>
  </definedNames>
  <calcPr calcId="145621"/>
</workbook>
</file>

<file path=xl/calcChain.xml><?xml version="1.0" encoding="utf-8"?>
<calcChain xmlns="http://schemas.openxmlformats.org/spreadsheetml/2006/main">
  <c r="AI1" i="3"/>
  <c r="AJ1"/>
  <c r="AK1"/>
  <c r="AL1"/>
  <c r="AM1"/>
  <c r="AN1"/>
  <c r="AO1"/>
  <c r="AP1"/>
  <c r="AQ1"/>
  <c r="AR1"/>
  <c r="AS1"/>
  <c r="AN4"/>
  <c r="AN6"/>
  <c r="X10"/>
  <c r="AD13"/>
  <c r="G18"/>
  <c r="K18" s="1"/>
  <c r="Q18"/>
  <c r="T18"/>
  <c r="X18" s="1"/>
  <c r="G19"/>
  <c r="K19"/>
  <c r="AJ2" s="1"/>
  <c r="G20"/>
  <c r="K20" s="1"/>
  <c r="G21"/>
  <c r="K21" s="1"/>
  <c r="G22"/>
  <c r="K22"/>
  <c r="AM3" s="1"/>
  <c r="G23"/>
  <c r="K23"/>
  <c r="AN2" s="1"/>
  <c r="G24"/>
  <c r="M13" s="1"/>
  <c r="L39"/>
  <c r="Z39"/>
  <c r="AI3" l="1"/>
  <c r="AI2"/>
  <c r="AL2"/>
  <c r="AL3"/>
  <c r="AK3"/>
  <c r="AK2"/>
  <c r="T19"/>
  <c r="AN3"/>
  <c r="AJ3"/>
  <c r="AM2"/>
  <c r="K24"/>
  <c r="AO3" l="1"/>
  <c r="AC18"/>
  <c r="AO2"/>
  <c r="U13"/>
  <c r="X19"/>
  <c r="AP3" s="1"/>
  <c r="T20"/>
  <c r="AC19" l="1"/>
  <c r="AP2" s="1"/>
  <c r="T21"/>
  <c r="X20"/>
  <c r="AQ3" s="1"/>
  <c r="AC20" l="1"/>
  <c r="AQ2" s="1"/>
  <c r="X21"/>
  <c r="T22"/>
  <c r="X22" s="1"/>
  <c r="AS3" l="1"/>
  <c r="AC22"/>
  <c r="AS2" s="1"/>
  <c r="AR3"/>
  <c r="AC21"/>
  <c r="AR2" s="1"/>
</calcChain>
</file>

<file path=xl/sharedStrings.xml><?xml version="1.0" encoding="utf-8"?>
<sst xmlns="http://schemas.openxmlformats.org/spreadsheetml/2006/main" count="94" uniqueCount="72">
  <si>
    <t>土的颗粒分析试验（筛分法）</t>
    <phoneticPr fontId="1" type="noConversion"/>
  </si>
  <si>
    <t>试验规程</t>
  </si>
  <si>
    <t>样品名称</t>
  </si>
  <si>
    <t>环境条件</t>
  </si>
  <si>
    <t>试验设备</t>
  </si>
  <si>
    <t>试验日期</t>
  </si>
  <si>
    <t>g</t>
  </si>
  <si>
    <t>曲线要素</t>
    <phoneticPr fontId="1" type="noConversion"/>
  </si>
  <si>
    <t>孔径</t>
    <phoneticPr fontId="1" type="noConversion"/>
  </si>
  <si>
    <t>通过率</t>
    <phoneticPr fontId="1" type="noConversion"/>
  </si>
  <si>
    <t>不均匀系数Cu</t>
    <phoneticPr fontId="1" type="noConversion"/>
  </si>
  <si>
    <r>
      <t>d</t>
    </r>
    <r>
      <rPr>
        <sz val="9"/>
        <rFont val="宋体"/>
        <charset val="134"/>
      </rPr>
      <t>60</t>
    </r>
    <phoneticPr fontId="1" type="noConversion"/>
  </si>
  <si>
    <t>d10</t>
    <phoneticPr fontId="1" type="noConversion"/>
  </si>
  <si>
    <t>d10</t>
    <phoneticPr fontId="1" type="noConversion"/>
  </si>
  <si>
    <t>=</t>
    <phoneticPr fontId="1" type="noConversion"/>
  </si>
  <si>
    <t>曲率系数Cc</t>
    <phoneticPr fontId="1" type="noConversion"/>
  </si>
  <si>
    <t>Cu--不均匀系数，计算至0.1且含两位以上有效数字。</t>
    <phoneticPr fontId="1" type="noConversion"/>
  </si>
  <si>
    <t>d60--限制粒级，即土中小于该粒径的颗粒质量为60%的粒径(mm)。</t>
    <phoneticPr fontId="1" type="noConversion"/>
  </si>
  <si>
    <t>d10--有效粒级，即土中小于该粒径的颗粒质量为10%的粒径(mm)。</t>
    <phoneticPr fontId="1" type="noConversion"/>
  </si>
  <si>
    <t>d30--有效粒级，即土中小于该粒径的颗粒质量为30%的粒径(mm)。</t>
    <phoneticPr fontId="1" type="noConversion"/>
  </si>
  <si>
    <t>d30*d30</t>
    <phoneticPr fontId="1" type="noConversion"/>
  </si>
  <si>
    <t>d10*d60</t>
    <phoneticPr fontId="1" type="noConversion"/>
  </si>
  <si>
    <t>d30</t>
    <phoneticPr fontId="1" type="noConversion"/>
  </si>
  <si>
    <r>
      <t>浙</t>
    </r>
    <r>
      <rPr>
        <sz val="9"/>
        <rFont val="宋体"/>
        <charset val="134"/>
      </rPr>
      <t>江</t>
    </r>
    <r>
      <rPr>
        <sz val="9"/>
        <rFont val="宋体"/>
        <charset val="134"/>
      </rPr>
      <t>省</t>
    </r>
    <r>
      <rPr>
        <sz val="9"/>
        <rFont val="宋体"/>
        <charset val="134"/>
      </rPr>
      <t>交</t>
    </r>
    <r>
      <rPr>
        <sz val="9"/>
        <rFont val="宋体"/>
        <charset val="134"/>
      </rPr>
      <t>通</t>
    </r>
    <r>
      <rPr>
        <sz val="9"/>
        <rFont val="宋体"/>
        <charset val="134"/>
      </rPr>
      <t>厅</t>
    </r>
    <r>
      <rPr>
        <sz val="9"/>
        <rFont val="宋体"/>
        <charset val="134"/>
      </rPr>
      <t>工</t>
    </r>
    <r>
      <rPr>
        <sz val="9"/>
        <rFont val="宋体"/>
        <charset val="134"/>
      </rPr>
      <t>程</t>
    </r>
    <r>
      <rPr>
        <sz val="9"/>
        <rFont val="宋体"/>
        <charset val="134"/>
      </rPr>
      <t>质</t>
    </r>
    <r>
      <rPr>
        <sz val="9"/>
        <rFont val="宋体"/>
        <charset val="134"/>
      </rPr>
      <t>量</t>
    </r>
    <r>
      <rPr>
        <sz val="9"/>
        <rFont val="宋体"/>
        <charset val="134"/>
      </rPr>
      <t>监</t>
    </r>
    <r>
      <rPr>
        <sz val="9"/>
        <rFont val="宋体"/>
        <charset val="134"/>
      </rPr>
      <t>督</t>
    </r>
    <r>
      <rPr>
        <sz val="9"/>
        <rFont val="宋体"/>
        <charset val="134"/>
      </rPr>
      <t>站</t>
    </r>
    <r>
      <rPr>
        <sz val="9"/>
        <rFont val="宋体"/>
        <charset val="134"/>
      </rPr>
      <t>监</t>
    </r>
    <r>
      <rPr>
        <sz val="9"/>
        <rFont val="宋体"/>
        <charset val="134"/>
      </rPr>
      <t>制</t>
    </r>
    <phoneticPr fontId="1" type="noConversion"/>
  </si>
  <si>
    <r>
      <t xml:space="preserve">                   </t>
    </r>
    <r>
      <rPr>
        <sz val="9"/>
        <rFont val="宋体"/>
        <charset val="134"/>
      </rPr>
      <t>土的不均匀系数</t>
    </r>
    <r>
      <rPr>
        <sz val="9"/>
        <rFont val="Times New Roman"/>
        <family val="1"/>
      </rPr>
      <t xml:space="preserve">  Cu=</t>
    </r>
    <phoneticPr fontId="1" type="noConversion"/>
  </si>
  <si>
    <t xml:space="preserve">          曲率系数 Cc=</t>
    <phoneticPr fontId="1" type="noConversion"/>
  </si>
  <si>
    <t>结论：经检验，该宕渣级配良好。</t>
    <phoneticPr fontId="1" type="noConversion"/>
  </si>
  <si>
    <t>自检评鉴：</t>
    <phoneticPr fontId="1" type="noConversion"/>
  </si>
  <si>
    <t>日期：</t>
    <phoneticPr fontId="1" type="noConversion"/>
  </si>
  <si>
    <t>监理评鉴：</t>
    <phoneticPr fontId="1" type="noConversion"/>
  </si>
  <si>
    <t>试验人：</t>
    <phoneticPr fontId="1" type="noConversion"/>
  </si>
  <si>
    <t>复核人：</t>
    <phoneticPr fontId="1" type="noConversion"/>
  </si>
  <si>
    <t>主管：</t>
    <phoneticPr fontId="1" type="noConversion"/>
  </si>
  <si>
    <r>
      <t>第</t>
    </r>
    <r>
      <rPr>
        <sz val="9"/>
        <rFont val="Times New Roman"/>
        <family val="1"/>
      </rPr>
      <t xml:space="preserve">  1    /    1  </t>
    </r>
    <r>
      <rPr>
        <sz val="9"/>
        <rFont val="宋体"/>
        <charset val="134"/>
      </rPr>
      <t>页</t>
    </r>
    <phoneticPr fontId="1" type="noConversion"/>
  </si>
  <si>
    <t>委托单位</t>
    <phoneticPr fontId="1" type="noConversion"/>
  </si>
  <si>
    <t>JTG E40-2007（T0115-1993）</t>
    <phoneticPr fontId="1" type="noConversion"/>
  </si>
  <si>
    <t>监理单位</t>
    <phoneticPr fontId="1" type="noConversion"/>
  </si>
  <si>
    <t>取样日期</t>
    <phoneticPr fontId="1" type="noConversion"/>
  </si>
  <si>
    <t>样品描述</t>
    <phoneticPr fontId="1" type="noConversion"/>
  </si>
  <si>
    <t>现场桩号</t>
    <phoneticPr fontId="1" type="noConversion"/>
  </si>
  <si>
    <t>温度 16 ℃ 湿度 76 %</t>
    <phoneticPr fontId="1" type="noConversion"/>
  </si>
  <si>
    <t>工程部位</t>
    <phoneticPr fontId="1" type="noConversion"/>
  </si>
  <si>
    <t>路基\路基土石方工程\石方路基</t>
    <phoneticPr fontId="1" type="noConversion"/>
  </si>
  <si>
    <t>标准筛、天平、台秤等</t>
    <phoneticPr fontId="1" type="noConversion"/>
  </si>
  <si>
    <t>试验单位</t>
    <phoneticPr fontId="1" type="noConversion"/>
  </si>
  <si>
    <t>（—）土的颗粒大小分析试验纪录（筛分法）</t>
    <phoneticPr fontId="1" type="noConversion"/>
  </si>
  <si>
    <r>
      <t xml:space="preserve">   &lt;2mm</t>
    </r>
    <r>
      <rPr>
        <sz val="9"/>
        <rFont val="宋体"/>
        <charset val="134"/>
      </rPr>
      <t>土质量：</t>
    </r>
    <r>
      <rPr>
        <sz val="9"/>
        <rFont val="Times New Roman"/>
        <family val="1"/>
      </rPr>
      <t xml:space="preserve">  </t>
    </r>
    <phoneticPr fontId="1" type="noConversion"/>
  </si>
  <si>
    <t>g</t>
    <phoneticPr fontId="1" type="noConversion"/>
  </si>
  <si>
    <t>%</t>
    <phoneticPr fontId="1" type="noConversion"/>
  </si>
  <si>
    <r>
      <t xml:space="preserve">  &lt;2mm</t>
    </r>
    <r>
      <rPr>
        <sz val="9"/>
        <rFont val="宋体"/>
        <charset val="134"/>
      </rPr>
      <t>取样质量：</t>
    </r>
    <phoneticPr fontId="1" type="noConversion"/>
  </si>
  <si>
    <t>粗筛分析</t>
    <phoneticPr fontId="1" type="noConversion"/>
  </si>
  <si>
    <t>细筛分析</t>
    <phoneticPr fontId="1" type="noConversion"/>
  </si>
  <si>
    <t>孔径</t>
    <phoneticPr fontId="1" type="noConversion"/>
  </si>
  <si>
    <t>分计筛余</t>
    <phoneticPr fontId="1" type="noConversion"/>
  </si>
  <si>
    <t>小于该孔径</t>
    <phoneticPr fontId="1" type="noConversion"/>
  </si>
  <si>
    <t>占总土质量</t>
    <phoneticPr fontId="1" type="noConversion"/>
  </si>
  <si>
    <t>小于该孔径的</t>
    <phoneticPr fontId="1" type="noConversion"/>
  </si>
  <si>
    <t>（㎜）</t>
    <phoneticPr fontId="1" type="noConversion"/>
  </si>
  <si>
    <t>土质量</t>
    <phoneticPr fontId="1" type="noConversion"/>
  </si>
  <si>
    <t>的土质量</t>
    <phoneticPr fontId="1" type="noConversion"/>
  </si>
  <si>
    <t>百分比</t>
    <phoneticPr fontId="1" type="noConversion"/>
  </si>
  <si>
    <t>土质量百分比</t>
    <phoneticPr fontId="1" type="noConversion"/>
  </si>
  <si>
    <r>
      <t>（</t>
    </r>
    <r>
      <rPr>
        <sz val="9"/>
        <rFont val="Times New Roman"/>
        <family val="1"/>
      </rPr>
      <t>g</t>
    </r>
    <r>
      <rPr>
        <sz val="9"/>
        <rFont val="宋体"/>
        <charset val="134"/>
      </rPr>
      <t>）</t>
    </r>
    <phoneticPr fontId="1" type="noConversion"/>
  </si>
  <si>
    <r>
      <t>（</t>
    </r>
    <r>
      <rPr>
        <sz val="9"/>
        <rFont val="Times New Roman"/>
        <family val="1"/>
      </rPr>
      <t>%</t>
    </r>
    <r>
      <rPr>
        <sz val="9"/>
        <rFont val="宋体"/>
        <charset val="134"/>
      </rPr>
      <t>）</t>
    </r>
    <phoneticPr fontId="1" type="noConversion"/>
  </si>
  <si>
    <t xml:space="preserve"> 筛前总土质量：</t>
    <phoneticPr fontId="1" type="noConversion"/>
  </si>
  <si>
    <r>
      <t xml:space="preserve">     &lt;2mm</t>
    </r>
    <r>
      <rPr>
        <sz val="9"/>
        <rFont val="宋体"/>
        <charset val="134"/>
      </rPr>
      <t>占土质量百分比：</t>
    </r>
    <r>
      <rPr>
        <sz val="9"/>
        <rFont val="Times New Roman"/>
        <family val="1"/>
      </rPr>
      <t xml:space="preserve">          </t>
    </r>
    <phoneticPr fontId="1" type="noConversion"/>
  </si>
  <si>
    <t xml:space="preserve">   试验编号:</t>
    <phoneticPr fontId="1" type="noConversion"/>
  </si>
  <si>
    <t>注：黄色部分为手动输入</t>
    <phoneticPr fontId="1" type="noConversion"/>
  </si>
  <si>
    <t xml:space="preserve">      合同号:  </t>
    <phoneticPr fontId="1" type="noConversion"/>
  </si>
  <si>
    <t xml:space="preserve">工程名称:                   </t>
    <phoneticPr fontId="1" type="noConversion"/>
  </si>
  <si>
    <t>凉棚岭石渣</t>
    <phoneticPr fontId="1" type="noConversion"/>
  </si>
  <si>
    <t>风干的石渣</t>
    <phoneticPr fontId="1" type="noConversion"/>
  </si>
</sst>
</file>

<file path=xl/styles.xml><?xml version="1.0" encoding="utf-8"?>
<styleSheet xmlns="http://schemas.openxmlformats.org/spreadsheetml/2006/main">
  <numFmts count="5">
    <numFmt numFmtId="176" formatCode="0.000"/>
    <numFmt numFmtId="177" formatCode="0.0;[Red]0.0"/>
    <numFmt numFmtId="178" formatCode="0_ "/>
    <numFmt numFmtId="179" formatCode="0;[Red]0"/>
    <numFmt numFmtId="180" formatCode="0_);[Red]\(0\)"/>
  </numFmts>
  <fonts count="11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sz val="10"/>
      <name val="Times New Roman"/>
      <family val="1"/>
    </font>
    <font>
      <sz val="9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sz val="9"/>
      <color rgb="FFFFFF00"/>
      <name val="宋体"/>
      <charset val="134"/>
    </font>
    <font>
      <sz val="9"/>
      <color rgb="FFFF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Border="1">
      <alignment vertical="center"/>
    </xf>
    <xf numFmtId="0" fontId="2" fillId="0" borderId="1" xfId="0" applyFont="1" applyBorder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9" fillId="2" borderId="0" xfId="0" applyFont="1" applyFill="1" applyAlignment="1">
      <alignment horizontal="center" vertical="center" wrapText="1"/>
    </xf>
    <xf numFmtId="177" fontId="9" fillId="2" borderId="0" xfId="0" applyNumberFormat="1" applyFont="1" applyFill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>
      <alignment vertical="center"/>
    </xf>
    <xf numFmtId="0" fontId="8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 vertical="center" textRotation="255"/>
    </xf>
    <xf numFmtId="17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8" fillId="0" borderId="2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Border="1" applyAlignment="1">
      <alignment horizontal="left" vertical="top" textRotation="255"/>
    </xf>
    <xf numFmtId="0" fontId="2" fillId="0" borderId="14" xfId="0" applyFont="1" applyBorder="1" applyAlignment="1">
      <alignment horizontal="left" vertical="top" textRotation="255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8" fillId="0" borderId="11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177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6" fontId="8" fillId="0" borderId="18" xfId="0" applyNumberFormat="1" applyFont="1" applyBorder="1" applyAlignment="1">
      <alignment horizontal="center" vertical="center"/>
    </xf>
    <xf numFmtId="179" fontId="8" fillId="3" borderId="18" xfId="0" applyNumberFormat="1" applyFont="1" applyFill="1" applyBorder="1" applyAlignment="1">
      <alignment horizontal="center" vertical="center"/>
    </xf>
    <xf numFmtId="180" fontId="8" fillId="0" borderId="18" xfId="0" applyNumberFormat="1" applyFont="1" applyBorder="1" applyAlignment="1">
      <alignment horizontal="center" vertical="center" wrapText="1"/>
    </xf>
    <xf numFmtId="177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80" fontId="8" fillId="0" borderId="25" xfId="0" applyNumberFormat="1" applyFont="1" applyBorder="1" applyAlignment="1">
      <alignment horizontal="center" vertical="center" wrapText="1"/>
    </xf>
    <xf numFmtId="180" fontId="8" fillId="0" borderId="2" xfId="0" applyNumberFormat="1" applyFont="1" applyBorder="1" applyAlignment="1">
      <alignment horizontal="center" vertical="center" wrapText="1"/>
    </xf>
    <xf numFmtId="180" fontId="8" fillId="0" borderId="4" xfId="0" applyNumberFormat="1" applyFont="1" applyBorder="1" applyAlignment="1">
      <alignment horizontal="center" vertical="center" wrapText="1"/>
    </xf>
    <xf numFmtId="177" fontId="8" fillId="0" borderId="26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2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14" fontId="8" fillId="0" borderId="39" xfId="0" applyNumberFormat="1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14" fontId="8" fillId="0" borderId="25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7" fillId="0" borderId="36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163290500739525"/>
          <c:y val="3.2863786122057662E-2"/>
          <c:w val="0.81916537867078854"/>
          <c:h val="0.83803009011445984"/>
        </c:manualLayout>
      </c:layout>
      <c:scatterChart>
        <c:scatterStyle val="smoothMarker"/>
        <c:ser>
          <c:idx val="1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'11-001'!$AI$1:$AS$1</c:f>
              <c:numCache>
                <c:formatCode>General</c:formatCode>
                <c:ptCount val="11"/>
                <c:pt idx="0">
                  <c:v>80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10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0.5</c:v>
                </c:pt>
                <c:pt idx="9">
                  <c:v>0.25</c:v>
                </c:pt>
                <c:pt idx="10">
                  <c:v>7.3999999999999996E-2</c:v>
                </c:pt>
              </c:numCache>
            </c:numRef>
          </c:xVal>
          <c:yVal>
            <c:numRef>
              <c:f>'11-001'!$AI$2:$AS$2</c:f>
              <c:numCache>
                <c:formatCode>0.0;[Red]0.0</c:formatCode>
                <c:ptCount val="11"/>
                <c:pt idx="0">
                  <c:v>76.099999999999994</c:v>
                </c:pt>
                <c:pt idx="1">
                  <c:v>38.6</c:v>
                </c:pt>
                <c:pt idx="2">
                  <c:v>30.7</c:v>
                </c:pt>
                <c:pt idx="3">
                  <c:v>14.8</c:v>
                </c:pt>
                <c:pt idx="4">
                  <c:v>8.6999999999999993</c:v>
                </c:pt>
                <c:pt idx="5">
                  <c:v>5.9</c:v>
                </c:pt>
                <c:pt idx="6">
                  <c:v>3.7</c:v>
                </c:pt>
                <c:pt idx="7">
                  <c:v>3.2</c:v>
                </c:pt>
                <c:pt idx="8" formatCode="General">
                  <c:v>2</c:v>
                </c:pt>
                <c:pt idx="9">
                  <c:v>1.4</c:v>
                </c:pt>
                <c:pt idx="10">
                  <c:v>0.4</c:v>
                </c:pt>
              </c:numCache>
            </c:numRef>
          </c:yVal>
          <c:smooth val="1"/>
        </c:ser>
        <c:dLbls/>
        <c:axId val="65177088"/>
        <c:axId val="65179008"/>
      </c:scatterChart>
      <c:valAx>
        <c:axId val="65177088"/>
        <c:scaling>
          <c:logBase val="10"/>
          <c:orientation val="maxMin"/>
          <c:max val="1000"/>
        </c:scaling>
        <c:delete val="1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800" baseline="0"/>
                  <a:t>土粒直径</a:t>
                </a:r>
                <a:r>
                  <a:rPr lang="en-US" altLang="zh-CN" sz="800" baseline="0"/>
                  <a:t>(</a:t>
                </a:r>
                <a:r>
                  <a:rPr lang="en-US" altLang="en-US" sz="800" baseline="0"/>
                  <a:t>mm)</a:t>
                </a:r>
              </a:p>
            </c:rich>
          </c:tx>
          <c:layout>
            <c:manualLayout>
              <c:xMode val="edge"/>
              <c:yMode val="edge"/>
              <c:x val="0.85492985200954152"/>
              <c:y val="0.90315047157566841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crossAx val="65179008"/>
        <c:crosses val="autoZero"/>
        <c:crossBetween val="midCat"/>
        <c:majorUnit val="10"/>
      </c:valAx>
      <c:valAx>
        <c:axId val="65179008"/>
        <c:scaling>
          <c:orientation val="minMax"/>
          <c:max val="10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800" baseline="0"/>
                  <a:t>小于某粒径的土质量百分数</a:t>
                </a:r>
                <a:r>
                  <a:rPr lang="en-US" altLang="zh-CN"/>
                  <a:t>%</a:t>
                </a:r>
              </a:p>
            </c:rich>
          </c:tx>
          <c:layout>
            <c:manualLayout>
              <c:xMode val="edge"/>
              <c:yMode val="edge"/>
              <c:x val="1.5264134328485817E-3"/>
              <c:y val="0.1056343918548643"/>
            </c:manualLayout>
          </c:layout>
          <c:spPr>
            <a:noFill/>
            <a:ln w="25400">
              <a:noFill/>
            </a:ln>
          </c:spPr>
        </c:title>
        <c:numFmt formatCode="0.0;[Red]0.0" sourceLinked="1"/>
        <c:majorTickMark val="in"/>
        <c:minorTickMark val="in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65177088"/>
        <c:crosses val="max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000000000000033" r="0.7500000000000003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24</xdr:row>
      <xdr:rowOff>57150</xdr:rowOff>
    </xdr:from>
    <xdr:to>
      <xdr:col>31</xdr:col>
      <xdr:colOff>66675</xdr:colOff>
      <xdr:row>37</xdr:row>
      <xdr:rowOff>1228725</xdr:rowOff>
    </xdr:to>
    <xdr:graphicFrame macro="">
      <xdr:nvGraphicFramePr>
        <xdr:cNvPr id="7955" name="Chart 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10584</xdr:colOff>
      <xdr:row>31</xdr:row>
      <xdr:rowOff>63500</xdr:rowOff>
    </xdr:from>
    <xdr:to>
      <xdr:col>10</xdr:col>
      <xdr:colOff>105833</xdr:colOff>
      <xdr:row>31</xdr:row>
      <xdr:rowOff>65088</xdr:rowOff>
    </xdr:to>
    <xdr:cxnSp macro="">
      <xdr:nvCxnSpPr>
        <xdr:cNvPr id="9" name="直接连接符 8"/>
        <xdr:cNvCxnSpPr/>
      </xdr:nvCxnSpPr>
      <xdr:spPr>
        <a:xfrm>
          <a:off x="973667" y="5492750"/>
          <a:ext cx="1090083" cy="1588"/>
        </a:xfrm>
        <a:prstGeom prst="line">
          <a:avLst/>
        </a:prstGeom>
        <a:ln w="12700">
          <a:solidFill>
            <a:srgbClr val="FFFF00"/>
          </a:solidFill>
          <a:prstDash val="sysDash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105040</xdr:colOff>
      <xdr:row>31</xdr:row>
      <xdr:rowOff>74876</xdr:rowOff>
    </xdr:from>
    <xdr:to>
      <xdr:col>10</xdr:col>
      <xdr:colOff>106628</xdr:colOff>
      <xdr:row>37</xdr:row>
      <xdr:rowOff>773376</xdr:rowOff>
    </xdr:to>
    <xdr:cxnSp macro="">
      <xdr:nvCxnSpPr>
        <xdr:cNvPr id="14" name="直接连接符 13"/>
        <xdr:cNvCxnSpPr/>
      </xdr:nvCxnSpPr>
      <xdr:spPr>
        <a:xfrm rot="5400000">
          <a:off x="1211792" y="6323541"/>
          <a:ext cx="1725083" cy="1588"/>
        </a:xfrm>
        <a:prstGeom prst="line">
          <a:avLst/>
        </a:prstGeom>
        <a:ln w="12700">
          <a:solidFill>
            <a:srgbClr val="FFFF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10584</xdr:colOff>
      <xdr:row>36</xdr:row>
      <xdr:rowOff>95250</xdr:rowOff>
    </xdr:from>
    <xdr:to>
      <xdr:col>11</xdr:col>
      <xdr:colOff>174625</xdr:colOff>
      <xdr:row>36</xdr:row>
      <xdr:rowOff>95251</xdr:rowOff>
    </xdr:to>
    <xdr:cxnSp macro="">
      <xdr:nvCxnSpPr>
        <xdr:cNvPr id="17" name="直接连接符 16"/>
        <xdr:cNvCxnSpPr/>
      </xdr:nvCxnSpPr>
      <xdr:spPr>
        <a:xfrm flipV="1">
          <a:off x="973667" y="6365875"/>
          <a:ext cx="1338791" cy="1"/>
        </a:xfrm>
        <a:prstGeom prst="line">
          <a:avLst/>
        </a:prstGeom>
        <a:ln w="12700">
          <a:solidFill>
            <a:srgbClr val="0070C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168540</xdr:colOff>
      <xdr:row>36</xdr:row>
      <xdr:rowOff>85460</xdr:rowOff>
    </xdr:from>
    <xdr:to>
      <xdr:col>11</xdr:col>
      <xdr:colOff>170128</xdr:colOff>
      <xdr:row>37</xdr:row>
      <xdr:rowOff>773376</xdr:rowOff>
    </xdr:to>
    <xdr:cxnSp macro="">
      <xdr:nvCxnSpPr>
        <xdr:cNvPr id="20" name="直接连接符 19"/>
        <xdr:cNvCxnSpPr/>
      </xdr:nvCxnSpPr>
      <xdr:spPr>
        <a:xfrm rot="5400000">
          <a:off x="1883834" y="6752166"/>
          <a:ext cx="867833" cy="1588"/>
        </a:xfrm>
        <a:prstGeom prst="line">
          <a:avLst/>
        </a:prstGeom>
        <a:ln w="12700">
          <a:solidFill>
            <a:srgbClr val="0070C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5013</xdr:colOff>
      <xdr:row>37</xdr:row>
      <xdr:rowOff>486276</xdr:rowOff>
    </xdr:from>
    <xdr:to>
      <xdr:col>14</xdr:col>
      <xdr:colOff>84666</xdr:colOff>
      <xdr:row>37</xdr:row>
      <xdr:rowOff>486833</xdr:rowOff>
    </xdr:to>
    <xdr:cxnSp macro="">
      <xdr:nvCxnSpPr>
        <xdr:cNvPr id="22" name="直接连接符 21"/>
        <xdr:cNvCxnSpPr/>
      </xdr:nvCxnSpPr>
      <xdr:spPr>
        <a:xfrm>
          <a:off x="967539" y="6928184"/>
          <a:ext cx="1804180" cy="557"/>
        </a:xfrm>
        <a:prstGeom prst="line">
          <a:avLst/>
        </a:prstGeom>
        <a:ln w="127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74087</xdr:colOff>
      <xdr:row>37</xdr:row>
      <xdr:rowOff>492127</xdr:rowOff>
    </xdr:from>
    <xdr:to>
      <xdr:col>14</xdr:col>
      <xdr:colOff>74088</xdr:colOff>
      <xdr:row>37</xdr:row>
      <xdr:rowOff>777876</xdr:rowOff>
    </xdr:to>
    <xdr:cxnSp macro="">
      <xdr:nvCxnSpPr>
        <xdr:cNvPr id="24" name="直接连接符 23"/>
        <xdr:cNvCxnSpPr/>
      </xdr:nvCxnSpPr>
      <xdr:spPr>
        <a:xfrm rot="5400000" flipH="1" flipV="1">
          <a:off x="2608796" y="7085543"/>
          <a:ext cx="285749" cy="1"/>
        </a:xfrm>
        <a:prstGeom prst="line">
          <a:avLst/>
        </a:prstGeom>
        <a:ln w="127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0.27534</cdr:x>
      <cdr:y>0.88032</cdr:y>
    </cdr:from>
    <cdr:to>
      <cdr:x>0.85968</cdr:x>
      <cdr:y>0.98901</cdr:y>
    </cdr:to>
    <cdr:sp macro="" textlink="">
      <cdr:nvSpPr>
        <cdr:cNvPr id="567328" name="Rectangle 3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11264" y="3059018"/>
          <a:ext cx="3419398" cy="37768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FFFFFF"/>
          </a:solidFill>
          <a:miter lim="800000"/>
          <a:headEnd/>
          <a:tailEnd/>
        </a:ln>
      </cdr:spPr>
      <cdr:txBody>
        <a:bodyPr xmlns:a="http://schemas.openxmlformats.org/drawingml/2006/main" vert="vert270" wrap="square" lIns="18288" tIns="3600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zh-CN" sz="900" b="0" i="0" strike="noStrike">
              <a:solidFill>
                <a:srgbClr val="000000"/>
              </a:solidFill>
              <a:latin typeface="宋体"/>
              <a:ea typeface="宋体"/>
            </a:rPr>
            <a:t>80 </a:t>
          </a:r>
        </a:p>
        <a:p xmlns:a="http://schemas.openxmlformats.org/drawingml/2006/main">
          <a:pPr algn="ctr" rtl="0">
            <a:defRPr sz="1000"/>
          </a:pPr>
          <a:r>
            <a:rPr lang="en-US" altLang="zh-CN" sz="900" b="0" i="0" strike="noStrike">
              <a:solidFill>
                <a:srgbClr val="000000"/>
              </a:solidFill>
              <a:latin typeface="宋体"/>
              <a:ea typeface="宋体"/>
            </a:rPr>
            <a:t>60</a:t>
          </a:r>
        </a:p>
        <a:p xmlns:a="http://schemas.openxmlformats.org/drawingml/2006/main">
          <a:pPr algn="ctr" rtl="0">
            <a:defRPr sz="1000"/>
          </a:pPr>
          <a:r>
            <a:rPr lang="en-US" altLang="zh-CN" sz="900" b="0" i="0" strike="noStrike" baseline="0">
              <a:solidFill>
                <a:srgbClr val="000000"/>
              </a:solidFill>
              <a:latin typeface="宋体"/>
              <a:ea typeface="宋体"/>
            </a:rPr>
            <a:t>40   </a:t>
          </a:r>
        </a:p>
        <a:p xmlns:a="http://schemas.openxmlformats.org/drawingml/2006/main">
          <a:pPr algn="ctr" rtl="0">
            <a:lnSpc>
              <a:spcPts val="1100"/>
            </a:lnSpc>
            <a:defRPr sz="1000"/>
          </a:pPr>
          <a:endParaRPr lang="en-US" altLang="zh-CN" sz="9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defRPr sz="1000"/>
          </a:pPr>
          <a:r>
            <a:rPr lang="en-US" altLang="zh-CN" sz="900" b="0" i="0" strike="noStrike" baseline="0">
              <a:solidFill>
                <a:srgbClr val="000000"/>
              </a:solidFill>
              <a:latin typeface="宋体"/>
              <a:ea typeface="宋体"/>
            </a:rPr>
            <a:t>20   </a:t>
          </a:r>
        </a:p>
        <a:p xmlns:a="http://schemas.openxmlformats.org/drawingml/2006/main">
          <a:pPr algn="ctr" rtl="0">
            <a:defRPr sz="1000"/>
          </a:pPr>
          <a:endParaRPr lang="en-US" altLang="zh-CN" sz="9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en-US" altLang="zh-CN" sz="900" b="0" i="0" strike="noStrike" baseline="0">
              <a:solidFill>
                <a:srgbClr val="000000"/>
              </a:solidFill>
              <a:latin typeface="宋体"/>
              <a:ea typeface="宋体"/>
            </a:rPr>
            <a:t>10    </a:t>
          </a:r>
        </a:p>
        <a:p xmlns:a="http://schemas.openxmlformats.org/drawingml/2006/main">
          <a:pPr algn="ctr" rtl="0">
            <a:defRPr sz="1000"/>
          </a:pPr>
          <a:endParaRPr lang="en-US" altLang="zh-CN" sz="9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defRPr sz="1000"/>
          </a:pPr>
          <a:r>
            <a:rPr lang="en-US" altLang="zh-CN" sz="900" b="0" i="0" strike="noStrike" baseline="0">
              <a:solidFill>
                <a:srgbClr val="000000"/>
              </a:solidFill>
              <a:latin typeface="宋体"/>
              <a:ea typeface="宋体"/>
            </a:rPr>
            <a:t>5     </a:t>
          </a:r>
        </a:p>
        <a:p xmlns:a="http://schemas.openxmlformats.org/drawingml/2006/main">
          <a:pPr algn="ctr" rtl="0">
            <a:defRPr sz="1000"/>
          </a:pPr>
          <a:endParaRPr lang="en-US" altLang="zh-CN" sz="6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defRPr sz="1000"/>
          </a:pPr>
          <a:endParaRPr lang="en-US" altLang="zh-CN" sz="8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en-US" altLang="zh-CN" sz="900" b="0" i="0" strike="noStrike" baseline="0">
              <a:solidFill>
                <a:srgbClr val="000000"/>
              </a:solidFill>
              <a:latin typeface="宋体"/>
              <a:ea typeface="宋体"/>
            </a:rPr>
            <a:t>2    </a:t>
          </a:r>
        </a:p>
        <a:p xmlns:a="http://schemas.openxmlformats.org/drawingml/2006/main">
          <a:pPr algn="ctr" rtl="0">
            <a:defRPr sz="1000"/>
          </a:pPr>
          <a:endParaRPr lang="en-US" altLang="zh-CN" sz="9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defRPr sz="1000"/>
          </a:pPr>
          <a:r>
            <a:rPr lang="en-US" altLang="zh-CN" sz="900" b="0" i="0" strike="noStrike" baseline="0">
              <a:solidFill>
                <a:srgbClr val="000000"/>
              </a:solidFill>
              <a:latin typeface="宋体"/>
              <a:ea typeface="宋体"/>
            </a:rPr>
            <a:t>1   </a:t>
          </a:r>
        </a:p>
        <a:p xmlns:a="http://schemas.openxmlformats.org/drawingml/2006/main">
          <a:pPr algn="ctr" rtl="0">
            <a:defRPr sz="1000"/>
          </a:pPr>
          <a:endParaRPr lang="en-US" altLang="zh-CN" sz="8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en-US" altLang="zh-CN" sz="900" b="0" i="0" strike="noStrike" baseline="0">
              <a:solidFill>
                <a:srgbClr val="000000"/>
              </a:solidFill>
              <a:latin typeface="宋体"/>
              <a:ea typeface="宋体"/>
            </a:rPr>
            <a:t>0.5   </a:t>
          </a:r>
        </a:p>
        <a:p xmlns:a="http://schemas.openxmlformats.org/drawingml/2006/main">
          <a:pPr algn="ctr" rtl="0">
            <a:defRPr sz="1000"/>
          </a:pPr>
          <a:endParaRPr lang="en-US" altLang="zh-CN" sz="8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en-US" altLang="zh-CN" sz="900" b="0" i="0" strike="noStrike" baseline="0">
              <a:solidFill>
                <a:srgbClr val="000000"/>
              </a:solidFill>
              <a:latin typeface="宋体"/>
              <a:ea typeface="宋体"/>
            </a:rPr>
            <a:t>0.25    </a:t>
          </a:r>
        </a:p>
        <a:p xmlns:a="http://schemas.openxmlformats.org/drawingml/2006/main">
          <a:pPr algn="ctr" rtl="0">
            <a:defRPr sz="1000"/>
          </a:pPr>
          <a:endParaRPr lang="en-US" altLang="zh-CN" sz="7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defRPr sz="1000"/>
          </a:pPr>
          <a:endParaRPr lang="en-US" altLang="zh-CN" sz="6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defRPr sz="1000"/>
          </a:pPr>
          <a:endParaRPr lang="en-US" altLang="zh-CN" sz="8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en-US" altLang="zh-CN" sz="900" b="0" i="0" strike="noStrike" baseline="0">
              <a:solidFill>
                <a:srgbClr val="000000"/>
              </a:solidFill>
              <a:latin typeface="宋体"/>
              <a:ea typeface="宋体"/>
            </a:rPr>
            <a:t>0.074  </a:t>
          </a:r>
        </a:p>
        <a:p xmlns:a="http://schemas.openxmlformats.org/drawingml/2006/main">
          <a:pPr algn="ctr" rtl="0">
            <a:defRPr sz="1000"/>
          </a:pPr>
          <a:endParaRPr lang="en-US" altLang="zh-CN" sz="900" b="0" i="0" strike="noStrike" baseline="0">
            <a:solidFill>
              <a:srgbClr val="000000"/>
            </a:solidFill>
            <a:latin typeface="宋体"/>
            <a:ea typeface="宋体"/>
          </a:endParaRPr>
        </a:p>
        <a:p xmlns:a="http://schemas.openxmlformats.org/drawingml/2006/main">
          <a:pPr algn="ctr" rtl="0">
            <a:defRPr sz="1000"/>
          </a:pPr>
          <a:r>
            <a:rPr lang="en-US" altLang="zh-CN" sz="900" b="0" i="0" strike="noStrike" baseline="0">
              <a:solidFill>
                <a:srgbClr val="000000"/>
              </a:solidFill>
              <a:latin typeface="宋体"/>
              <a:ea typeface="宋体"/>
            </a:rPr>
            <a:t>0.05</a:t>
          </a:r>
          <a:endParaRPr lang="en-US" altLang="zh-CN" sz="900" b="0" i="0" strike="noStrike">
            <a:solidFill>
              <a:srgbClr val="000000"/>
            </a:solidFill>
            <a:latin typeface="宋体"/>
            <a:ea typeface="宋体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7"/>
  <sheetViews>
    <sheetView tabSelected="1" zoomScale="110" zoomScaleNormal="110" workbookViewId="0">
      <selection activeCell="AK3" sqref="AK3"/>
    </sheetView>
  </sheetViews>
  <sheetFormatPr defaultRowHeight="14.25"/>
  <cols>
    <col min="1" max="1" width="2.75" customWidth="1"/>
    <col min="2" max="4" width="2.5" customWidth="1"/>
    <col min="5" max="5" width="2.375" customWidth="1"/>
    <col min="6" max="6" width="4.125" customWidth="1"/>
    <col min="7" max="7" width="2.375" customWidth="1"/>
    <col min="8" max="8" width="1.875" customWidth="1"/>
    <col min="9" max="14" width="2.375" customWidth="1"/>
    <col min="15" max="15" width="1.625" customWidth="1"/>
    <col min="16" max="16" width="6.75" customWidth="1"/>
    <col min="17" max="19" width="2.625" customWidth="1"/>
    <col min="20" max="23" width="2.5" customWidth="1"/>
    <col min="24" max="24" width="1.25" customWidth="1"/>
    <col min="25" max="25" width="2.625" customWidth="1"/>
    <col min="26" max="26" width="2.375" customWidth="1"/>
    <col min="27" max="28" width="2.625" customWidth="1"/>
    <col min="29" max="32" width="2.25" customWidth="1"/>
    <col min="33" max="33" width="6.5" customWidth="1"/>
    <col min="34" max="34" width="6.375" customWidth="1"/>
    <col min="35" max="37" width="4.125" customWidth="1"/>
    <col min="38" max="38" width="4.875" customWidth="1"/>
    <col min="39" max="45" width="4.125" customWidth="1"/>
  </cols>
  <sheetData>
    <row r="1" spans="1:45" ht="13.5" customHeight="1">
      <c r="A1" s="136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3" t="s">
        <v>7</v>
      </c>
      <c r="AH1" s="9" t="s">
        <v>8</v>
      </c>
      <c r="AI1" s="9">
        <f>B18</f>
        <v>80</v>
      </c>
      <c r="AJ1" s="9">
        <f>B19</f>
        <v>60</v>
      </c>
      <c r="AK1" s="9">
        <f>B20</f>
        <v>40</v>
      </c>
      <c r="AL1" s="9">
        <f>B21</f>
        <v>20</v>
      </c>
      <c r="AM1" s="9">
        <f>B22</f>
        <v>10</v>
      </c>
      <c r="AN1" s="9">
        <f>B23</f>
        <v>5</v>
      </c>
      <c r="AO1" s="9">
        <f>B24</f>
        <v>2</v>
      </c>
      <c r="AP1" s="9">
        <f>O19</f>
        <v>1</v>
      </c>
      <c r="AQ1" s="9">
        <f>O20</f>
        <v>0.5</v>
      </c>
      <c r="AR1" s="9">
        <f>O21</f>
        <v>0.25</v>
      </c>
      <c r="AS1" s="9">
        <f>O22</f>
        <v>7.3999999999999996E-2</v>
      </c>
    </row>
    <row r="2" spans="1:45" ht="13.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3"/>
      <c r="AH2" s="9" t="s">
        <v>9</v>
      </c>
      <c r="AI2" s="10">
        <f>K18</f>
        <v>76.099999999999994</v>
      </c>
      <c r="AJ2" s="10">
        <f>K19</f>
        <v>38.6</v>
      </c>
      <c r="AK2" s="10">
        <f>K20</f>
        <v>30.7</v>
      </c>
      <c r="AL2" s="10">
        <f>K21</f>
        <v>14.8</v>
      </c>
      <c r="AM2" s="10">
        <f>K22</f>
        <v>8.6999999999999993</v>
      </c>
      <c r="AN2" s="10">
        <f>K23</f>
        <v>5.9</v>
      </c>
      <c r="AO2" s="10">
        <f>K24</f>
        <v>3.7</v>
      </c>
      <c r="AP2" s="10">
        <f>AC19</f>
        <v>3.2</v>
      </c>
      <c r="AQ2" s="9">
        <f>AC20</f>
        <v>2</v>
      </c>
      <c r="AR2" s="10">
        <f>AC21</f>
        <v>1.4</v>
      </c>
      <c r="AS2" s="10">
        <f>AC22</f>
        <v>0.4</v>
      </c>
    </row>
    <row r="3" spans="1:45" ht="13.5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H3" s="6"/>
      <c r="AI3" s="7">
        <f>K18</f>
        <v>76.099999999999994</v>
      </c>
      <c r="AJ3" s="7">
        <f>K19</f>
        <v>38.6</v>
      </c>
      <c r="AK3" s="7">
        <f>K20</f>
        <v>30.7</v>
      </c>
      <c r="AL3" s="7">
        <f>K21</f>
        <v>14.8</v>
      </c>
      <c r="AM3" s="7">
        <f>K22</f>
        <v>8.6999999999999993</v>
      </c>
      <c r="AN3" s="7">
        <f>K23</f>
        <v>5.9</v>
      </c>
      <c r="AO3" s="7">
        <f>K24</f>
        <v>3.7</v>
      </c>
      <c r="AP3" s="7">
        <f>X19</f>
        <v>85.2</v>
      </c>
      <c r="AQ3" s="7">
        <f>X20</f>
        <v>55.3</v>
      </c>
      <c r="AR3" s="7">
        <f>X21</f>
        <v>38.299999999999997</v>
      </c>
      <c r="AS3" s="7">
        <f>X22</f>
        <v>10.9</v>
      </c>
    </row>
    <row r="4" spans="1:45" ht="15" thickBot="1">
      <c r="B4" s="140" t="s">
        <v>69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0" t="s">
        <v>68</v>
      </c>
      <c r="R4" s="141"/>
      <c r="S4" s="141"/>
      <c r="T4" s="141"/>
      <c r="U4" s="141"/>
      <c r="V4" s="141"/>
      <c r="W4" s="141"/>
      <c r="X4" s="140" t="s">
        <v>66</v>
      </c>
      <c r="Y4" s="141"/>
      <c r="Z4" s="141"/>
      <c r="AA4" s="141"/>
      <c r="AB4" s="141"/>
      <c r="AC4" s="141"/>
      <c r="AD4" s="141"/>
      <c r="AE4" s="141"/>
      <c r="AF4" s="141"/>
      <c r="AG4" s="1"/>
      <c r="AH4" s="37" t="s">
        <v>10</v>
      </c>
      <c r="AI4" s="37"/>
      <c r="AJ4" s="33" t="s">
        <v>14</v>
      </c>
      <c r="AK4" s="33" t="s">
        <v>11</v>
      </c>
      <c r="AL4" s="34"/>
      <c r="AM4" s="33" t="s">
        <v>14</v>
      </c>
      <c r="AN4" s="34">
        <f>AR4/AR6</f>
        <v>5.0714285714285712</v>
      </c>
      <c r="AO4" s="6"/>
      <c r="AP4" s="11" t="s">
        <v>11</v>
      </c>
      <c r="AQ4" s="12" t="s">
        <v>14</v>
      </c>
      <c r="AR4" s="35">
        <v>71</v>
      </c>
      <c r="AS4" s="35"/>
    </row>
    <row r="5" spans="1:45" ht="15" customHeight="1">
      <c r="B5" s="137" t="s">
        <v>34</v>
      </c>
      <c r="C5" s="138"/>
      <c r="D5" s="138"/>
      <c r="E5" s="138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8" t="s">
        <v>1</v>
      </c>
      <c r="U5" s="138"/>
      <c r="V5" s="138"/>
      <c r="W5" s="138"/>
      <c r="X5" s="130" t="s">
        <v>35</v>
      </c>
      <c r="Y5" s="130"/>
      <c r="Z5" s="130"/>
      <c r="AA5" s="130"/>
      <c r="AB5" s="130"/>
      <c r="AC5" s="130"/>
      <c r="AD5" s="130"/>
      <c r="AE5" s="130"/>
      <c r="AF5" s="131"/>
      <c r="AH5" s="37"/>
      <c r="AI5" s="37"/>
      <c r="AJ5" s="34"/>
      <c r="AK5" s="36" t="s">
        <v>13</v>
      </c>
      <c r="AL5" s="36"/>
      <c r="AM5" s="34"/>
      <c r="AN5" s="34"/>
      <c r="AP5" s="11" t="s">
        <v>22</v>
      </c>
      <c r="AQ5" s="12" t="s">
        <v>14</v>
      </c>
      <c r="AR5" s="35">
        <v>39</v>
      </c>
      <c r="AS5" s="35"/>
    </row>
    <row r="6" spans="1:45" ht="15" customHeight="1">
      <c r="B6" s="74" t="s">
        <v>36</v>
      </c>
      <c r="C6" s="72"/>
      <c r="D6" s="72"/>
      <c r="E6" s="72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72" t="s">
        <v>37</v>
      </c>
      <c r="U6" s="72"/>
      <c r="V6" s="72"/>
      <c r="W6" s="72"/>
      <c r="X6" s="134">
        <v>40640</v>
      </c>
      <c r="Y6" s="39"/>
      <c r="Z6" s="39"/>
      <c r="AA6" s="39"/>
      <c r="AB6" s="39"/>
      <c r="AC6" s="39"/>
      <c r="AD6" s="39"/>
      <c r="AE6" s="39"/>
      <c r="AF6" s="135"/>
      <c r="AH6" s="37" t="s">
        <v>15</v>
      </c>
      <c r="AI6" s="37"/>
      <c r="AJ6" s="33" t="s">
        <v>14</v>
      </c>
      <c r="AK6" s="33" t="s">
        <v>20</v>
      </c>
      <c r="AL6" s="34"/>
      <c r="AM6" s="33" t="s">
        <v>14</v>
      </c>
      <c r="AN6" s="34">
        <f>(AR5*AR5)/(AR6*AR4)</f>
        <v>1.5301810865191148</v>
      </c>
      <c r="AP6" s="11" t="s">
        <v>12</v>
      </c>
      <c r="AQ6" s="12" t="s">
        <v>14</v>
      </c>
      <c r="AR6" s="35">
        <v>14</v>
      </c>
      <c r="AS6" s="35"/>
    </row>
    <row r="7" spans="1:45" ht="15" customHeight="1">
      <c r="A7" s="27" t="s">
        <v>23</v>
      </c>
      <c r="B7" s="74" t="s">
        <v>38</v>
      </c>
      <c r="C7" s="72"/>
      <c r="D7" s="72"/>
      <c r="E7" s="72"/>
      <c r="F7" s="144" t="s">
        <v>71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72" t="s">
        <v>2</v>
      </c>
      <c r="U7" s="72"/>
      <c r="V7" s="72"/>
      <c r="W7" s="72"/>
      <c r="X7" s="132" t="s">
        <v>70</v>
      </c>
      <c r="Y7" s="128"/>
      <c r="Z7" s="128"/>
      <c r="AA7" s="128"/>
      <c r="AB7" s="128"/>
      <c r="AC7" s="128"/>
      <c r="AD7" s="128"/>
      <c r="AE7" s="128"/>
      <c r="AF7" s="129"/>
      <c r="AH7" s="37"/>
      <c r="AI7" s="37"/>
      <c r="AJ7" s="34"/>
      <c r="AK7" s="36" t="s">
        <v>21</v>
      </c>
      <c r="AL7" s="36"/>
      <c r="AM7" s="34"/>
      <c r="AN7" s="34"/>
    </row>
    <row r="8" spans="1:45" ht="15" customHeight="1">
      <c r="A8" s="27"/>
      <c r="B8" s="74" t="s">
        <v>39</v>
      </c>
      <c r="C8" s="72"/>
      <c r="D8" s="72"/>
      <c r="E8" s="72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72" t="s">
        <v>3</v>
      </c>
      <c r="U8" s="72"/>
      <c r="V8" s="72"/>
      <c r="W8" s="72"/>
      <c r="X8" s="128" t="s">
        <v>40</v>
      </c>
      <c r="Y8" s="128"/>
      <c r="Z8" s="128"/>
      <c r="AA8" s="128"/>
      <c r="AB8" s="128"/>
      <c r="AC8" s="128"/>
      <c r="AD8" s="128"/>
      <c r="AE8" s="128"/>
      <c r="AF8" s="129"/>
      <c r="AH8" s="32" t="s">
        <v>16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</row>
    <row r="9" spans="1:45" ht="15" customHeight="1">
      <c r="A9" s="27"/>
      <c r="B9" s="74" t="s">
        <v>41</v>
      </c>
      <c r="C9" s="72"/>
      <c r="D9" s="72"/>
      <c r="E9" s="72"/>
      <c r="F9" s="127" t="s">
        <v>42</v>
      </c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72" t="s">
        <v>4</v>
      </c>
      <c r="U9" s="72"/>
      <c r="V9" s="72"/>
      <c r="W9" s="72"/>
      <c r="X9" s="128" t="s">
        <v>43</v>
      </c>
      <c r="Y9" s="128"/>
      <c r="Z9" s="128"/>
      <c r="AA9" s="128"/>
      <c r="AB9" s="128"/>
      <c r="AC9" s="128"/>
      <c r="AD9" s="128"/>
      <c r="AE9" s="128"/>
      <c r="AF9" s="129"/>
      <c r="AH9" s="32" t="s">
        <v>17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</row>
    <row r="10" spans="1:45" ht="25.5" customHeight="1" thickBot="1">
      <c r="A10" s="27"/>
      <c r="B10" s="119" t="s">
        <v>44</v>
      </c>
      <c r="C10" s="120"/>
      <c r="D10" s="120"/>
      <c r="E10" s="120"/>
      <c r="F10" s="121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0" t="s">
        <v>5</v>
      </c>
      <c r="U10" s="120"/>
      <c r="V10" s="120"/>
      <c r="W10" s="120"/>
      <c r="X10" s="124">
        <f>X6+1</f>
        <v>40641</v>
      </c>
      <c r="Y10" s="125"/>
      <c r="Z10" s="125"/>
      <c r="AA10" s="125"/>
      <c r="AB10" s="125"/>
      <c r="AC10" s="125"/>
      <c r="AD10" s="125"/>
      <c r="AE10" s="125"/>
      <c r="AF10" s="126"/>
      <c r="AH10" s="32" t="s">
        <v>18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</row>
    <row r="11" spans="1:45" ht="9.75" customHeight="1" thickBot="1">
      <c r="A11" s="27"/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32" t="s">
        <v>19</v>
      </c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</row>
    <row r="12" spans="1:45">
      <c r="A12" s="27"/>
      <c r="B12" s="110" t="s">
        <v>45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2"/>
    </row>
    <row r="13" spans="1:45">
      <c r="A13" s="27"/>
      <c r="B13" s="118" t="s">
        <v>64</v>
      </c>
      <c r="C13" s="89"/>
      <c r="D13" s="89"/>
      <c r="E13" s="89"/>
      <c r="F13" s="89">
        <v>35681</v>
      </c>
      <c r="G13" s="89"/>
      <c r="H13" s="17" t="s">
        <v>6</v>
      </c>
      <c r="I13" s="117" t="s">
        <v>46</v>
      </c>
      <c r="J13" s="113"/>
      <c r="K13" s="113"/>
      <c r="L13" s="113"/>
      <c r="M13" s="113">
        <f>G24</f>
        <v>1338</v>
      </c>
      <c r="N13" s="113"/>
      <c r="O13" s="18" t="s">
        <v>47</v>
      </c>
      <c r="P13" s="115" t="s">
        <v>65</v>
      </c>
      <c r="Q13" s="116"/>
      <c r="R13" s="116"/>
      <c r="S13" s="116"/>
      <c r="T13" s="116"/>
      <c r="U13" s="114">
        <f>K24</f>
        <v>3.7</v>
      </c>
      <c r="V13" s="89"/>
      <c r="W13" s="13" t="s">
        <v>48</v>
      </c>
      <c r="X13" s="18"/>
      <c r="Y13" s="115" t="s">
        <v>49</v>
      </c>
      <c r="Z13" s="116"/>
      <c r="AA13" s="116"/>
      <c r="AB13" s="116"/>
      <c r="AC13" s="116"/>
      <c r="AD13" s="113">
        <f>G24</f>
        <v>1338</v>
      </c>
      <c r="AE13" s="113"/>
      <c r="AF13" s="19" t="s">
        <v>47</v>
      </c>
      <c r="AH13" s="29"/>
      <c r="AI13" s="29"/>
      <c r="AJ13" s="29"/>
      <c r="AK13" s="29"/>
      <c r="AL13" s="24"/>
      <c r="AM13" s="28"/>
      <c r="AN13" s="28"/>
      <c r="AO13" s="25"/>
    </row>
    <row r="14" spans="1:45" ht="14.25" customHeight="1">
      <c r="A14" s="27"/>
      <c r="B14" s="105" t="s">
        <v>50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 t="s">
        <v>51</v>
      </c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7"/>
      <c r="AH14" s="29"/>
      <c r="AI14" s="29"/>
      <c r="AJ14" s="29"/>
      <c r="AK14" s="29"/>
      <c r="AL14" s="24"/>
      <c r="AM14" s="30"/>
      <c r="AN14" s="30"/>
      <c r="AO14" s="25"/>
    </row>
    <row r="15" spans="1:45" ht="12" customHeight="1">
      <c r="A15" s="27"/>
      <c r="B15" s="108" t="s">
        <v>52</v>
      </c>
      <c r="C15" s="109"/>
      <c r="D15" s="97" t="s">
        <v>53</v>
      </c>
      <c r="E15" s="98"/>
      <c r="F15" s="109"/>
      <c r="G15" s="97" t="s">
        <v>54</v>
      </c>
      <c r="H15" s="98"/>
      <c r="I15" s="98"/>
      <c r="J15" s="109"/>
      <c r="K15" s="97" t="s">
        <v>55</v>
      </c>
      <c r="L15" s="98"/>
      <c r="M15" s="98"/>
      <c r="N15" s="109"/>
      <c r="O15" s="97" t="s">
        <v>52</v>
      </c>
      <c r="P15" s="109"/>
      <c r="Q15" s="20" t="s">
        <v>53</v>
      </c>
      <c r="R15" s="21"/>
      <c r="S15" s="22"/>
      <c r="T15" s="97" t="s">
        <v>54</v>
      </c>
      <c r="U15" s="98"/>
      <c r="V15" s="98"/>
      <c r="W15" s="109"/>
      <c r="X15" s="97" t="s">
        <v>56</v>
      </c>
      <c r="Y15" s="98"/>
      <c r="Z15" s="98"/>
      <c r="AA15" s="98"/>
      <c r="AB15" s="109"/>
      <c r="AC15" s="97" t="s">
        <v>55</v>
      </c>
      <c r="AD15" s="98"/>
      <c r="AE15" s="98"/>
      <c r="AF15" s="99"/>
      <c r="AH15" s="31" t="s">
        <v>67</v>
      </c>
      <c r="AI15" s="31"/>
      <c r="AJ15" s="31"/>
      <c r="AK15" s="31"/>
      <c r="AL15" s="26"/>
      <c r="AM15" s="29"/>
      <c r="AN15" s="29"/>
      <c r="AO15" s="29"/>
    </row>
    <row r="16" spans="1:45" ht="12" customHeight="1">
      <c r="A16" s="27"/>
      <c r="B16" s="100" t="s">
        <v>57</v>
      </c>
      <c r="C16" s="101"/>
      <c r="D16" s="102" t="s">
        <v>58</v>
      </c>
      <c r="E16" s="103"/>
      <c r="F16" s="101"/>
      <c r="G16" s="102" t="s">
        <v>59</v>
      </c>
      <c r="H16" s="103"/>
      <c r="I16" s="103"/>
      <c r="J16" s="101"/>
      <c r="K16" s="102" t="s">
        <v>60</v>
      </c>
      <c r="L16" s="103"/>
      <c r="M16" s="103"/>
      <c r="N16" s="101"/>
      <c r="O16" s="102" t="s">
        <v>57</v>
      </c>
      <c r="P16" s="101"/>
      <c r="Q16" s="102" t="s">
        <v>58</v>
      </c>
      <c r="R16" s="103"/>
      <c r="S16" s="101"/>
      <c r="T16" s="102" t="s">
        <v>59</v>
      </c>
      <c r="U16" s="103"/>
      <c r="V16" s="103"/>
      <c r="W16" s="101"/>
      <c r="X16" s="102" t="s">
        <v>61</v>
      </c>
      <c r="Y16" s="103"/>
      <c r="Z16" s="103"/>
      <c r="AA16" s="103"/>
      <c r="AB16" s="101"/>
      <c r="AC16" s="102" t="s">
        <v>60</v>
      </c>
      <c r="AD16" s="103"/>
      <c r="AE16" s="103"/>
      <c r="AF16" s="104"/>
      <c r="AH16" s="31"/>
      <c r="AI16" s="31"/>
      <c r="AJ16" s="31"/>
      <c r="AK16" s="31"/>
      <c r="AL16" s="26"/>
      <c r="AM16" s="29"/>
      <c r="AN16" s="29"/>
      <c r="AO16" s="29"/>
    </row>
    <row r="17" spans="1:41" ht="12" customHeight="1">
      <c r="A17" s="27"/>
      <c r="B17" s="96"/>
      <c r="C17" s="95"/>
      <c r="D17" s="82" t="s">
        <v>62</v>
      </c>
      <c r="E17" s="83"/>
      <c r="F17" s="95"/>
      <c r="G17" s="82" t="s">
        <v>62</v>
      </c>
      <c r="H17" s="83"/>
      <c r="I17" s="83"/>
      <c r="J17" s="95"/>
      <c r="K17" s="82" t="s">
        <v>63</v>
      </c>
      <c r="L17" s="83"/>
      <c r="M17" s="83"/>
      <c r="N17" s="95"/>
      <c r="O17" s="82"/>
      <c r="P17" s="95"/>
      <c r="Q17" s="82" t="s">
        <v>62</v>
      </c>
      <c r="R17" s="83"/>
      <c r="S17" s="95"/>
      <c r="T17" s="82" t="s">
        <v>62</v>
      </c>
      <c r="U17" s="83"/>
      <c r="V17" s="83"/>
      <c r="W17" s="95"/>
      <c r="X17" s="82" t="s">
        <v>63</v>
      </c>
      <c r="Y17" s="83"/>
      <c r="Z17" s="83"/>
      <c r="AA17" s="83"/>
      <c r="AB17" s="95"/>
      <c r="AC17" s="82" t="s">
        <v>63</v>
      </c>
      <c r="AD17" s="83"/>
      <c r="AE17" s="83"/>
      <c r="AF17" s="84"/>
      <c r="AH17" s="23"/>
      <c r="AI17" s="23"/>
      <c r="AJ17" s="23"/>
      <c r="AK17" s="23"/>
      <c r="AL17" s="23"/>
      <c r="AM17" s="23"/>
      <c r="AN17" s="23"/>
      <c r="AO17" s="23"/>
    </row>
    <row r="18" spans="1:41" ht="12" customHeight="1">
      <c r="A18" s="27"/>
      <c r="B18" s="85">
        <v>80</v>
      </c>
      <c r="C18" s="86"/>
      <c r="D18" s="87">
        <v>8543</v>
      </c>
      <c r="E18" s="87"/>
      <c r="F18" s="87"/>
      <c r="G18" s="88">
        <f>F13-D18</f>
        <v>27138</v>
      </c>
      <c r="H18" s="89"/>
      <c r="I18" s="89"/>
      <c r="J18" s="90"/>
      <c r="K18" s="76">
        <f t="shared" ref="K18:K24" si="0">ROUND(G18/$F$13*100,1)</f>
        <v>76.099999999999994</v>
      </c>
      <c r="L18" s="76"/>
      <c r="M18" s="76"/>
      <c r="N18" s="76"/>
      <c r="O18" s="86">
        <v>2</v>
      </c>
      <c r="P18" s="86"/>
      <c r="Q18" s="86">
        <f>D24</f>
        <v>772</v>
      </c>
      <c r="R18" s="86"/>
      <c r="S18" s="86"/>
      <c r="T18" s="91">
        <f>G24</f>
        <v>1338</v>
      </c>
      <c r="U18" s="92"/>
      <c r="V18" s="92"/>
      <c r="W18" s="93"/>
      <c r="X18" s="81">
        <f>ROUND(T18/$AD$13*100,1)</f>
        <v>100</v>
      </c>
      <c r="Y18" s="81"/>
      <c r="Z18" s="81"/>
      <c r="AA18" s="81"/>
      <c r="AB18" s="81"/>
      <c r="AC18" s="81">
        <f>K24</f>
        <v>3.7</v>
      </c>
      <c r="AD18" s="81"/>
      <c r="AE18" s="81"/>
      <c r="AF18" s="94"/>
    </row>
    <row r="19" spans="1:41" ht="12" customHeight="1">
      <c r="A19" s="27"/>
      <c r="B19" s="74">
        <v>60</v>
      </c>
      <c r="C19" s="72"/>
      <c r="D19" s="75">
        <v>13362</v>
      </c>
      <c r="E19" s="75"/>
      <c r="F19" s="75"/>
      <c r="G19" s="72">
        <f>$F$13-D18-D19</f>
        <v>13776</v>
      </c>
      <c r="H19" s="72"/>
      <c r="I19" s="72"/>
      <c r="J19" s="72"/>
      <c r="K19" s="76">
        <f t="shared" si="0"/>
        <v>38.6</v>
      </c>
      <c r="L19" s="76"/>
      <c r="M19" s="76"/>
      <c r="N19" s="76"/>
      <c r="O19" s="72">
        <v>1</v>
      </c>
      <c r="P19" s="72"/>
      <c r="Q19" s="79">
        <v>197.8</v>
      </c>
      <c r="R19" s="79"/>
      <c r="S19" s="79"/>
      <c r="T19" s="80">
        <f>T18-Q19</f>
        <v>1140.2</v>
      </c>
      <c r="U19" s="80"/>
      <c r="V19" s="80"/>
      <c r="W19" s="80"/>
      <c r="X19" s="81">
        <f>ROUND(T19/$AD$13*100,1)</f>
        <v>85.2</v>
      </c>
      <c r="Y19" s="81"/>
      <c r="Z19" s="81"/>
      <c r="AA19" s="81"/>
      <c r="AB19" s="81"/>
      <c r="AC19" s="76">
        <f>ROUND($AC$18*X19/100,1)</f>
        <v>3.2</v>
      </c>
      <c r="AD19" s="76"/>
      <c r="AE19" s="76"/>
      <c r="AF19" s="77"/>
    </row>
    <row r="20" spans="1:41" ht="12" customHeight="1">
      <c r="A20" s="27"/>
      <c r="B20" s="74">
        <v>40</v>
      </c>
      <c r="C20" s="72"/>
      <c r="D20" s="75">
        <v>2813</v>
      </c>
      <c r="E20" s="75"/>
      <c r="F20" s="75"/>
      <c r="G20" s="72">
        <f>$F$13-D18-D19-D20</f>
        <v>10963</v>
      </c>
      <c r="H20" s="72"/>
      <c r="I20" s="72"/>
      <c r="J20" s="72"/>
      <c r="K20" s="76">
        <f t="shared" si="0"/>
        <v>30.7</v>
      </c>
      <c r="L20" s="76"/>
      <c r="M20" s="76"/>
      <c r="N20" s="76"/>
      <c r="O20" s="72">
        <v>0.5</v>
      </c>
      <c r="P20" s="72"/>
      <c r="Q20" s="79">
        <v>400.6</v>
      </c>
      <c r="R20" s="79"/>
      <c r="S20" s="79"/>
      <c r="T20" s="80">
        <f>T19-Q20</f>
        <v>739.6</v>
      </c>
      <c r="U20" s="80"/>
      <c r="V20" s="80"/>
      <c r="W20" s="80"/>
      <c r="X20" s="81">
        <f>ROUND(T20/$AD$13*100,1)</f>
        <v>55.3</v>
      </c>
      <c r="Y20" s="81"/>
      <c r="Z20" s="81"/>
      <c r="AA20" s="81"/>
      <c r="AB20" s="81"/>
      <c r="AC20" s="76">
        <f>ROUND($AC$18*X20/100,1)</f>
        <v>2</v>
      </c>
      <c r="AD20" s="76"/>
      <c r="AE20" s="76"/>
      <c r="AF20" s="77"/>
    </row>
    <row r="21" spans="1:41" ht="12" customHeight="1">
      <c r="A21" s="27"/>
      <c r="B21" s="74">
        <v>20</v>
      </c>
      <c r="C21" s="72"/>
      <c r="D21" s="75">
        <v>5689</v>
      </c>
      <c r="E21" s="75"/>
      <c r="F21" s="75"/>
      <c r="G21" s="72">
        <f>$F$13-D18-D19-D20-D21</f>
        <v>5274</v>
      </c>
      <c r="H21" s="72"/>
      <c r="I21" s="72"/>
      <c r="J21" s="72"/>
      <c r="K21" s="76">
        <f t="shared" si="0"/>
        <v>14.8</v>
      </c>
      <c r="L21" s="76"/>
      <c r="M21" s="76"/>
      <c r="N21" s="76"/>
      <c r="O21" s="72">
        <v>0.25</v>
      </c>
      <c r="P21" s="72"/>
      <c r="Q21" s="79">
        <v>227</v>
      </c>
      <c r="R21" s="79"/>
      <c r="S21" s="79"/>
      <c r="T21" s="80">
        <f>T20-Q21</f>
        <v>512.6</v>
      </c>
      <c r="U21" s="80"/>
      <c r="V21" s="80"/>
      <c r="W21" s="80"/>
      <c r="X21" s="81">
        <f>ROUND(T21/$AD$13*100,1)</f>
        <v>38.299999999999997</v>
      </c>
      <c r="Y21" s="81"/>
      <c r="Z21" s="81"/>
      <c r="AA21" s="81"/>
      <c r="AB21" s="81"/>
      <c r="AC21" s="76">
        <f>ROUND($AC$18*X21/100,1)</f>
        <v>1.4</v>
      </c>
      <c r="AD21" s="76"/>
      <c r="AE21" s="76"/>
      <c r="AF21" s="77"/>
    </row>
    <row r="22" spans="1:41" ht="12" customHeight="1">
      <c r="A22" s="27"/>
      <c r="B22" s="74">
        <v>10</v>
      </c>
      <c r="C22" s="72"/>
      <c r="D22" s="75">
        <v>2183</v>
      </c>
      <c r="E22" s="75"/>
      <c r="F22" s="75"/>
      <c r="G22" s="72">
        <f>$F$13-D18-D19-D20-D21-D22</f>
        <v>3091</v>
      </c>
      <c r="H22" s="72"/>
      <c r="I22" s="72"/>
      <c r="J22" s="72"/>
      <c r="K22" s="76">
        <f t="shared" si="0"/>
        <v>8.6999999999999993</v>
      </c>
      <c r="L22" s="76"/>
      <c r="M22" s="76"/>
      <c r="N22" s="76"/>
      <c r="O22" s="78">
        <v>7.3999999999999996E-2</v>
      </c>
      <c r="P22" s="78"/>
      <c r="Q22" s="79">
        <v>366.6</v>
      </c>
      <c r="R22" s="79"/>
      <c r="S22" s="79"/>
      <c r="T22" s="80">
        <f>T21-Q22</f>
        <v>146</v>
      </c>
      <c r="U22" s="80"/>
      <c r="V22" s="80"/>
      <c r="W22" s="80"/>
      <c r="X22" s="81">
        <f>ROUND(T22/$AD$13*100,1)</f>
        <v>10.9</v>
      </c>
      <c r="Y22" s="81"/>
      <c r="Z22" s="81"/>
      <c r="AA22" s="81"/>
      <c r="AB22" s="81"/>
      <c r="AC22" s="76">
        <f>ROUND($AC$18*X22/100,1)</f>
        <v>0.4</v>
      </c>
      <c r="AD22" s="76"/>
      <c r="AE22" s="76"/>
      <c r="AF22" s="77"/>
    </row>
    <row r="23" spans="1:41" ht="12" customHeight="1">
      <c r="A23" s="27"/>
      <c r="B23" s="74">
        <v>5</v>
      </c>
      <c r="C23" s="72"/>
      <c r="D23" s="75">
        <v>981</v>
      </c>
      <c r="E23" s="75"/>
      <c r="F23" s="75"/>
      <c r="G23" s="72">
        <f>$F$13-D18-D19-D20-D21-D22-D23</f>
        <v>2110</v>
      </c>
      <c r="H23" s="72"/>
      <c r="I23" s="72"/>
      <c r="J23" s="72"/>
      <c r="K23" s="76">
        <f t="shared" si="0"/>
        <v>5.9</v>
      </c>
      <c r="L23" s="76"/>
      <c r="M23" s="76"/>
      <c r="N23" s="76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3"/>
    </row>
    <row r="24" spans="1:41" ht="12" customHeight="1">
      <c r="A24" s="27"/>
      <c r="B24" s="74">
        <v>2</v>
      </c>
      <c r="C24" s="72"/>
      <c r="D24" s="75">
        <v>772</v>
      </c>
      <c r="E24" s="75"/>
      <c r="F24" s="75"/>
      <c r="G24" s="72">
        <f>$F$13-D18-D19-D20-D21-D22-D23-D24</f>
        <v>1338</v>
      </c>
      <c r="H24" s="72"/>
      <c r="I24" s="72"/>
      <c r="J24" s="72"/>
      <c r="K24" s="76">
        <f t="shared" si="0"/>
        <v>3.7</v>
      </c>
      <c r="L24" s="76"/>
      <c r="M24" s="76"/>
      <c r="N24" s="76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3"/>
    </row>
    <row r="25" spans="1:41">
      <c r="A25" s="27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8"/>
    </row>
    <row r="26" spans="1:41" ht="14.25" customHeight="1">
      <c r="A26" s="27"/>
      <c r="B26" s="49"/>
      <c r="C26" s="50"/>
      <c r="D26" s="50"/>
      <c r="E26" s="50"/>
      <c r="F26" s="50"/>
      <c r="G26" s="53"/>
      <c r="H26" s="53"/>
      <c r="I26" s="53"/>
      <c r="J26" s="53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5"/>
      <c r="AG26" s="8"/>
    </row>
    <row r="27" spans="1:41">
      <c r="A27" s="27"/>
      <c r="B27" s="49"/>
      <c r="C27" s="50"/>
      <c r="D27" s="50"/>
      <c r="E27" s="50"/>
      <c r="F27" s="50"/>
      <c r="G27" s="53"/>
      <c r="H27" s="53"/>
      <c r="I27" s="53"/>
      <c r="J27" s="53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5"/>
      <c r="AH27" s="8"/>
    </row>
    <row r="28" spans="1:41">
      <c r="A28" s="27"/>
      <c r="B28" s="49"/>
      <c r="C28" s="50"/>
      <c r="D28" s="50"/>
      <c r="E28" s="50"/>
      <c r="F28" s="50"/>
      <c r="G28" s="53"/>
      <c r="H28" s="53"/>
      <c r="I28" s="53"/>
      <c r="J28" s="53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5"/>
    </row>
    <row r="29" spans="1:41">
      <c r="A29" s="27"/>
      <c r="B29" s="49"/>
      <c r="C29" s="50"/>
      <c r="D29" s="50"/>
      <c r="E29" s="50"/>
      <c r="F29" s="50"/>
      <c r="G29" s="53"/>
      <c r="H29" s="53"/>
      <c r="I29" s="53"/>
      <c r="J29" s="53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5"/>
      <c r="AH29" s="8"/>
    </row>
    <row r="30" spans="1:41">
      <c r="A30" s="27"/>
      <c r="B30" s="49"/>
      <c r="C30" s="50"/>
      <c r="D30" s="50"/>
      <c r="E30" s="50"/>
      <c r="F30" s="50"/>
      <c r="G30" s="53"/>
      <c r="H30" s="53"/>
      <c r="I30" s="53"/>
      <c r="J30" s="53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5"/>
    </row>
    <row r="31" spans="1:41">
      <c r="A31" s="27"/>
      <c r="B31" s="49"/>
      <c r="C31" s="50"/>
      <c r="D31" s="50"/>
      <c r="E31" s="50"/>
      <c r="F31" s="50"/>
      <c r="G31" s="53"/>
      <c r="H31" s="53"/>
      <c r="I31" s="53"/>
      <c r="J31" s="53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5"/>
    </row>
    <row r="32" spans="1:41">
      <c r="A32" s="27"/>
      <c r="B32" s="49"/>
      <c r="C32" s="50"/>
      <c r="D32" s="50"/>
      <c r="E32" s="50"/>
      <c r="F32" s="50"/>
      <c r="G32" s="53"/>
      <c r="H32" s="53"/>
      <c r="I32" s="53"/>
      <c r="J32" s="53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5"/>
    </row>
    <row r="33" spans="1:32">
      <c r="A33" s="27"/>
      <c r="B33" s="49"/>
      <c r="C33" s="50"/>
      <c r="D33" s="50"/>
      <c r="E33" s="50"/>
      <c r="F33" s="50"/>
      <c r="G33" s="53"/>
      <c r="H33" s="53"/>
      <c r="I33" s="53"/>
      <c r="J33" s="53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5"/>
    </row>
    <row r="34" spans="1:32">
      <c r="A34" s="27"/>
      <c r="B34" s="49"/>
      <c r="C34" s="50"/>
      <c r="D34" s="50"/>
      <c r="E34" s="50"/>
      <c r="F34" s="50"/>
      <c r="G34" s="53"/>
      <c r="H34" s="53"/>
      <c r="I34" s="53"/>
      <c r="J34" s="53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5"/>
    </row>
    <row r="35" spans="1:32">
      <c r="A35" s="27"/>
      <c r="B35" s="49"/>
      <c r="C35" s="50"/>
      <c r="D35" s="50"/>
      <c r="E35" s="50"/>
      <c r="F35" s="50"/>
      <c r="G35" s="53"/>
      <c r="H35" s="53"/>
      <c r="I35" s="53"/>
      <c r="J35" s="53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5"/>
    </row>
    <row r="36" spans="1:32" ht="9.75" customHeight="1">
      <c r="A36" s="27"/>
      <c r="B36" s="49"/>
      <c r="C36" s="50"/>
      <c r="D36" s="50"/>
      <c r="E36" s="50"/>
      <c r="F36" s="50"/>
      <c r="G36" s="53"/>
      <c r="H36" s="53"/>
      <c r="I36" s="53"/>
      <c r="J36" s="53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5"/>
    </row>
    <row r="37" spans="1:32">
      <c r="A37" s="27"/>
      <c r="B37" s="49"/>
      <c r="C37" s="50"/>
      <c r="D37" s="50"/>
      <c r="E37" s="50"/>
      <c r="F37" s="50"/>
      <c r="G37" s="53"/>
      <c r="H37" s="53"/>
      <c r="I37" s="53"/>
      <c r="J37" s="53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5"/>
    </row>
    <row r="38" spans="1:32" ht="102" customHeight="1">
      <c r="A38" s="27"/>
      <c r="B38" s="51"/>
      <c r="C38" s="52"/>
      <c r="D38" s="52"/>
      <c r="E38" s="52"/>
      <c r="F38" s="52"/>
      <c r="G38" s="54"/>
      <c r="H38" s="54"/>
      <c r="I38" s="54"/>
      <c r="J38" s="54"/>
      <c r="K38" s="4"/>
      <c r="L38" s="4"/>
      <c r="M38" s="4"/>
      <c r="N38" s="4"/>
      <c r="O38" s="4"/>
      <c r="P38" s="4"/>
      <c r="Q38" s="4"/>
      <c r="R38" s="4"/>
      <c r="S38" s="4"/>
      <c r="T38" s="4"/>
      <c r="U38" s="56"/>
      <c r="V38" s="57"/>
      <c r="W38" s="57"/>
      <c r="X38" s="57"/>
      <c r="Y38" s="57"/>
      <c r="Z38" s="57"/>
      <c r="AA38" s="4"/>
      <c r="AB38" s="4"/>
      <c r="AC38" s="4"/>
      <c r="AD38" s="4"/>
      <c r="AE38" s="4"/>
      <c r="AF38" s="5"/>
    </row>
    <row r="39" spans="1:32" ht="15" customHeight="1">
      <c r="A39" s="27"/>
      <c r="B39" s="142" t="s">
        <v>24</v>
      </c>
      <c r="C39" s="116"/>
      <c r="D39" s="116"/>
      <c r="E39" s="116"/>
      <c r="F39" s="116"/>
      <c r="G39" s="116"/>
      <c r="H39" s="116"/>
      <c r="I39" s="116"/>
      <c r="J39" s="116"/>
      <c r="K39" s="116"/>
      <c r="L39" s="70">
        <f>AN4</f>
        <v>5.0714285714285712</v>
      </c>
      <c r="M39" s="71"/>
      <c r="N39" s="13"/>
      <c r="O39" s="13"/>
      <c r="P39" s="13"/>
      <c r="Q39" s="143" t="s">
        <v>25</v>
      </c>
      <c r="R39" s="143"/>
      <c r="S39" s="143"/>
      <c r="T39" s="143"/>
      <c r="U39" s="143"/>
      <c r="V39" s="143"/>
      <c r="W39" s="143"/>
      <c r="X39" s="143"/>
      <c r="Y39" s="143"/>
      <c r="Z39" s="38">
        <f>AN6</f>
        <v>1.5301810865191148</v>
      </c>
      <c r="AA39" s="39"/>
      <c r="AB39" s="14"/>
      <c r="AC39" s="14"/>
      <c r="AD39" s="14"/>
      <c r="AE39" s="14"/>
      <c r="AF39" s="15"/>
    </row>
    <row r="40" spans="1:32">
      <c r="A40" s="27"/>
      <c r="B40" s="64" t="s">
        <v>26</v>
      </c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5"/>
    </row>
    <row r="41" spans="1:32">
      <c r="A41" s="27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8"/>
    </row>
    <row r="42" spans="1:32">
      <c r="B42" s="64" t="s">
        <v>27</v>
      </c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40" t="s">
        <v>28</v>
      </c>
      <c r="N42" s="40"/>
      <c r="O42" s="40"/>
      <c r="P42" s="40"/>
      <c r="Q42" s="41"/>
      <c r="R42" s="60" t="s">
        <v>29</v>
      </c>
      <c r="S42" s="61"/>
      <c r="T42" s="61"/>
      <c r="U42" s="61"/>
      <c r="V42" s="61"/>
      <c r="W42" s="61"/>
      <c r="X42" s="61"/>
      <c r="Y42" s="61"/>
      <c r="Z42" s="61"/>
      <c r="AA42" s="40" t="s">
        <v>28</v>
      </c>
      <c r="AB42" s="40"/>
      <c r="AC42" s="40"/>
      <c r="AD42" s="40"/>
      <c r="AE42" s="40"/>
      <c r="AF42" s="58"/>
    </row>
    <row r="43" spans="1:32" ht="24.75" customHeight="1" thickBot="1">
      <c r="B43" s="69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42"/>
      <c r="N43" s="42"/>
      <c r="O43" s="42"/>
      <c r="P43" s="42"/>
      <c r="Q43" s="43"/>
      <c r="R43" s="62"/>
      <c r="S43" s="63"/>
      <c r="T43" s="63"/>
      <c r="U43" s="63"/>
      <c r="V43" s="63"/>
      <c r="W43" s="63"/>
      <c r="X43" s="63"/>
      <c r="Y43" s="63"/>
      <c r="Z43" s="63"/>
      <c r="AA43" s="42"/>
      <c r="AB43" s="42"/>
      <c r="AC43" s="42"/>
      <c r="AD43" s="42"/>
      <c r="AE43" s="42"/>
      <c r="AF43" s="59"/>
    </row>
    <row r="44" spans="1:32" ht="7.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>
      <c r="B45" s="44" t="s">
        <v>30</v>
      </c>
      <c r="C45" s="44"/>
      <c r="D45" s="44"/>
      <c r="E45" s="16"/>
      <c r="F45" s="16"/>
      <c r="G45" s="16"/>
      <c r="H45" s="16"/>
      <c r="I45" s="16"/>
      <c r="J45" s="16"/>
      <c r="K45" s="44" t="s">
        <v>31</v>
      </c>
      <c r="L45" s="44"/>
      <c r="M45" s="44"/>
      <c r="N45" s="44"/>
      <c r="O45" s="16"/>
      <c r="P45" s="16"/>
      <c r="Q45" s="16"/>
      <c r="R45" s="16"/>
      <c r="S45" s="44" t="s">
        <v>32</v>
      </c>
      <c r="T45" s="44"/>
      <c r="U45" s="44"/>
      <c r="V45" s="16"/>
      <c r="W45" s="16"/>
      <c r="X45" s="16"/>
      <c r="Y45" s="16"/>
      <c r="Z45" s="16"/>
      <c r="AA45" s="16"/>
      <c r="AB45" s="45" t="s">
        <v>33</v>
      </c>
      <c r="AC45" s="45"/>
      <c r="AD45" s="45"/>
      <c r="AE45" s="45"/>
      <c r="AF45" s="45"/>
    </row>
    <row r="46" spans="1:3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2:3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2:3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2:3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2:3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2:3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2:3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2:3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2:3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2:3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2:3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2:3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2:3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2:3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2:3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2:3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2:3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2:3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2:3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2:3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2:3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2:3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2:3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2:3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2:3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2:3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2:3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2:3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2:3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2:3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2:3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2:3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2:3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2:3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2:3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2:3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2:3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2:3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2:3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2:3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2:3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2:3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2:3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2:3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2:3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2:3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2:3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2:3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2:3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2:3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2:3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2:3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2:3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2:3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2:3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2:3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2:3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2:3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2:3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2:3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2:3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2:3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2:3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2:3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2:3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2:3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2:3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2:3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2:3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2:3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2:3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2:3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2:3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2:3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2:3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2:3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2:3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2:3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2:3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2:3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2:3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2:3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2:3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2:3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2: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2:3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2:3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2:3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2:3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2:3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</sheetData>
  <mergeCells count="173">
    <mergeCell ref="B45:D45"/>
    <mergeCell ref="S45:U45"/>
    <mergeCell ref="B39:K39"/>
    <mergeCell ref="Q39:Y39"/>
    <mergeCell ref="B7:E7"/>
    <mergeCell ref="F7:S7"/>
    <mergeCell ref="T7:W7"/>
    <mergeCell ref="B9:E9"/>
    <mergeCell ref="AG1:AG2"/>
    <mergeCell ref="B6:E6"/>
    <mergeCell ref="F6:S6"/>
    <mergeCell ref="T6:W6"/>
    <mergeCell ref="X6:AF6"/>
    <mergeCell ref="A1:AF3"/>
    <mergeCell ref="B5:E5"/>
    <mergeCell ref="F5:S5"/>
    <mergeCell ref="T5:W5"/>
    <mergeCell ref="X4:AF4"/>
    <mergeCell ref="B4:P4"/>
    <mergeCell ref="Q4:W4"/>
    <mergeCell ref="B10:E10"/>
    <mergeCell ref="F10:S10"/>
    <mergeCell ref="T10:W10"/>
    <mergeCell ref="X10:AF10"/>
    <mergeCell ref="F9:S9"/>
    <mergeCell ref="T9:W9"/>
    <mergeCell ref="X9:AF9"/>
    <mergeCell ref="X5:AF5"/>
    <mergeCell ref="B8:E8"/>
    <mergeCell ref="F8:S8"/>
    <mergeCell ref="T8:W8"/>
    <mergeCell ref="X8:AF8"/>
    <mergeCell ref="X7:AF7"/>
    <mergeCell ref="B12:AF12"/>
    <mergeCell ref="M13:N13"/>
    <mergeCell ref="U13:V13"/>
    <mergeCell ref="AD13:AE13"/>
    <mergeCell ref="Y13:AC13"/>
    <mergeCell ref="P13:T13"/>
    <mergeCell ref="I13:L13"/>
    <mergeCell ref="F13:G13"/>
    <mergeCell ref="B13:E13"/>
    <mergeCell ref="B14:N14"/>
    <mergeCell ref="O14:AF14"/>
    <mergeCell ref="B15:C15"/>
    <mergeCell ref="D15:F15"/>
    <mergeCell ref="G15:J15"/>
    <mergeCell ref="K15:N15"/>
    <mergeCell ref="O15:P15"/>
    <mergeCell ref="T15:W15"/>
    <mergeCell ref="X15:AB15"/>
    <mergeCell ref="AC15:AF15"/>
    <mergeCell ref="B16:C16"/>
    <mergeCell ref="D16:F16"/>
    <mergeCell ref="G16:J16"/>
    <mergeCell ref="K16:N16"/>
    <mergeCell ref="O16:P16"/>
    <mergeCell ref="Q16:S16"/>
    <mergeCell ref="T16:W16"/>
    <mergeCell ref="X16:AB16"/>
    <mergeCell ref="AC16:AF16"/>
    <mergeCell ref="AC17:AF17"/>
    <mergeCell ref="B18:C18"/>
    <mergeCell ref="D18:F18"/>
    <mergeCell ref="G18:J18"/>
    <mergeCell ref="K18:N18"/>
    <mergeCell ref="O18:P18"/>
    <mergeCell ref="Q18:S18"/>
    <mergeCell ref="T18:W18"/>
    <mergeCell ref="X18:AB18"/>
    <mergeCell ref="AC18:AF18"/>
    <mergeCell ref="O17:P17"/>
    <mergeCell ref="Q17:S17"/>
    <mergeCell ref="T17:W17"/>
    <mergeCell ref="X17:AB17"/>
    <mergeCell ref="B17:C17"/>
    <mergeCell ref="D17:F17"/>
    <mergeCell ref="G17:J17"/>
    <mergeCell ref="K17:N17"/>
    <mergeCell ref="B21:C21"/>
    <mergeCell ref="D21:F21"/>
    <mergeCell ref="G21:J21"/>
    <mergeCell ref="K21:N21"/>
    <mergeCell ref="AC19:AF19"/>
    <mergeCell ref="B20:C20"/>
    <mergeCell ref="D20:F20"/>
    <mergeCell ref="G20:J20"/>
    <mergeCell ref="K20:N20"/>
    <mergeCell ref="O20:P20"/>
    <mergeCell ref="Q20:S20"/>
    <mergeCell ref="T20:W20"/>
    <mergeCell ref="X20:AB20"/>
    <mergeCell ref="AC20:AF20"/>
    <mergeCell ref="O19:P19"/>
    <mergeCell ref="Q19:S19"/>
    <mergeCell ref="T19:W19"/>
    <mergeCell ref="X19:AB19"/>
    <mergeCell ref="B19:C19"/>
    <mergeCell ref="D19:F19"/>
    <mergeCell ref="G19:J19"/>
    <mergeCell ref="K19:N19"/>
    <mergeCell ref="D22:F22"/>
    <mergeCell ref="G22:J22"/>
    <mergeCell ref="K22:N22"/>
    <mergeCell ref="O22:P22"/>
    <mergeCell ref="Q22:S22"/>
    <mergeCell ref="T22:W22"/>
    <mergeCell ref="X22:AB22"/>
    <mergeCell ref="AC22:AF22"/>
    <mergeCell ref="O21:P21"/>
    <mergeCell ref="Q21:S21"/>
    <mergeCell ref="T21:W21"/>
    <mergeCell ref="X21:AB21"/>
    <mergeCell ref="AH4:AI5"/>
    <mergeCell ref="AR6:AS6"/>
    <mergeCell ref="Z39:AA39"/>
    <mergeCell ref="M42:Q43"/>
    <mergeCell ref="K45:N45"/>
    <mergeCell ref="AB45:AF45"/>
    <mergeCell ref="B25:AF25"/>
    <mergeCell ref="B26:F38"/>
    <mergeCell ref="G26:J38"/>
    <mergeCell ref="K26:AF37"/>
    <mergeCell ref="U38:Z38"/>
    <mergeCell ref="AA42:AF43"/>
    <mergeCell ref="R42:Z43"/>
    <mergeCell ref="B40:AF41"/>
    <mergeCell ref="B42:L43"/>
    <mergeCell ref="L39:M39"/>
    <mergeCell ref="AC23:AF23"/>
    <mergeCell ref="B24:C24"/>
    <mergeCell ref="D24:F24"/>
    <mergeCell ref="G24:J24"/>
    <mergeCell ref="K24:N24"/>
    <mergeCell ref="O24:P24"/>
    <mergeCell ref="Q24:S24"/>
    <mergeCell ref="T24:W24"/>
    <mergeCell ref="AM4:AM5"/>
    <mergeCell ref="AN4:AN5"/>
    <mergeCell ref="AM6:AM7"/>
    <mergeCell ref="AN6:AN7"/>
    <mergeCell ref="AR4:AS4"/>
    <mergeCell ref="AR5:AS5"/>
    <mergeCell ref="AK4:AL4"/>
    <mergeCell ref="AK5:AL5"/>
    <mergeCell ref="AJ4:AJ5"/>
    <mergeCell ref="AJ6:AJ7"/>
    <mergeCell ref="AK6:AL6"/>
    <mergeCell ref="AK7:AL7"/>
    <mergeCell ref="A7:A41"/>
    <mergeCell ref="AM13:AN13"/>
    <mergeCell ref="AH13:AK13"/>
    <mergeCell ref="AH14:AK14"/>
    <mergeCell ref="AM14:AN14"/>
    <mergeCell ref="AH15:AK16"/>
    <mergeCell ref="AM15:AO16"/>
    <mergeCell ref="AH8:AS8"/>
    <mergeCell ref="AH9:AS9"/>
    <mergeCell ref="AH10:AS10"/>
    <mergeCell ref="AH11:AS11"/>
    <mergeCell ref="AH6:AI7"/>
    <mergeCell ref="X24:AB24"/>
    <mergeCell ref="AC24:AF24"/>
    <mergeCell ref="O23:P23"/>
    <mergeCell ref="Q23:S23"/>
    <mergeCell ref="T23:W23"/>
    <mergeCell ref="X23:AB23"/>
    <mergeCell ref="B23:C23"/>
    <mergeCell ref="D23:F23"/>
    <mergeCell ref="G23:J23"/>
    <mergeCell ref="K23:N23"/>
    <mergeCell ref="AC21:AF21"/>
    <mergeCell ref="B22:C22"/>
  </mergeCells>
  <phoneticPr fontId="1" type="noConversion"/>
  <pageMargins left="0.82677165354330717" right="0.39370078740157483" top="0.78740157480314965" bottom="0.59055118110236227" header="0.51181102362204722" footer="0.51181102362204722"/>
  <pageSetup paperSize="9" orientation="portrait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11-001</vt:lpstr>
      <vt:lpstr>'11-001'!Print_Area</vt:lpstr>
    </vt:vector>
  </TitlesOfParts>
  <Company>家庭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杨发</dc:creator>
  <cp:lastModifiedBy>Windows 用户</cp:lastModifiedBy>
  <cp:lastPrinted>2011-07-24T01:59:39Z</cp:lastPrinted>
  <dcterms:created xsi:type="dcterms:W3CDTF">2007-11-12T12:15:15Z</dcterms:created>
  <dcterms:modified xsi:type="dcterms:W3CDTF">2016-09-05T03:38:56Z</dcterms:modified>
</cp:coreProperties>
</file>