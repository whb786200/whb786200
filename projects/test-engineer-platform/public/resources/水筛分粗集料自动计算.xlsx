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583" windowHeight="9840"/>
  </bookViews>
  <sheets>
    <sheet name="合成筛分" sheetId="1" r:id="rId1"/>
  </sheets>
  <externalReferences>
    <externalReference r:id="rId2"/>
    <externalReference r:id="rId3"/>
  </externalReferences>
  <definedNames>
    <definedName name="__xlfn.RTD" hidden="1">#NAME?</definedName>
    <definedName name="_xlnm.Print_Area" localSheetId="0">合成筛分!$A$1:$L$32</definedName>
    <definedName name="表观密度允许差值">#REF!</definedName>
    <definedName name="表观密度最大值">#REF!</definedName>
    <definedName name="表观密度最小值">#REF!</definedName>
    <definedName name="堆积密度最大值">#REF!</definedName>
    <definedName name="堆积密度最小值">#REF!</definedName>
    <definedName name="含泥量允许差值">#REF!</definedName>
    <definedName name="含泥量最大值">#REF!</definedName>
    <definedName name="含泥量最小值">#REF!</definedName>
    <definedName name="烘干质量最大值">#REF!</definedName>
    <definedName name="烘干质量最小值">#REF!</definedName>
    <definedName name="记录A3">[1]粗数据随机!$A$2:$EB$7</definedName>
    <definedName name="进场报验表">#REF!</definedName>
    <definedName name="筛前质量最大值">#REF!</definedName>
    <definedName name="筛前质量最小值">#REF!</definedName>
    <definedName name="试验前质量最大值">#REF!</definedName>
    <definedName name="试验前质量最小值">#REF!</definedName>
    <definedName name="试样质量最大值">#REF!</definedName>
    <definedName name="试样质量最小值">#REF!</definedName>
    <definedName name="损耗率最大">#REF!</definedName>
    <definedName name="损耗率最小">#REF!</definedName>
    <definedName name="吸水率允许差值">#REF!</definedName>
    <definedName name="吸水率最大值">#REF!</definedName>
    <definedName name="吸水率最小值">#REF!</definedName>
    <definedName name="细集料试验数据">#REF!</definedName>
    <definedName name="压碎值最大值">#REF!</definedName>
    <definedName name="压碎值最小值">#REF!</definedName>
    <definedName name="针片状最大值">#REF!</definedName>
    <definedName name="针片状最小值">#REF!</definedName>
  </definedNames>
  <calcPr calcId="144525"/>
</workbook>
</file>

<file path=xl/sharedStrings.xml><?xml version="1.0" encoding="utf-8"?>
<sst xmlns="http://schemas.openxmlformats.org/spreadsheetml/2006/main" count="61" uniqueCount="51">
  <si>
    <t>粗集料常规技术性能试验检测记录表</t>
  </si>
  <si>
    <t>试验室名称：</t>
  </si>
  <si>
    <t>中交三公局（北京）工程试验检测有限公司三柳高速公路二期路面七分部工地试验室</t>
  </si>
  <si>
    <t>记录编号</t>
  </si>
  <si>
    <t>工程部位</t>
  </si>
  <si>
    <t>委托/任务编号</t>
  </si>
  <si>
    <t>样品名称</t>
  </si>
  <si>
    <t>样品编号</t>
  </si>
  <si>
    <t>试验依据</t>
  </si>
  <si>
    <t>样品描述</t>
  </si>
  <si>
    <t>试验条件</t>
  </si>
  <si>
    <t>试验日期</t>
  </si>
  <si>
    <t>仪器设备</t>
  </si>
  <si>
    <t>干燥试样总重(g)</t>
  </si>
  <si>
    <t>第1组：</t>
  </si>
  <si>
    <t>第2组：</t>
  </si>
  <si>
    <t>平均</t>
  </si>
  <si>
    <t>水洗后筛上总重(g)</t>
  </si>
  <si>
    <t>水洗后0.075m筛下重(g)</t>
  </si>
  <si>
    <t>＜26%</t>
  </si>
  <si>
    <r>
      <rPr>
        <sz val="10.5"/>
        <rFont val="宋体"/>
        <charset val="134"/>
      </rPr>
      <t>0.075mm通过率P</t>
    </r>
    <r>
      <rPr>
        <vertAlign val="subscript"/>
        <sz val="10.5"/>
        <rFont val="宋体"/>
        <charset val="134"/>
      </rPr>
      <t>0.075</t>
    </r>
    <r>
      <rPr>
        <sz val="10.5"/>
        <rFont val="宋体"/>
        <charset val="134"/>
      </rPr>
      <t>(%)</t>
    </r>
  </si>
  <si>
    <t>筛孔尺寸（mm）</t>
  </si>
  <si>
    <t>筛上重（g)</t>
  </si>
  <si>
    <t>分计筛余(%)</t>
  </si>
  <si>
    <t>累计筛余(%)</t>
  </si>
  <si>
    <t>通过百分率(%)</t>
  </si>
  <si>
    <t>平均通过百分率（%）</t>
  </si>
  <si>
    <t>要求</t>
  </si>
  <si>
    <t>通过率</t>
  </si>
  <si>
    <t>分级筛余</t>
  </si>
  <si>
    <t>筛上重</t>
  </si>
  <si>
    <t>95-90</t>
  </si>
  <si>
    <t>84-72</t>
  </si>
  <si>
    <t>79-65</t>
  </si>
  <si>
    <t>72-57</t>
  </si>
  <si>
    <t>62-47</t>
  </si>
  <si>
    <t>40-30</t>
  </si>
  <si>
    <t>28-19</t>
  </si>
  <si>
    <t>20-12</t>
  </si>
  <si>
    <t>14-8</t>
  </si>
  <si>
    <t>10-5</t>
  </si>
  <si>
    <t>7-3</t>
  </si>
  <si>
    <t>5-2</t>
  </si>
  <si>
    <t>干筛后总量（g)</t>
  </si>
  <si>
    <t>/</t>
  </si>
  <si>
    <t>底</t>
  </si>
  <si>
    <r>
      <rPr>
        <sz val="10.5"/>
        <rFont val="宋体"/>
        <charset val="134"/>
      </rPr>
      <t>损耗m</t>
    </r>
    <r>
      <rPr>
        <vertAlign val="subscript"/>
        <sz val="10.5"/>
        <rFont val="宋体"/>
        <charset val="134"/>
      </rPr>
      <t>5</t>
    </r>
    <r>
      <rPr>
        <sz val="10.5"/>
        <rFont val="宋体"/>
        <charset val="134"/>
      </rPr>
      <t>(g)</t>
    </r>
  </si>
  <si>
    <t>损耗率（%）</t>
  </si>
  <si>
    <t>扣除损耗后总重(g)</t>
  </si>
  <si>
    <t>备注：掺配比例为19-31.5mm：9.5-19mm:4.75-9.5mm:0-4.75mm=25%:20%:26%:29%</t>
  </si>
  <si>
    <t>试验：                复核：                       日期：</t>
  </si>
</sst>
</file>

<file path=xl/styles.xml><?xml version="1.0" encoding="utf-8"?>
<styleSheet xmlns="http://schemas.openxmlformats.org/spreadsheetml/2006/main">
  <numFmts count="9">
    <numFmt numFmtId="176" formatCode="0_ "/>
    <numFmt numFmtId="177" formatCode="_ [$€-2]* #,##0.00_ ;_ [$€-2]* \-#,##0.00_ ;_ [$€-2]* &quot;-&quot;??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8" formatCode="0_);[Red]\(0\)"/>
    <numFmt numFmtId="179" formatCode="0.0_);[Red]\(0.0\)"/>
    <numFmt numFmtId="180" formatCode="0.0_ "/>
  </numFmts>
  <fonts count="30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sz val="10.5"/>
      <name val="宋体"/>
      <charset val="134"/>
    </font>
    <font>
      <sz val="10.5"/>
      <color indexed="8"/>
      <name val="宋体"/>
      <charset val="134"/>
    </font>
    <font>
      <sz val="10.5"/>
      <color indexed="8"/>
      <name val="Times New Roman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2"/>
      <name val="宋体"/>
      <charset val="134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vertAlign val="subscript"/>
      <sz val="10.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6" borderId="3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0" fillId="5" borderId="31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18" fillId="0" borderId="33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5" fillId="0" borderId="37" applyNumberFormat="0" applyFill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0" fillId="4" borderId="30" applyNumberFormat="0" applyAlignment="0" applyProtection="0">
      <alignment vertical="center"/>
    </xf>
    <xf numFmtId="0" fontId="17" fillId="4" borderId="32" applyNumberFormat="0" applyAlignment="0" applyProtection="0">
      <alignment vertical="center"/>
    </xf>
    <xf numFmtId="0" fontId="27" fillId="28" borderId="36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19" fillId="0" borderId="34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1" fillId="0" borderId="0"/>
    <xf numFmtId="0" fontId="9" fillId="1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</cellStyleXfs>
  <cellXfs count="105">
    <xf numFmtId="0" fontId="0" fillId="0" borderId="0" xfId="0">
      <alignment vertical="center"/>
    </xf>
    <xf numFmtId="0" fontId="0" fillId="0" borderId="0" xfId="54" applyFont="1" applyBorder="1" applyAlignment="1" applyProtection="1">
      <alignment horizontal="center" vertical="center" wrapText="1"/>
      <protection hidden="1"/>
    </xf>
    <xf numFmtId="0" fontId="1" fillId="0" borderId="0" xfId="54" applyFont="1" applyAlignment="1" applyProtection="1">
      <alignment horizontal="center" vertical="center" wrapText="1"/>
      <protection hidden="1"/>
    </xf>
    <xf numFmtId="0" fontId="2" fillId="0" borderId="1" xfId="54" applyNumberFormat="1" applyFont="1" applyFill="1" applyBorder="1" applyAlignment="1" applyProtection="1">
      <alignment vertical="center"/>
      <protection hidden="1"/>
    </xf>
    <xf numFmtId="0" fontId="3" fillId="0" borderId="1" xfId="54" applyNumberFormat="1" applyFont="1" applyFill="1" applyBorder="1" applyAlignment="1" applyProtection="1">
      <alignment horizontal="left" vertical="center" wrapText="1"/>
      <protection hidden="1"/>
    </xf>
    <xf numFmtId="0" fontId="4" fillId="0" borderId="2" xfId="54" applyFont="1" applyFill="1" applyBorder="1" applyAlignment="1" applyProtection="1">
      <alignment horizontal="center" vertical="center" wrapText="1"/>
      <protection hidden="1"/>
    </xf>
    <xf numFmtId="0" fontId="5" fillId="0" borderId="3" xfId="54" applyFont="1" applyFill="1" applyBorder="1" applyAlignment="1" applyProtection="1">
      <alignment horizontal="center" vertical="center" wrapText="1"/>
      <protection locked="0"/>
    </xf>
    <xf numFmtId="0" fontId="4" fillId="0" borderId="3" xfId="54" applyFont="1" applyFill="1" applyBorder="1" applyAlignment="1" applyProtection="1">
      <alignment horizontal="center" vertical="center" wrapText="1"/>
      <protection hidden="1"/>
    </xf>
    <xf numFmtId="14" fontId="5" fillId="0" borderId="3" xfId="54" applyNumberFormat="1" applyFont="1" applyFill="1" applyBorder="1" applyAlignment="1" applyProtection="1">
      <alignment horizontal="center" vertical="center" wrapText="1"/>
      <protection locked="0"/>
    </xf>
    <xf numFmtId="0" fontId="4" fillId="0" borderId="4" xfId="54" applyFont="1" applyFill="1" applyBorder="1" applyAlignment="1" applyProtection="1">
      <alignment horizontal="center" vertical="center" wrapText="1"/>
      <protection hidden="1"/>
    </xf>
    <xf numFmtId="0" fontId="5" fillId="0" borderId="5" xfId="54" applyFont="1" applyFill="1" applyBorder="1" applyAlignment="1" applyProtection="1">
      <alignment horizontal="center" vertical="center" wrapText="1"/>
      <protection hidden="1"/>
    </xf>
    <xf numFmtId="0" fontId="6" fillId="0" borderId="5" xfId="54" applyFont="1" applyFill="1" applyBorder="1" applyAlignment="1" applyProtection="1">
      <alignment horizontal="center" vertical="center" wrapText="1"/>
      <protection hidden="1"/>
    </xf>
    <xf numFmtId="14" fontId="5" fillId="0" borderId="5" xfId="54" applyNumberFormat="1" applyFont="1" applyFill="1" applyBorder="1" applyAlignment="1" applyProtection="1">
      <alignment horizontal="center" vertical="center" wrapText="1"/>
      <protection locked="0"/>
    </xf>
    <xf numFmtId="0" fontId="4" fillId="0" borderId="6" xfId="54" applyFont="1" applyFill="1" applyBorder="1" applyAlignment="1" applyProtection="1">
      <alignment horizontal="center" vertical="center" wrapText="1"/>
      <protection hidden="1"/>
    </xf>
    <xf numFmtId="0" fontId="5" fillId="0" borderId="7" xfId="54" applyFont="1" applyFill="1" applyBorder="1" applyAlignment="1" applyProtection="1">
      <alignment horizontal="center" vertical="center" wrapText="1"/>
      <protection hidden="1"/>
    </xf>
    <xf numFmtId="0" fontId="6" fillId="0" borderId="7" xfId="54" applyFont="1" applyFill="1" applyBorder="1" applyAlignment="1" applyProtection="1">
      <alignment horizontal="center" vertical="center" wrapText="1"/>
      <protection hidden="1"/>
    </xf>
    <xf numFmtId="14" fontId="5" fillId="0" borderId="7" xfId="54" applyNumberFormat="1" applyFont="1" applyFill="1" applyBorder="1" applyAlignment="1" applyProtection="1">
      <alignment horizontal="center" vertical="center" wrapText="1"/>
      <protection locked="0"/>
    </xf>
    <xf numFmtId="0" fontId="4" fillId="0" borderId="8" xfId="54" applyFont="1" applyFill="1" applyBorder="1" applyAlignment="1" applyProtection="1">
      <alignment horizontal="center" vertical="center" wrapText="1"/>
      <protection hidden="1"/>
    </xf>
    <xf numFmtId="0" fontId="5" fillId="0" borderId="9" xfId="54" applyFont="1" applyFill="1" applyBorder="1" applyAlignment="1" applyProtection="1">
      <alignment horizontal="center" vertical="center" wrapText="1"/>
      <protection hidden="1"/>
    </xf>
    <xf numFmtId="0" fontId="5" fillId="0" borderId="10" xfId="54" applyFont="1" applyFill="1" applyBorder="1" applyAlignment="1" applyProtection="1">
      <alignment horizontal="center" vertical="center" wrapText="1"/>
      <protection hidden="1"/>
    </xf>
    <xf numFmtId="0" fontId="5" fillId="0" borderId="11" xfId="54" applyFont="1" applyFill="1" applyBorder="1" applyAlignment="1" applyProtection="1">
      <alignment horizontal="center" vertical="center" wrapText="1"/>
      <protection hidden="1"/>
    </xf>
    <xf numFmtId="0" fontId="6" fillId="0" borderId="12" xfId="54" applyFont="1" applyFill="1" applyBorder="1" applyAlignment="1" applyProtection="1">
      <alignment horizontal="center" vertical="center" wrapText="1"/>
      <protection hidden="1"/>
    </xf>
    <xf numFmtId="14" fontId="4" fillId="0" borderId="12" xfId="54" applyNumberFormat="1" applyFont="1" applyFill="1" applyBorder="1" applyAlignment="1" applyProtection="1">
      <alignment horizontal="center" vertical="center" wrapText="1"/>
      <protection hidden="1"/>
    </xf>
    <xf numFmtId="0" fontId="7" fillId="0" borderId="9" xfId="54" applyFont="1" applyFill="1" applyBorder="1" applyAlignment="1" applyProtection="1">
      <alignment horizontal="center" vertical="center" wrapText="1"/>
      <protection hidden="1"/>
    </xf>
    <xf numFmtId="0" fontId="7" fillId="0" borderId="10" xfId="54" applyFont="1" applyFill="1" applyBorder="1" applyAlignment="1" applyProtection="1">
      <alignment horizontal="center" vertical="center" wrapText="1"/>
      <protection hidden="1"/>
    </xf>
    <xf numFmtId="0" fontId="6" fillId="0" borderId="8" xfId="54" applyFont="1" applyFill="1" applyBorder="1" applyAlignment="1" applyProtection="1">
      <alignment horizontal="center" vertical="center" wrapText="1"/>
      <protection hidden="1"/>
    </xf>
    <xf numFmtId="0" fontId="6" fillId="0" borderId="10" xfId="54" applyFont="1" applyFill="1" applyBorder="1" applyAlignment="1" applyProtection="1">
      <alignment horizontal="center" vertical="center" wrapText="1"/>
      <protection hidden="1"/>
    </xf>
    <xf numFmtId="0" fontId="6" fillId="0" borderId="12" xfId="54" applyNumberFormat="1" applyFont="1" applyBorder="1" applyAlignment="1" applyProtection="1">
      <alignment horizontal="center" vertical="center" shrinkToFit="1"/>
      <protection hidden="1"/>
    </xf>
    <xf numFmtId="176" fontId="6" fillId="0" borderId="12" xfId="54" applyNumberFormat="1" applyFont="1" applyBorder="1" applyAlignment="1" applyProtection="1">
      <alignment horizontal="center" vertical="center" wrapText="1"/>
      <protection hidden="1"/>
    </xf>
    <xf numFmtId="0" fontId="6" fillId="0" borderId="12" xfId="54" applyNumberFormat="1" applyFont="1" applyFill="1" applyBorder="1" applyAlignment="1" applyProtection="1">
      <alignment horizontal="center" vertical="center" shrinkToFit="1"/>
      <protection hidden="1"/>
    </xf>
    <xf numFmtId="0" fontId="6" fillId="0" borderId="9" xfId="54" applyFont="1" applyBorder="1" applyAlignment="1" applyProtection="1">
      <alignment horizontal="center" vertical="center" wrapText="1"/>
      <protection hidden="1"/>
    </xf>
    <xf numFmtId="0" fontId="6" fillId="0" borderId="10" xfId="54" applyFont="1" applyBorder="1" applyAlignment="1" applyProtection="1">
      <alignment horizontal="center" vertical="center" wrapText="1"/>
      <protection hidden="1"/>
    </xf>
    <xf numFmtId="0" fontId="6" fillId="0" borderId="8" xfId="54" applyNumberFormat="1" applyFont="1" applyFill="1" applyBorder="1" applyAlignment="1" applyProtection="1">
      <alignment horizontal="center" vertical="center" shrinkToFit="1"/>
      <protection hidden="1"/>
    </xf>
    <xf numFmtId="0" fontId="6" fillId="0" borderId="10" xfId="54" applyNumberFormat="1" applyFont="1" applyFill="1" applyBorder="1" applyAlignment="1" applyProtection="1">
      <alignment horizontal="center" vertical="center" shrinkToFit="1"/>
      <protection hidden="1"/>
    </xf>
    <xf numFmtId="0" fontId="6" fillId="0" borderId="9" xfId="54" applyFont="1" applyFill="1" applyBorder="1" applyAlignment="1" applyProtection="1">
      <alignment horizontal="center" vertical="center" wrapText="1"/>
      <protection hidden="1"/>
    </xf>
    <xf numFmtId="179" fontId="6" fillId="0" borderId="12" xfId="54" applyNumberFormat="1" applyFont="1" applyFill="1" applyBorder="1" applyAlignment="1" applyProtection="1">
      <alignment horizontal="center" vertical="center" wrapText="1"/>
      <protection hidden="1"/>
    </xf>
    <xf numFmtId="179" fontId="6" fillId="0" borderId="9" xfId="54" applyNumberFormat="1" applyFont="1" applyFill="1" applyBorder="1" applyAlignment="1" applyProtection="1">
      <alignment horizontal="center" vertical="center" wrapText="1"/>
      <protection hidden="1"/>
    </xf>
    <xf numFmtId="179" fontId="6" fillId="0" borderId="10" xfId="54" applyNumberFormat="1" applyFont="1" applyFill="1" applyBorder="1" applyAlignment="1" applyProtection="1">
      <alignment horizontal="center" vertical="center" wrapText="1"/>
      <protection hidden="1"/>
    </xf>
    <xf numFmtId="180" fontId="6" fillId="0" borderId="12" xfId="54" applyNumberFormat="1" applyFont="1" applyFill="1" applyBorder="1" applyAlignment="1" applyProtection="1">
      <alignment horizontal="center" vertical="center" wrapText="1"/>
      <protection hidden="1"/>
    </xf>
    <xf numFmtId="180" fontId="6" fillId="0" borderId="9" xfId="54" applyNumberFormat="1" applyFont="1" applyFill="1" applyBorder="1" applyAlignment="1" applyProtection="1">
      <alignment horizontal="center" vertical="center" wrapText="1"/>
      <protection hidden="1"/>
    </xf>
    <xf numFmtId="180" fontId="6" fillId="0" borderId="10" xfId="54" applyNumberFormat="1" applyFont="1" applyFill="1" applyBorder="1" applyAlignment="1" applyProtection="1">
      <alignment horizontal="center" vertical="center" wrapText="1"/>
      <protection hidden="1"/>
    </xf>
    <xf numFmtId="0" fontId="6" fillId="0" borderId="6" xfId="54" applyFont="1" applyBorder="1" applyAlignment="1" applyProtection="1">
      <alignment horizontal="center" vertical="center" wrapText="1"/>
      <protection hidden="1"/>
    </xf>
    <xf numFmtId="0" fontId="6" fillId="0" borderId="7" xfId="54" applyFont="1" applyBorder="1" applyAlignment="1" applyProtection="1">
      <alignment horizontal="center" vertical="center" wrapText="1"/>
      <protection hidden="1"/>
    </xf>
    <xf numFmtId="176" fontId="6" fillId="0" borderId="7" xfId="54" applyNumberFormat="1" applyFont="1" applyBorder="1" applyAlignment="1" applyProtection="1">
      <alignment horizontal="center" vertical="center" wrapText="1"/>
      <protection hidden="1"/>
    </xf>
    <xf numFmtId="0" fontId="6" fillId="0" borderId="13" xfId="54" applyFont="1" applyBorder="1" applyAlignment="1" applyProtection="1">
      <alignment horizontal="center" vertical="center" wrapText="1"/>
      <protection hidden="1"/>
    </xf>
    <xf numFmtId="0" fontId="6" fillId="0" borderId="14" xfId="54" applyFont="1" applyBorder="1" applyAlignment="1" applyProtection="1">
      <alignment horizontal="center" vertical="center" wrapText="1"/>
      <protection hidden="1"/>
    </xf>
    <xf numFmtId="0" fontId="6" fillId="0" borderId="15" xfId="54" applyFont="1" applyBorder="1" applyAlignment="1" applyProtection="1">
      <alignment horizontal="center" vertical="center" wrapText="1"/>
      <protection hidden="1"/>
    </xf>
    <xf numFmtId="0" fontId="6" fillId="0" borderId="5" xfId="54" applyFont="1" applyBorder="1" applyAlignment="1" applyProtection="1">
      <alignment horizontal="center" vertical="center" wrapText="1"/>
      <protection hidden="1"/>
    </xf>
    <xf numFmtId="180" fontId="6" fillId="0" borderId="5" xfId="54" applyNumberFormat="1" applyFont="1" applyBorder="1" applyAlignment="1" applyProtection="1">
      <alignment horizontal="center" vertical="center" wrapText="1"/>
      <protection hidden="1"/>
    </xf>
    <xf numFmtId="0" fontId="6" fillId="0" borderId="16" xfId="54" applyFont="1" applyBorder="1" applyAlignment="1" applyProtection="1">
      <alignment horizontal="center" vertical="center" wrapText="1"/>
      <protection hidden="1"/>
    </xf>
    <xf numFmtId="0" fontId="6" fillId="0" borderId="17" xfId="54" applyFont="1" applyBorder="1" applyAlignment="1" applyProtection="1">
      <alignment horizontal="center" vertical="center" wrapText="1"/>
      <protection hidden="1"/>
    </xf>
    <xf numFmtId="0" fontId="6" fillId="0" borderId="8" xfId="54" applyFont="1" applyBorder="1" applyAlignment="1" applyProtection="1">
      <alignment horizontal="center" vertical="center"/>
      <protection hidden="1"/>
    </xf>
    <xf numFmtId="178" fontId="6" fillId="0" borderId="12" xfId="54" applyNumberFormat="1" applyFont="1" applyFill="1" applyBorder="1" applyAlignment="1" applyProtection="1">
      <alignment horizontal="center" vertical="center"/>
      <protection hidden="1"/>
    </xf>
    <xf numFmtId="180" fontId="6" fillId="0" borderId="12" xfId="54" applyNumberFormat="1" applyFont="1" applyBorder="1" applyAlignment="1" applyProtection="1">
      <alignment horizontal="center" vertical="center"/>
      <protection hidden="1"/>
    </xf>
    <xf numFmtId="178" fontId="7" fillId="0" borderId="12" xfId="54" applyNumberFormat="1" applyFont="1" applyFill="1" applyBorder="1" applyAlignment="1" applyProtection="1">
      <alignment horizontal="center" vertical="center"/>
      <protection hidden="1"/>
    </xf>
    <xf numFmtId="180" fontId="6" fillId="0" borderId="9" xfId="54" applyNumberFormat="1" applyFont="1" applyBorder="1" applyAlignment="1" applyProtection="1">
      <alignment horizontal="center" vertical="center"/>
      <protection hidden="1"/>
    </xf>
    <xf numFmtId="180" fontId="6" fillId="0" borderId="11" xfId="54" applyNumberFormat="1" applyFont="1" applyBorder="1" applyAlignment="1" applyProtection="1">
      <alignment horizontal="center" vertical="center"/>
      <protection hidden="1"/>
    </xf>
    <xf numFmtId="178" fontId="6" fillId="0" borderId="12" xfId="54" applyNumberFormat="1" applyFont="1" applyBorder="1" applyAlignment="1">
      <alignment horizontal="center" vertical="center" wrapText="1"/>
    </xf>
    <xf numFmtId="0" fontId="8" fillId="0" borderId="8" xfId="54" applyFont="1" applyBorder="1" applyAlignment="1" applyProtection="1">
      <alignment horizontal="center" vertical="center"/>
      <protection hidden="1"/>
    </xf>
    <xf numFmtId="178" fontId="6" fillId="0" borderId="12" xfId="54" applyNumberFormat="1" applyFont="1" applyFill="1" applyBorder="1" applyAlignment="1" applyProtection="1">
      <alignment horizontal="center" vertical="center"/>
      <protection locked="0"/>
    </xf>
    <xf numFmtId="0" fontId="6" fillId="0" borderId="6" xfId="54" applyFont="1" applyBorder="1" applyAlignment="1" applyProtection="1">
      <alignment horizontal="center" vertical="center"/>
      <protection hidden="1"/>
    </xf>
    <xf numFmtId="0" fontId="6" fillId="0" borderId="8" xfId="54" applyFont="1" applyBorder="1" applyAlignment="1" applyProtection="1">
      <alignment horizontal="center" vertical="center" wrapText="1"/>
      <protection hidden="1"/>
    </xf>
    <xf numFmtId="0" fontId="6" fillId="0" borderId="11" xfId="54" applyFont="1" applyBorder="1" applyAlignment="1" applyProtection="1">
      <alignment horizontal="center" vertical="center" wrapText="1"/>
      <protection hidden="1"/>
    </xf>
    <xf numFmtId="180" fontId="6" fillId="0" borderId="12" xfId="54" applyNumberFormat="1" applyFont="1" applyBorder="1" applyAlignment="1" applyProtection="1">
      <alignment horizontal="center" vertical="center" wrapText="1"/>
      <protection hidden="1"/>
    </xf>
    <xf numFmtId="0" fontId="6" fillId="0" borderId="11" xfId="54" applyFont="1" applyBorder="1" applyAlignment="1" applyProtection="1">
      <alignment horizontal="center" vertical="center"/>
      <protection hidden="1"/>
    </xf>
    <xf numFmtId="0" fontId="6" fillId="0" borderId="12" xfId="54" applyFont="1" applyBorder="1" applyAlignment="1" applyProtection="1">
      <alignment horizontal="center" vertical="center" wrapText="1"/>
      <protection hidden="1"/>
    </xf>
    <xf numFmtId="0" fontId="6" fillId="0" borderId="18" xfId="54" applyFont="1" applyBorder="1" applyAlignment="1" applyProtection="1">
      <alignment horizontal="left" vertical="top" wrapText="1"/>
      <protection hidden="1"/>
    </xf>
    <xf numFmtId="0" fontId="6" fillId="0" borderId="19" xfId="54" applyFont="1" applyBorder="1" applyAlignment="1" applyProtection="1">
      <alignment horizontal="left" vertical="top" wrapText="1"/>
      <protection hidden="1"/>
    </xf>
    <xf numFmtId="0" fontId="0" fillId="0" borderId="0" xfId="54" applyFont="1" applyBorder="1" applyAlignment="1" applyProtection="1">
      <alignment horizontal="left" vertical="center" wrapText="1"/>
      <protection hidden="1"/>
    </xf>
    <xf numFmtId="0" fontId="0" fillId="0" borderId="0" xfId="54" applyFont="1" applyAlignment="1" applyProtection="1">
      <alignment horizontal="center" vertical="center" wrapText="1"/>
      <protection hidden="1"/>
    </xf>
    <xf numFmtId="0" fontId="3" fillId="0" borderId="1" xfId="54" applyNumberFormat="1" applyFont="1" applyFill="1" applyBorder="1" applyAlignment="1" applyProtection="1">
      <alignment vertical="center"/>
      <protection hidden="1"/>
    </xf>
    <xf numFmtId="0" fontId="0" fillId="0" borderId="0" xfId="54" applyFont="1" applyBorder="1" applyAlignment="1" applyProtection="1">
      <alignment vertical="center" wrapText="1"/>
      <protection hidden="1"/>
    </xf>
    <xf numFmtId="14" fontId="5" fillId="0" borderId="20" xfId="54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54" applyFont="1" applyBorder="1" applyAlignment="1" applyProtection="1">
      <alignment horizontal="center" vertical="center" wrapText="1"/>
      <protection hidden="1"/>
    </xf>
    <xf numFmtId="14" fontId="5" fillId="0" borderId="16" xfId="54" applyNumberFormat="1" applyFont="1" applyFill="1" applyBorder="1" applyAlignment="1" applyProtection="1">
      <alignment horizontal="center" vertical="center" wrapText="1"/>
      <protection locked="0"/>
    </xf>
    <xf numFmtId="14" fontId="5" fillId="0" borderId="21" xfId="54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54" applyFont="1" applyAlignment="1" applyProtection="1">
      <alignment horizontal="center" vertical="center" wrapText="1"/>
      <protection hidden="1"/>
    </xf>
    <xf numFmtId="0" fontId="5" fillId="0" borderId="7" xfId="54" applyFont="1" applyFill="1" applyBorder="1" applyAlignment="1" applyProtection="1">
      <alignment horizontal="center" vertical="center" wrapText="1"/>
      <protection locked="0"/>
    </xf>
    <xf numFmtId="0" fontId="5" fillId="0" borderId="13" xfId="54" applyFont="1" applyFill="1" applyBorder="1" applyAlignment="1" applyProtection="1">
      <alignment horizontal="center" vertical="center" wrapText="1"/>
      <protection locked="0"/>
    </xf>
    <xf numFmtId="0" fontId="5" fillId="0" borderId="22" xfId="54" applyFont="1" applyFill="1" applyBorder="1" applyAlignment="1" applyProtection="1">
      <alignment horizontal="center" vertical="center" wrapText="1"/>
      <protection locked="0"/>
    </xf>
    <xf numFmtId="0" fontId="4" fillId="0" borderId="12" xfId="54" applyFont="1" applyFill="1" applyBorder="1" applyAlignment="1" applyProtection="1">
      <alignment horizontal="center" vertical="center" wrapText="1"/>
      <protection hidden="1"/>
    </xf>
    <xf numFmtId="0" fontId="4" fillId="0" borderId="9" xfId="54" applyFont="1" applyFill="1" applyBorder="1" applyAlignment="1" applyProtection="1">
      <alignment horizontal="center" vertical="center" wrapText="1"/>
      <protection hidden="1"/>
    </xf>
    <xf numFmtId="0" fontId="4" fillId="0" borderId="22" xfId="54" applyFont="1" applyFill="1" applyBorder="1" applyAlignment="1" applyProtection="1">
      <alignment horizontal="center" vertical="center" wrapText="1"/>
      <protection hidden="1"/>
    </xf>
    <xf numFmtId="0" fontId="7" fillId="0" borderId="23" xfId="54" applyFont="1" applyFill="1" applyBorder="1" applyAlignment="1" applyProtection="1">
      <alignment horizontal="center" vertical="center" wrapText="1"/>
      <protection hidden="1"/>
    </xf>
    <xf numFmtId="0" fontId="6" fillId="0" borderId="13" xfId="54" applyFont="1" applyFill="1" applyBorder="1" applyAlignment="1" applyProtection="1">
      <alignment horizontal="center" vertical="center" wrapText="1"/>
      <protection hidden="1"/>
    </xf>
    <xf numFmtId="0" fontId="6" fillId="0" borderId="24" xfId="54" applyFont="1" applyFill="1" applyBorder="1" applyAlignment="1" applyProtection="1">
      <alignment horizontal="center" vertical="center" wrapText="1"/>
      <protection hidden="1"/>
    </xf>
    <xf numFmtId="0" fontId="6" fillId="0" borderId="11" xfId="54" applyFont="1" applyFill="1" applyBorder="1" applyAlignment="1" applyProtection="1">
      <alignment horizontal="center" vertical="center" wrapText="1"/>
      <protection hidden="1"/>
    </xf>
    <xf numFmtId="0" fontId="6" fillId="0" borderId="25" xfId="54" applyFont="1" applyFill="1" applyBorder="1" applyAlignment="1" applyProtection="1">
      <alignment horizontal="center" vertical="center" wrapText="1"/>
      <protection hidden="1"/>
    </xf>
    <xf numFmtId="0" fontId="6" fillId="0" borderId="26" xfId="54" applyFont="1" applyFill="1" applyBorder="1" applyAlignment="1" applyProtection="1">
      <alignment horizontal="center" vertical="center" wrapText="1"/>
      <protection hidden="1"/>
    </xf>
    <xf numFmtId="179" fontId="6" fillId="0" borderId="11" xfId="54" applyNumberFormat="1" applyFont="1" applyFill="1" applyBorder="1" applyAlignment="1" applyProtection="1">
      <alignment horizontal="center" vertical="center" wrapText="1"/>
      <protection hidden="1"/>
    </xf>
    <xf numFmtId="179" fontId="6" fillId="0" borderId="22" xfId="54" applyNumberFormat="1" applyFont="1" applyFill="1" applyBorder="1" applyAlignment="1" applyProtection="1">
      <alignment horizontal="center" vertical="center" wrapText="1"/>
      <protection hidden="1"/>
    </xf>
    <xf numFmtId="0" fontId="6" fillId="0" borderId="27" xfId="54" applyFont="1" applyBorder="1" applyAlignment="1" applyProtection="1">
      <alignment horizontal="center" vertical="center" wrapText="1"/>
      <protection hidden="1"/>
    </xf>
    <xf numFmtId="0" fontId="6" fillId="0" borderId="21" xfId="54" applyFont="1" applyBorder="1" applyAlignment="1" applyProtection="1">
      <alignment horizontal="center" vertical="center" wrapText="1"/>
      <protection hidden="1"/>
    </xf>
    <xf numFmtId="180" fontId="6" fillId="0" borderId="22" xfId="54" applyNumberFormat="1" applyFont="1" applyBorder="1" applyAlignment="1" applyProtection="1">
      <alignment horizontal="center" vertical="center" wrapText="1"/>
      <protection hidden="1"/>
    </xf>
    <xf numFmtId="176" fontId="6" fillId="0" borderId="22" xfId="54" applyNumberFormat="1" applyFont="1" applyBorder="1" applyAlignment="1" applyProtection="1">
      <alignment horizontal="center" vertical="center" wrapText="1"/>
      <protection hidden="1"/>
    </xf>
    <xf numFmtId="179" fontId="3" fillId="0" borderId="0" xfId="54" applyNumberFormat="1" applyFont="1" applyBorder="1" applyAlignment="1" applyProtection="1">
      <alignment horizontal="center" vertical="center" wrapText="1"/>
      <protection hidden="1"/>
    </xf>
    <xf numFmtId="180" fontId="3" fillId="0" borderId="0" xfId="54" applyNumberFormat="1" applyFont="1" applyBorder="1" applyAlignment="1" applyProtection="1">
      <alignment horizontal="center" vertical="center" wrapText="1"/>
      <protection hidden="1"/>
    </xf>
    <xf numFmtId="180" fontId="3" fillId="0" borderId="0" xfId="54" applyNumberFormat="1" applyFont="1" applyAlignment="1" applyProtection="1">
      <alignment horizontal="center" vertical="center" wrapText="1"/>
      <protection hidden="1"/>
    </xf>
    <xf numFmtId="49" fontId="6" fillId="0" borderId="22" xfId="54" applyNumberFormat="1" applyFont="1" applyBorder="1" applyAlignment="1" applyProtection="1">
      <alignment horizontal="center" vertical="center" wrapText="1"/>
      <protection hidden="1"/>
    </xf>
    <xf numFmtId="180" fontId="6" fillId="0" borderId="9" xfId="54" applyNumberFormat="1" applyFont="1" applyBorder="1" applyAlignment="1" applyProtection="1">
      <alignment horizontal="center" vertical="center" wrapText="1"/>
      <protection hidden="1"/>
    </xf>
    <xf numFmtId="0" fontId="6" fillId="0" borderId="22" xfId="54" applyFont="1" applyBorder="1" applyAlignment="1" applyProtection="1">
      <alignment horizontal="center" vertical="center"/>
      <protection hidden="1"/>
    </xf>
    <xf numFmtId="0" fontId="3" fillId="0" borderId="0" xfId="54" applyFont="1" applyBorder="1" applyAlignment="1" applyProtection="1">
      <alignment vertical="center" wrapText="1"/>
      <protection hidden="1"/>
    </xf>
    <xf numFmtId="0" fontId="6" fillId="0" borderId="28" xfId="54" applyFont="1" applyBorder="1" applyAlignment="1" applyProtection="1">
      <alignment horizontal="left" vertical="top" wrapText="1"/>
      <protection hidden="1"/>
    </xf>
    <xf numFmtId="0" fontId="6" fillId="0" borderId="29" xfId="54" applyFont="1" applyBorder="1" applyAlignment="1" applyProtection="1">
      <alignment horizontal="left" vertical="top" wrapText="1"/>
      <protection hidden="1"/>
    </xf>
    <xf numFmtId="0" fontId="6" fillId="0" borderId="0" xfId="54" applyFont="1" applyAlignment="1" applyProtection="1">
      <alignment horizontal="center" vertical="center" wrapText="1"/>
      <protection hidden="1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Euro" xfId="12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  <cellStyle name="常规 3" xfId="52"/>
    <cellStyle name="常规 4" xfId="53"/>
    <cellStyle name="常规_水泥稳定碎石材料0001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Administrator\&#26700;&#38754;\&#26032;&#24314;&#25991;&#20214;&#22841;%20(2)\&#25292;&#21512;&#31449;&#21407;&#26448;&#65288;&#30446;&#21069;&#20351;&#29992;&#65289;\Documents%20and%20Settings\Owner\&#26700;&#38754;\&#36164;&#26009;\&#26032;&#34920;&#26684;\A&#25292;&#21512;&#31449;&#31895;&#38598;&#26009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32;&#24314;&#25991;&#20214;&#22841;\&#20108;&#26399;&#37197;&#21512;&#27604;\&#20108;&#26399;&#37197;&#21512;&#27604;\&#22443;&#23618;&#23436;&#2597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设计说明"/>
      <sheetName val="打印"/>
      <sheetName val="台帐"/>
      <sheetName val="资料信息填写"/>
      <sheetName val="数据存底"/>
      <sheetName val="粗数据随机"/>
      <sheetName val="(碎石引用数据)"/>
      <sheetName val="报验单"/>
      <sheetName val="委托单"/>
      <sheetName val="粗骨料"/>
      <sheetName val="记录1-1"/>
      <sheetName val="记录1-2"/>
      <sheetName val="记录1-3"/>
      <sheetName val="记录2"/>
      <sheetName val="委托单新"/>
      <sheetName val="报告"/>
      <sheetName val="记录1"/>
      <sheetName val="记录A2"/>
      <sheetName val="记录3"/>
      <sheetName val="记录A2 (2)"/>
      <sheetName val="记录3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报告"/>
      <sheetName val="合成筛分 (2)"/>
      <sheetName val="掺配图"/>
      <sheetName val="掺配图 (2)"/>
      <sheetName val="掺配图 (3)"/>
      <sheetName val="击实1"/>
      <sheetName val="击实2"/>
    </sheetNames>
    <sheetDataSet>
      <sheetData sheetId="0">
        <row r="4">
          <cell r="E4" t="str">
            <v>中交三公局（北京）工程试验检测有限公司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tabSelected="1" workbookViewId="0">
      <selection activeCell="T3" sqref="T3"/>
    </sheetView>
  </sheetViews>
  <sheetFormatPr defaultColWidth="9" defaultRowHeight="14.4"/>
  <cols>
    <col min="1" max="1" width="15.5" style="1" customWidth="1"/>
    <col min="2" max="6" width="6.62962962962963" style="1" customWidth="1"/>
    <col min="7" max="8" width="3.87962962962963" style="1" customWidth="1"/>
    <col min="9" max="12" width="7.12962962962963" style="1" customWidth="1"/>
    <col min="13" max="13" width="6.75" style="1" customWidth="1"/>
    <col min="14" max="14" width="7.37962962962963" style="1" customWidth="1"/>
    <col min="15" max="15" width="6.62962962962963" style="1" customWidth="1"/>
    <col min="16" max="16" width="7.37962962962963" style="1" customWidth="1"/>
    <col min="17" max="20" width="6.62962962962963" style="1" customWidth="1"/>
    <col min="21" max="21" width="7.37962962962963" style="1" customWidth="1"/>
    <col min="22" max="28" width="6.62962962962963" style="1" customWidth="1"/>
    <col min="29" max="16384" width="9" style="1"/>
  </cols>
  <sheetData>
    <row r="1" ht="46.5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69"/>
    </row>
    <row r="2" ht="39.75" customHeight="1" spans="1:13">
      <c r="A2" s="3" t="s">
        <v>1</v>
      </c>
      <c r="B2" s="4" t="s">
        <v>2</v>
      </c>
      <c r="C2" s="4"/>
      <c r="D2" s="4"/>
      <c r="E2" s="4"/>
      <c r="F2" s="4"/>
      <c r="G2" s="4"/>
      <c r="H2" s="3" t="s">
        <v>3</v>
      </c>
      <c r="I2" s="3"/>
      <c r="J2" s="70"/>
      <c r="K2" s="70"/>
      <c r="L2" s="70"/>
      <c r="M2" s="71"/>
    </row>
    <row r="3" ht="27" customHeight="1" spans="1:13">
      <c r="A3" s="5" t="s">
        <v>4</v>
      </c>
      <c r="B3" s="6" t="str">
        <f>[2]报告!E4</f>
        <v>中交三公局（北京）工程试验检测有限公司</v>
      </c>
      <c r="C3" s="6"/>
      <c r="D3" s="6"/>
      <c r="E3" s="6"/>
      <c r="F3" s="7" t="s">
        <v>5</v>
      </c>
      <c r="G3" s="7"/>
      <c r="H3" s="8"/>
      <c r="I3" s="8"/>
      <c r="J3" s="8"/>
      <c r="K3" s="8"/>
      <c r="L3" s="72"/>
      <c r="M3" s="73"/>
    </row>
    <row r="4" ht="24" customHeight="1" spans="1:13">
      <c r="A4" s="9" t="s">
        <v>6</v>
      </c>
      <c r="B4" s="10"/>
      <c r="C4" s="10"/>
      <c r="D4" s="10"/>
      <c r="E4" s="10"/>
      <c r="F4" s="11" t="s">
        <v>7</v>
      </c>
      <c r="G4" s="11"/>
      <c r="H4" s="12"/>
      <c r="I4" s="12"/>
      <c r="J4" s="12"/>
      <c r="K4" s="74"/>
      <c r="L4" s="75"/>
      <c r="M4" s="76"/>
    </row>
    <row r="5" ht="24" customHeight="1" spans="1:13">
      <c r="A5" s="13" t="s">
        <v>8</v>
      </c>
      <c r="B5" s="14"/>
      <c r="C5" s="14"/>
      <c r="D5" s="14"/>
      <c r="E5" s="14"/>
      <c r="F5" s="15" t="s">
        <v>9</v>
      </c>
      <c r="G5" s="15"/>
      <c r="H5" s="16"/>
      <c r="I5" s="77"/>
      <c r="J5" s="77"/>
      <c r="K5" s="78"/>
      <c r="L5" s="79"/>
      <c r="M5" s="76"/>
    </row>
    <row r="6" ht="24" customHeight="1" spans="1:13">
      <c r="A6" s="17" t="s">
        <v>10</v>
      </c>
      <c r="B6" s="18"/>
      <c r="C6" s="19"/>
      <c r="D6" s="19"/>
      <c r="E6" s="20"/>
      <c r="F6" s="21" t="s">
        <v>11</v>
      </c>
      <c r="G6" s="21"/>
      <c r="H6" s="22"/>
      <c r="I6" s="80"/>
      <c r="J6" s="80"/>
      <c r="K6" s="81"/>
      <c r="L6" s="82"/>
      <c r="M6" s="76"/>
    </row>
    <row r="7" ht="36.75" customHeight="1" spans="1:13">
      <c r="A7" s="17" t="s">
        <v>12</v>
      </c>
      <c r="B7" s="23"/>
      <c r="C7" s="24"/>
      <c r="D7" s="24"/>
      <c r="E7" s="24"/>
      <c r="F7" s="24"/>
      <c r="G7" s="24"/>
      <c r="H7" s="24"/>
      <c r="I7" s="24"/>
      <c r="J7" s="24"/>
      <c r="K7" s="24"/>
      <c r="L7" s="83"/>
      <c r="M7" s="76"/>
    </row>
    <row r="8" ht="20.1" customHeight="1" spans="1:15">
      <c r="A8" s="25" t="s">
        <v>13</v>
      </c>
      <c r="B8" s="26"/>
      <c r="C8" s="27" t="s">
        <v>14</v>
      </c>
      <c r="D8" s="28">
        <v>6000</v>
      </c>
      <c r="E8" s="28"/>
      <c r="F8" s="29" t="s">
        <v>15</v>
      </c>
      <c r="G8" s="30">
        <v>6000</v>
      </c>
      <c r="H8" s="31"/>
      <c r="I8" s="31"/>
      <c r="J8" s="62"/>
      <c r="K8" s="84" t="s">
        <v>16</v>
      </c>
      <c r="L8" s="85"/>
      <c r="M8" s="76"/>
      <c r="N8" s="1">
        <f ca="1">ROUND((RAND()*3+1),1)</f>
        <v>3.8</v>
      </c>
      <c r="O8" s="1">
        <f ca="1">ROUND((RAND()*3+1),1)</f>
        <v>1.2</v>
      </c>
    </row>
    <row r="9" ht="20.1" customHeight="1" spans="1:15">
      <c r="A9" s="32" t="s">
        <v>17</v>
      </c>
      <c r="B9" s="33"/>
      <c r="C9" s="21">
        <v>5852</v>
      </c>
      <c r="D9" s="21"/>
      <c r="E9" s="21"/>
      <c r="F9" s="34">
        <v>5865</v>
      </c>
      <c r="G9" s="26"/>
      <c r="H9" s="26"/>
      <c r="I9" s="26"/>
      <c r="J9" s="86"/>
      <c r="K9" s="87"/>
      <c r="L9" s="88"/>
      <c r="M9" s="76"/>
      <c r="N9" s="1">
        <f ca="1">C9-N8</f>
        <v>5848.2</v>
      </c>
      <c r="O9" s="1">
        <f ca="1">F9-O8</f>
        <v>5863.8</v>
      </c>
    </row>
    <row r="10" ht="20.1" customHeight="1" spans="1:13">
      <c r="A10" s="32" t="s">
        <v>18</v>
      </c>
      <c r="B10" s="33"/>
      <c r="C10" s="35">
        <v>148</v>
      </c>
      <c r="D10" s="35"/>
      <c r="E10" s="35"/>
      <c r="F10" s="36">
        <v>133</v>
      </c>
      <c r="G10" s="37"/>
      <c r="H10" s="37"/>
      <c r="I10" s="37"/>
      <c r="J10" s="89"/>
      <c r="K10" s="87"/>
      <c r="L10" s="88"/>
      <c r="M10" s="76" t="s">
        <v>19</v>
      </c>
    </row>
    <row r="11" ht="20.1" customHeight="1" spans="1:13">
      <c r="A11" s="32" t="s">
        <v>20</v>
      </c>
      <c r="B11" s="33"/>
      <c r="C11" s="38">
        <f>ROUND(C10*100/D8,1)</f>
        <v>2.5</v>
      </c>
      <c r="D11" s="38"/>
      <c r="E11" s="38"/>
      <c r="F11" s="39">
        <f>ROUND(F10*100/G8,1)</f>
        <v>2.2</v>
      </c>
      <c r="G11" s="40"/>
      <c r="H11" s="40"/>
      <c r="I11" s="40"/>
      <c r="J11" s="40"/>
      <c r="K11" s="35">
        <v>3.4</v>
      </c>
      <c r="L11" s="90"/>
      <c r="M11" s="76"/>
    </row>
    <row r="12" ht="15.75" customHeight="1" spans="1:13">
      <c r="A12" s="41" t="s">
        <v>21</v>
      </c>
      <c r="B12" s="42" t="s">
        <v>22</v>
      </c>
      <c r="C12" s="42" t="s">
        <v>23</v>
      </c>
      <c r="D12" s="42" t="s">
        <v>24</v>
      </c>
      <c r="E12" s="43" t="s">
        <v>25</v>
      </c>
      <c r="F12" s="42" t="s">
        <v>22</v>
      </c>
      <c r="G12" s="44" t="s">
        <v>23</v>
      </c>
      <c r="H12" s="45"/>
      <c r="I12" s="42" t="s">
        <v>24</v>
      </c>
      <c r="J12" s="42" t="s">
        <v>25</v>
      </c>
      <c r="K12" s="91" t="s">
        <v>26</v>
      </c>
      <c r="L12" s="91" t="s">
        <v>27</v>
      </c>
      <c r="M12" s="73"/>
    </row>
    <row r="13" ht="21.75" customHeight="1" spans="1:27">
      <c r="A13" s="46"/>
      <c r="B13" s="47"/>
      <c r="C13" s="47"/>
      <c r="D13" s="47"/>
      <c r="E13" s="48"/>
      <c r="F13" s="47"/>
      <c r="G13" s="49"/>
      <c r="H13" s="50"/>
      <c r="I13" s="47"/>
      <c r="J13" s="47"/>
      <c r="K13" s="92"/>
      <c r="L13" s="92"/>
      <c r="M13" s="73"/>
      <c r="N13" s="73" t="s">
        <v>28</v>
      </c>
      <c r="O13" s="73" t="s">
        <v>29</v>
      </c>
      <c r="P13" s="73" t="s">
        <v>30</v>
      </c>
      <c r="Q13" s="73"/>
      <c r="R13" s="73"/>
      <c r="S13" s="73" t="s">
        <v>28</v>
      </c>
      <c r="T13" s="73" t="s">
        <v>29</v>
      </c>
      <c r="U13" s="73" t="s">
        <v>30</v>
      </c>
      <c r="V13" s="73"/>
      <c r="W13" s="73"/>
      <c r="X13" s="73"/>
      <c r="Y13" s="73"/>
      <c r="Z13" s="73"/>
      <c r="AA13" s="73"/>
    </row>
    <row r="14" ht="17.25" customHeight="1" spans="1:27">
      <c r="A14" s="51">
        <v>31.5</v>
      </c>
      <c r="B14" s="52">
        <v>0</v>
      </c>
      <c r="C14" s="53">
        <f t="shared" ref="C14:C26" si="0">B14*100/$D$8</f>
        <v>0</v>
      </c>
      <c r="D14" s="53">
        <f>C14</f>
        <v>0</v>
      </c>
      <c r="E14" s="54">
        <f ca="1">ROUND(RAND()*(300)+420,1)</f>
        <v>536.5</v>
      </c>
      <c r="F14" s="52">
        <v>0</v>
      </c>
      <c r="G14" s="55">
        <f t="shared" ref="G14:G26" si="1">F14*100/$G$8</f>
        <v>0</v>
      </c>
      <c r="H14" s="56"/>
      <c r="I14" s="53">
        <f>G14</f>
        <v>0</v>
      </c>
      <c r="J14" s="53">
        <f t="shared" ref="J14:J26" si="2">100-I14</f>
        <v>100</v>
      </c>
      <c r="K14" s="93">
        <f>(D14+I14)/2</f>
        <v>0</v>
      </c>
      <c r="L14" s="94">
        <v>100</v>
      </c>
      <c r="M14" s="76">
        <v>100</v>
      </c>
      <c r="N14" s="73">
        <v>100</v>
      </c>
      <c r="O14" s="73">
        <v>0</v>
      </c>
      <c r="P14" s="95">
        <f t="shared" ref="P14:P27" si="3">5000*O14/100</f>
        <v>0</v>
      </c>
      <c r="Q14" s="73"/>
      <c r="R14" s="73"/>
      <c r="S14" s="73">
        <v>100</v>
      </c>
      <c r="T14" s="73">
        <v>0</v>
      </c>
      <c r="U14" s="95">
        <f>5000*T14/100</f>
        <v>0</v>
      </c>
      <c r="V14" s="73"/>
      <c r="W14" s="73"/>
      <c r="X14" s="73"/>
      <c r="Y14" s="73"/>
      <c r="Z14" s="73"/>
      <c r="AA14" s="73"/>
    </row>
    <row r="15" ht="17.25" customHeight="1" spans="1:27">
      <c r="A15" s="51">
        <v>26.5</v>
      </c>
      <c r="B15" s="54">
        <f ca="1">450+150*ROUND(-1+2*RAND(),1)</f>
        <v>480</v>
      </c>
      <c r="C15" s="53">
        <f ca="1" t="shared" si="0"/>
        <v>8</v>
      </c>
      <c r="D15" s="53">
        <f ca="1" t="shared" ref="D15:D26" si="4">D14+C15</f>
        <v>8</v>
      </c>
      <c r="E15" s="53">
        <f ca="1" t="shared" ref="E15:E26" si="5">100-D15</f>
        <v>92</v>
      </c>
      <c r="F15" s="52">
        <v>423</v>
      </c>
      <c r="G15" s="55">
        <f t="shared" si="1"/>
        <v>7.05</v>
      </c>
      <c r="H15" s="56"/>
      <c r="I15" s="53">
        <f>G14+G15</f>
        <v>7.05</v>
      </c>
      <c r="J15" s="53">
        <f t="shared" si="2"/>
        <v>92.95</v>
      </c>
      <c r="K15" s="93">
        <f ca="1" t="shared" ref="K15:K26" si="6">(E15+J15)/2</f>
        <v>92.475</v>
      </c>
      <c r="L15" s="93" t="s">
        <v>31</v>
      </c>
      <c r="M15" s="76">
        <v>92.5</v>
      </c>
      <c r="N15" s="73">
        <v>92.9</v>
      </c>
      <c r="O15" s="73">
        <f>N14-N15</f>
        <v>7.09999999999999</v>
      </c>
      <c r="P15" s="95">
        <f t="shared" si="3"/>
        <v>355</v>
      </c>
      <c r="Q15" s="73"/>
      <c r="R15" s="73"/>
      <c r="S15" s="96">
        <f>M15*2-N15</f>
        <v>92.1</v>
      </c>
      <c r="T15" s="73">
        <f>S14-S15</f>
        <v>7.90000000000001</v>
      </c>
      <c r="U15" s="95">
        <f>5000*T15/100</f>
        <v>395</v>
      </c>
      <c r="V15" s="73"/>
      <c r="X15" s="73"/>
      <c r="Y15" s="73"/>
      <c r="Z15" s="73"/>
      <c r="AA15" s="73"/>
    </row>
    <row r="16" ht="17.25" customHeight="1" spans="1:27">
      <c r="A16" s="51">
        <v>19</v>
      </c>
      <c r="B16" s="54">
        <f ca="1">860+220*ROUND(-1+2*RAND(),1)</f>
        <v>1014</v>
      </c>
      <c r="C16" s="53">
        <f ca="1" t="shared" si="0"/>
        <v>16.9</v>
      </c>
      <c r="D16" s="53">
        <f ca="1" t="shared" si="4"/>
        <v>24.9</v>
      </c>
      <c r="E16" s="53">
        <f ca="1" t="shared" si="5"/>
        <v>75.1</v>
      </c>
      <c r="F16" s="52">
        <f ca="1">860+220*ROUND(-1+2*RAND(),1)</f>
        <v>970</v>
      </c>
      <c r="G16" s="55">
        <f ca="1" t="shared" si="1"/>
        <v>16.1666666666667</v>
      </c>
      <c r="H16" s="56"/>
      <c r="I16" s="53">
        <f ca="1" t="shared" ref="I16:I26" si="7">I15+G16</f>
        <v>23.2166666666667</v>
      </c>
      <c r="J16" s="53">
        <f ca="1" t="shared" si="2"/>
        <v>76.7833333333333</v>
      </c>
      <c r="K16" s="93">
        <f ca="1" t="shared" si="6"/>
        <v>75.9416666666667</v>
      </c>
      <c r="L16" s="93" t="s">
        <v>32</v>
      </c>
      <c r="M16" s="76">
        <v>76.6</v>
      </c>
      <c r="N16" s="73">
        <v>76.9</v>
      </c>
      <c r="O16" s="73">
        <f>N15-N16</f>
        <v>16</v>
      </c>
      <c r="P16" s="95">
        <f t="shared" si="3"/>
        <v>800</v>
      </c>
      <c r="Q16" s="73"/>
      <c r="S16" s="96">
        <f>M16*2-N16</f>
        <v>76.3</v>
      </c>
      <c r="T16" s="73">
        <f>S15-S16</f>
        <v>15.8</v>
      </c>
      <c r="U16" s="95">
        <f>5000*T16/100</f>
        <v>790.000000000001</v>
      </c>
      <c r="V16" s="73"/>
      <c r="X16" s="73"/>
      <c r="Y16" s="73"/>
      <c r="Z16" s="73"/>
      <c r="AA16" s="73"/>
    </row>
    <row r="17" ht="17.25" customHeight="1" spans="1:27">
      <c r="A17" s="51">
        <v>16</v>
      </c>
      <c r="B17" s="54">
        <f ca="1">360+60*ROUND(-1+2*RAND(),1)</f>
        <v>306</v>
      </c>
      <c r="C17" s="53">
        <f ca="1" t="shared" si="0"/>
        <v>5.1</v>
      </c>
      <c r="D17" s="53">
        <f ca="1" t="shared" si="4"/>
        <v>30</v>
      </c>
      <c r="E17" s="53">
        <f ca="1" t="shared" si="5"/>
        <v>70</v>
      </c>
      <c r="F17" s="52">
        <f ca="1">360+60*ROUND(-1+2*RAND(),1)</f>
        <v>372</v>
      </c>
      <c r="G17" s="55">
        <f ca="1" t="shared" si="1"/>
        <v>6.2</v>
      </c>
      <c r="H17" s="56"/>
      <c r="I17" s="53">
        <f ca="1" t="shared" si="7"/>
        <v>29.4166666666667</v>
      </c>
      <c r="J17" s="53">
        <f ca="1" t="shared" si="2"/>
        <v>70.5833333333333</v>
      </c>
      <c r="K17" s="93">
        <f ca="1" t="shared" si="6"/>
        <v>70.2916666666667</v>
      </c>
      <c r="L17" s="93" t="s">
        <v>33</v>
      </c>
      <c r="M17" s="76">
        <v>75</v>
      </c>
      <c r="N17" s="73">
        <v>73.5</v>
      </c>
      <c r="O17" s="73">
        <f>N16-N17</f>
        <v>3.40000000000001</v>
      </c>
      <c r="P17" s="95">
        <f t="shared" si="3"/>
        <v>170</v>
      </c>
      <c r="Q17" s="73"/>
      <c r="R17" s="73"/>
      <c r="S17" s="96">
        <f>M17*2-N17</f>
        <v>76.5</v>
      </c>
      <c r="T17" s="73">
        <f>S16-S17</f>
        <v>-0.200000000000017</v>
      </c>
      <c r="U17" s="95">
        <f>5000*T17/100</f>
        <v>-10.0000000000009</v>
      </c>
      <c r="V17" s="73"/>
      <c r="X17" s="73"/>
      <c r="Y17" s="73"/>
      <c r="Z17" s="73"/>
      <c r="AA17" s="73"/>
    </row>
    <row r="18" ht="17.25" customHeight="1" spans="1:27">
      <c r="A18" s="51">
        <v>13.2</v>
      </c>
      <c r="B18" s="54">
        <f ca="1">440+20*ROUND(-1+2*RAND(),1)</f>
        <v>422</v>
      </c>
      <c r="C18" s="53">
        <f ca="1" t="shared" si="0"/>
        <v>7.03333333333333</v>
      </c>
      <c r="D18" s="53">
        <f ca="1" t="shared" si="4"/>
        <v>37.0333333333333</v>
      </c>
      <c r="E18" s="53">
        <f ca="1" t="shared" si="5"/>
        <v>62.9666666666667</v>
      </c>
      <c r="F18" s="57">
        <f ca="1">440+20*ROUND(-1+2*RAND(),1)</f>
        <v>422</v>
      </c>
      <c r="G18" s="55">
        <f ca="1" t="shared" si="1"/>
        <v>7.03333333333333</v>
      </c>
      <c r="H18" s="56"/>
      <c r="I18" s="53">
        <f ca="1" t="shared" si="7"/>
        <v>36.45</v>
      </c>
      <c r="J18" s="53">
        <f ca="1" t="shared" si="2"/>
        <v>63.55</v>
      </c>
      <c r="K18" s="93">
        <f ca="1" t="shared" si="6"/>
        <v>63.2583333333333</v>
      </c>
      <c r="L18" s="93" t="s">
        <v>34</v>
      </c>
      <c r="M18" s="76">
        <v>63.2</v>
      </c>
      <c r="N18" s="73">
        <v>65</v>
      </c>
      <c r="O18" s="73">
        <f>N17-N18</f>
        <v>8.5</v>
      </c>
      <c r="P18" s="95">
        <f t="shared" si="3"/>
        <v>425</v>
      </c>
      <c r="Q18" s="73"/>
      <c r="R18" s="73"/>
      <c r="S18" s="96"/>
      <c r="T18" s="73"/>
      <c r="U18" s="95"/>
      <c r="V18" s="73"/>
      <c r="X18" s="73"/>
      <c r="Y18" s="73"/>
      <c r="Z18" s="73"/>
      <c r="AA18" s="73"/>
    </row>
    <row r="19" ht="17.25" customHeight="1" spans="1:27">
      <c r="A19" s="51">
        <v>9.5</v>
      </c>
      <c r="B19" s="54">
        <f ca="1">600+20*ROUND(-1+2*RAND(),1)</f>
        <v>608</v>
      </c>
      <c r="C19" s="53">
        <f ca="1" t="shared" si="0"/>
        <v>10.1333333333333</v>
      </c>
      <c r="D19" s="53">
        <f ca="1" t="shared" si="4"/>
        <v>47.1666666666667</v>
      </c>
      <c r="E19" s="53">
        <f ca="1" t="shared" si="5"/>
        <v>52.8333333333333</v>
      </c>
      <c r="F19" s="57">
        <f ca="1">600+20*ROUND(-1+2*RAND(),1)</f>
        <v>602</v>
      </c>
      <c r="G19" s="55">
        <f ca="1" t="shared" si="1"/>
        <v>10.0333333333333</v>
      </c>
      <c r="H19" s="56"/>
      <c r="I19" s="53">
        <f ca="1" t="shared" si="7"/>
        <v>46.4833333333333</v>
      </c>
      <c r="J19" s="53">
        <f ca="1" t="shared" si="2"/>
        <v>53.5166666666667</v>
      </c>
      <c r="K19" s="93">
        <f ca="1" t="shared" si="6"/>
        <v>53.175</v>
      </c>
      <c r="L19" s="93" t="s">
        <v>35</v>
      </c>
      <c r="M19" s="76">
        <v>52</v>
      </c>
      <c r="N19" s="96">
        <v>48.9</v>
      </c>
      <c r="O19" s="73">
        <f>N17-N19</f>
        <v>24.6</v>
      </c>
      <c r="P19" s="95">
        <f t="shared" si="3"/>
        <v>1230</v>
      </c>
      <c r="Q19" s="73"/>
      <c r="R19" s="73"/>
      <c r="S19" s="73">
        <f>M19*2-N19</f>
        <v>55.1</v>
      </c>
      <c r="T19" s="73">
        <f>S17-S19</f>
        <v>21.4</v>
      </c>
      <c r="U19" s="95">
        <f>5000*T19/100</f>
        <v>1070</v>
      </c>
      <c r="V19" s="73"/>
      <c r="W19" s="73"/>
      <c r="X19" s="73"/>
      <c r="Y19" s="73"/>
      <c r="Z19" s="73"/>
      <c r="AA19" s="73"/>
    </row>
    <row r="20" ht="17.25" customHeight="1" spans="1:27">
      <c r="A20" s="51">
        <v>4.75</v>
      </c>
      <c r="B20" s="54">
        <f ca="1">1170+150*ROUND(-1+2*RAND(),1)</f>
        <v>1020</v>
      </c>
      <c r="C20" s="53">
        <f ca="1" t="shared" si="0"/>
        <v>17</v>
      </c>
      <c r="D20" s="53">
        <f ca="1" t="shared" si="4"/>
        <v>64.1666666666667</v>
      </c>
      <c r="E20" s="53">
        <f ca="1" t="shared" si="5"/>
        <v>35.8333333333333</v>
      </c>
      <c r="F20" s="57">
        <f ca="1">1170+150*ROUND(-1+2*RAND(),1)</f>
        <v>1245</v>
      </c>
      <c r="G20" s="55">
        <f ca="1" t="shared" si="1"/>
        <v>20.75</v>
      </c>
      <c r="H20" s="56"/>
      <c r="I20" s="53">
        <f ca="1" t="shared" si="7"/>
        <v>67.2333333333333</v>
      </c>
      <c r="J20" s="53">
        <f ca="1" t="shared" si="2"/>
        <v>32.7666666666667</v>
      </c>
      <c r="K20" s="93">
        <f ca="1" t="shared" si="6"/>
        <v>34.3</v>
      </c>
      <c r="L20" s="93" t="s">
        <v>36</v>
      </c>
      <c r="M20" s="97">
        <v>31.9</v>
      </c>
      <c r="N20" s="73">
        <v>33.2</v>
      </c>
      <c r="O20" s="73">
        <f t="shared" ref="O20:O25" si="8">N19-N20</f>
        <v>15.7</v>
      </c>
      <c r="P20" s="95">
        <f t="shared" si="3"/>
        <v>785</v>
      </c>
      <c r="Q20" s="73"/>
      <c r="R20" s="73"/>
      <c r="S20" s="73">
        <f>M20*2-N20</f>
        <v>30.6</v>
      </c>
      <c r="T20" s="73">
        <f>S19-S20</f>
        <v>24.5</v>
      </c>
      <c r="U20" s="95">
        <f>5000*T20/100</f>
        <v>1225</v>
      </c>
      <c r="V20" s="73"/>
      <c r="W20" s="73"/>
      <c r="X20" s="73"/>
      <c r="Y20" s="73"/>
      <c r="Z20" s="73"/>
      <c r="AA20" s="73"/>
    </row>
    <row r="21" ht="17.25" customHeight="1" spans="1:27">
      <c r="A21" s="58">
        <v>2.36</v>
      </c>
      <c r="B21" s="54">
        <f ca="1">690+30*ROUND(-1+2*RAND(),1)</f>
        <v>693</v>
      </c>
      <c r="C21" s="53">
        <f ca="1" t="shared" si="0"/>
        <v>11.55</v>
      </c>
      <c r="D21" s="53">
        <f ca="1" t="shared" si="4"/>
        <v>75.7166666666667</v>
      </c>
      <c r="E21" s="53">
        <f ca="1" t="shared" si="5"/>
        <v>24.2833333333333</v>
      </c>
      <c r="F21" s="57">
        <f ca="1">ROUND(RAND()*(60)+660,1)</f>
        <v>681</v>
      </c>
      <c r="G21" s="55">
        <f ca="1" t="shared" si="1"/>
        <v>11.35</v>
      </c>
      <c r="H21" s="56"/>
      <c r="I21" s="53">
        <f ca="1" t="shared" si="7"/>
        <v>78.5833333333333</v>
      </c>
      <c r="J21" s="53">
        <f ca="1" t="shared" si="2"/>
        <v>21.4166666666667</v>
      </c>
      <c r="K21" s="93">
        <f ca="1" t="shared" si="6"/>
        <v>22.85</v>
      </c>
      <c r="L21" s="93" t="s">
        <v>37</v>
      </c>
      <c r="M21" s="76">
        <v>20.7</v>
      </c>
      <c r="N21" s="73">
        <v>21</v>
      </c>
      <c r="O21" s="73">
        <f t="shared" si="8"/>
        <v>12.2</v>
      </c>
      <c r="P21" s="95">
        <f t="shared" si="3"/>
        <v>610</v>
      </c>
      <c r="R21" s="73"/>
      <c r="S21" s="73">
        <f>M21*2-N21</f>
        <v>20.4</v>
      </c>
      <c r="T21" s="73">
        <f>S20-S21</f>
        <v>10.2</v>
      </c>
      <c r="U21" s="95">
        <f>5000*T21/100</f>
        <v>510</v>
      </c>
      <c r="V21" s="73"/>
      <c r="W21" s="73"/>
      <c r="X21" s="73"/>
      <c r="Z21" s="73"/>
      <c r="AA21" s="73"/>
    </row>
    <row r="22" ht="17.25" customHeight="1" spans="1:27">
      <c r="A22" s="51">
        <v>1.18</v>
      </c>
      <c r="B22" s="54">
        <f ca="1">440+20*ROUND(-1+2*RAND(),1)</f>
        <v>438</v>
      </c>
      <c r="C22" s="53">
        <f ca="1" t="shared" si="0"/>
        <v>7.3</v>
      </c>
      <c r="D22" s="53">
        <f ca="1" t="shared" si="4"/>
        <v>83.0166666666667</v>
      </c>
      <c r="E22" s="53">
        <f ca="1" t="shared" si="5"/>
        <v>16.9833333333333</v>
      </c>
      <c r="F22" s="59">
        <f ca="1">440+20*ROUND(-1+2*RAND(),1)</f>
        <v>438</v>
      </c>
      <c r="G22" s="55">
        <f ca="1" t="shared" si="1"/>
        <v>7.3</v>
      </c>
      <c r="H22" s="56"/>
      <c r="I22" s="53">
        <f ca="1" t="shared" si="7"/>
        <v>85.8833333333333</v>
      </c>
      <c r="J22" s="53">
        <f ca="1" t="shared" si="2"/>
        <v>14.1166666666667</v>
      </c>
      <c r="K22" s="93">
        <f ca="1" t="shared" si="6"/>
        <v>15.55</v>
      </c>
      <c r="L22" s="98" t="s">
        <v>38</v>
      </c>
      <c r="M22" s="76">
        <v>15.4</v>
      </c>
      <c r="N22" s="73">
        <v>16.3</v>
      </c>
      <c r="O22" s="73">
        <f t="shared" si="8"/>
        <v>4.7</v>
      </c>
      <c r="P22" s="95">
        <f t="shared" si="3"/>
        <v>235</v>
      </c>
      <c r="Q22" s="73"/>
      <c r="R22" s="73"/>
      <c r="S22" s="73">
        <f>M22*2-N22</f>
        <v>14.5</v>
      </c>
      <c r="T22" s="73">
        <f>S21-S22</f>
        <v>5.9</v>
      </c>
      <c r="U22" s="95">
        <f>5000*T22/100</f>
        <v>295</v>
      </c>
      <c r="V22" s="73"/>
      <c r="W22" s="73"/>
      <c r="X22" s="73"/>
      <c r="Y22" s="73"/>
      <c r="Z22" s="73"/>
      <c r="AA22" s="73"/>
    </row>
    <row r="23" ht="17.25" customHeight="1" spans="1:27">
      <c r="A23" s="51">
        <v>0.6</v>
      </c>
      <c r="B23" s="54">
        <f ca="1">300+60*ROUND(-1+2*RAND(),1)</f>
        <v>318</v>
      </c>
      <c r="C23" s="53">
        <f ca="1" t="shared" si="0"/>
        <v>5.3</v>
      </c>
      <c r="D23" s="53">
        <f ca="1" t="shared" si="4"/>
        <v>88.3166666666666</v>
      </c>
      <c r="E23" s="53">
        <f ca="1" t="shared" si="5"/>
        <v>11.6833333333334</v>
      </c>
      <c r="F23" s="59">
        <f ca="1">300+60*ROUND(-1+2*RAND(),1)</f>
        <v>318</v>
      </c>
      <c r="G23" s="55">
        <f ca="1" t="shared" si="1"/>
        <v>5.3</v>
      </c>
      <c r="H23" s="56"/>
      <c r="I23" s="53">
        <f ca="1" t="shared" si="7"/>
        <v>91.1833333333333</v>
      </c>
      <c r="J23" s="53">
        <f ca="1" t="shared" si="2"/>
        <v>8.81666666666668</v>
      </c>
      <c r="K23" s="93">
        <f ca="1" t="shared" si="6"/>
        <v>10.25</v>
      </c>
      <c r="L23" s="98" t="s">
        <v>39</v>
      </c>
      <c r="M23" s="76">
        <v>10.9</v>
      </c>
      <c r="N23" s="73">
        <v>10.8</v>
      </c>
      <c r="O23" s="73">
        <f t="shared" si="8"/>
        <v>5.5</v>
      </c>
      <c r="P23" s="95">
        <f t="shared" si="3"/>
        <v>275</v>
      </c>
      <c r="Q23" s="73"/>
      <c r="R23" s="73"/>
      <c r="S23" s="73">
        <f>M23*2-N23</f>
        <v>11</v>
      </c>
      <c r="T23" s="73">
        <f>S22-S23</f>
        <v>3.5</v>
      </c>
      <c r="U23" s="95">
        <f>5000*T23/100</f>
        <v>175</v>
      </c>
      <c r="V23" s="73"/>
      <c r="W23" s="73"/>
      <c r="X23" s="73"/>
      <c r="Y23" s="73"/>
      <c r="Z23" s="73"/>
      <c r="AA23" s="73"/>
    </row>
    <row r="24" ht="17.25" customHeight="1" spans="1:27">
      <c r="A24" s="51">
        <v>0.3</v>
      </c>
      <c r="B24" s="54">
        <f ca="1">190+30*ROUND(-1+2*RAND(),1)</f>
        <v>169</v>
      </c>
      <c r="C24" s="53">
        <f ca="1" t="shared" si="0"/>
        <v>2.81666666666667</v>
      </c>
      <c r="D24" s="53">
        <f ca="1" t="shared" si="4"/>
        <v>91.1333333333333</v>
      </c>
      <c r="E24" s="53">
        <f ca="1" t="shared" si="5"/>
        <v>8.86666666666669</v>
      </c>
      <c r="F24" s="59">
        <f ca="1">190+30*ROUND(-1+2*RAND(),1)</f>
        <v>160</v>
      </c>
      <c r="G24" s="55">
        <f ca="1" t="shared" si="1"/>
        <v>2.66666666666667</v>
      </c>
      <c r="H24" s="56"/>
      <c r="I24" s="53">
        <f ca="1" t="shared" si="7"/>
        <v>93.85</v>
      </c>
      <c r="J24" s="53">
        <f ca="1" t="shared" si="2"/>
        <v>6.15000000000001</v>
      </c>
      <c r="K24" s="93">
        <f ca="1" t="shared" si="6"/>
        <v>7.50833333333335</v>
      </c>
      <c r="L24" s="98" t="s">
        <v>40</v>
      </c>
      <c r="M24" s="76">
        <v>7.6</v>
      </c>
      <c r="N24" s="73">
        <v>8.1</v>
      </c>
      <c r="O24" s="73">
        <f t="shared" si="8"/>
        <v>2.7</v>
      </c>
      <c r="P24" s="95">
        <f t="shared" si="3"/>
        <v>135</v>
      </c>
      <c r="Q24" s="73"/>
      <c r="R24" s="73"/>
      <c r="S24" s="73"/>
      <c r="T24" s="73"/>
      <c r="U24" s="95"/>
      <c r="V24" s="73"/>
      <c r="W24" s="73"/>
      <c r="X24" s="73"/>
      <c r="Y24" s="73"/>
      <c r="Z24" s="73"/>
      <c r="AA24" s="73"/>
    </row>
    <row r="25" ht="17.25" customHeight="1" spans="1:27">
      <c r="A25" s="51">
        <v>0.15</v>
      </c>
      <c r="B25" s="54">
        <f ca="1">150+30*ROUND(-1+2*RAND(),1)</f>
        <v>132</v>
      </c>
      <c r="C25" s="53">
        <f ca="1" t="shared" si="0"/>
        <v>2.2</v>
      </c>
      <c r="D25" s="53">
        <f ca="1" t="shared" si="4"/>
        <v>93.3333333333333</v>
      </c>
      <c r="E25" s="53">
        <f ca="1" t="shared" si="5"/>
        <v>6.66666666666669</v>
      </c>
      <c r="F25" s="59">
        <f ca="1">150+30*ROUND(-1+2*RAND(),1)</f>
        <v>177</v>
      </c>
      <c r="G25" s="55">
        <f ca="1" t="shared" si="1"/>
        <v>2.95</v>
      </c>
      <c r="H25" s="56"/>
      <c r="I25" s="53">
        <f ca="1" t="shared" si="7"/>
        <v>96.8</v>
      </c>
      <c r="J25" s="53">
        <f ca="1" t="shared" si="2"/>
        <v>3.2</v>
      </c>
      <c r="K25" s="93">
        <f ca="1" t="shared" si="6"/>
        <v>4.93333333333334</v>
      </c>
      <c r="L25" s="98" t="s">
        <v>41</v>
      </c>
      <c r="M25" s="76">
        <v>5.1</v>
      </c>
      <c r="N25" s="73">
        <v>5</v>
      </c>
      <c r="O25" s="73">
        <f t="shared" si="8"/>
        <v>3.1</v>
      </c>
      <c r="P25" s="95">
        <f t="shared" si="3"/>
        <v>155</v>
      </c>
      <c r="Q25" s="73"/>
      <c r="R25" s="73"/>
      <c r="S25" s="73"/>
      <c r="T25" s="73"/>
      <c r="U25" s="95"/>
      <c r="V25" s="73"/>
      <c r="W25" s="73"/>
      <c r="X25" s="73"/>
      <c r="Y25" s="73"/>
      <c r="Z25" s="73"/>
      <c r="AA25" s="73"/>
    </row>
    <row r="26" ht="17.25" customHeight="1" spans="1:27">
      <c r="A26" s="60">
        <v>0.075</v>
      </c>
      <c r="B26" s="54">
        <f ca="1">60+60*ROUND(-1+2*RAND(),1)</f>
        <v>108</v>
      </c>
      <c r="C26" s="53">
        <f ca="1" t="shared" si="0"/>
        <v>1.8</v>
      </c>
      <c r="D26" s="53">
        <f ca="1" t="shared" si="4"/>
        <v>95.1333333333333</v>
      </c>
      <c r="E26" s="53">
        <f ca="1" t="shared" si="5"/>
        <v>4.86666666666669</v>
      </c>
      <c r="F26" s="59">
        <f ca="1">60+60*ROUND(-1+2*RAND(),1)</f>
        <v>78</v>
      </c>
      <c r="G26" s="55">
        <f ca="1" t="shared" si="1"/>
        <v>1.3</v>
      </c>
      <c r="H26" s="56"/>
      <c r="I26" s="53">
        <f ca="1" t="shared" si="7"/>
        <v>98.1</v>
      </c>
      <c r="J26" s="53">
        <f ca="1" t="shared" si="2"/>
        <v>1.90000000000001</v>
      </c>
      <c r="K26" s="93">
        <f ca="1" t="shared" si="6"/>
        <v>3.38333333333335</v>
      </c>
      <c r="L26" s="98" t="s">
        <v>42</v>
      </c>
      <c r="M26" s="76">
        <v>3.1</v>
      </c>
      <c r="N26" s="73">
        <v>3.2</v>
      </c>
      <c r="O26" s="73">
        <f>N23-N26</f>
        <v>7.6</v>
      </c>
      <c r="P26" s="95">
        <f t="shared" si="3"/>
        <v>380</v>
      </c>
      <c r="Q26" s="73"/>
      <c r="R26" s="73"/>
      <c r="S26" s="73">
        <f>M26*2-N26</f>
        <v>3</v>
      </c>
      <c r="T26" s="73">
        <f>S23-S26</f>
        <v>8</v>
      </c>
      <c r="U26" s="95">
        <f>5000*T26/100</f>
        <v>400</v>
      </c>
      <c r="V26" s="73"/>
      <c r="W26" s="73"/>
      <c r="X26" s="73"/>
      <c r="Y26" s="73"/>
      <c r="Z26" s="73"/>
      <c r="AA26" s="73"/>
    </row>
    <row r="27" ht="17.25" customHeight="1" spans="1:27">
      <c r="A27" s="61" t="s">
        <v>43</v>
      </c>
      <c r="B27" s="62"/>
      <c r="C27" s="63">
        <f ca="1">SUM(B14:B26)</f>
        <v>5708</v>
      </c>
      <c r="D27" s="63"/>
      <c r="E27" s="63"/>
      <c r="F27" s="63">
        <f ca="1">SUM(F14:F26)</f>
        <v>5886</v>
      </c>
      <c r="G27" s="63"/>
      <c r="H27" s="63"/>
      <c r="I27" s="63"/>
      <c r="J27" s="63"/>
      <c r="K27" s="99"/>
      <c r="L27" s="100" t="s">
        <v>44</v>
      </c>
      <c r="M27" s="76" t="s">
        <v>45</v>
      </c>
      <c r="N27" s="73">
        <v>0</v>
      </c>
      <c r="O27" s="73">
        <f>N26-N27</f>
        <v>3.2</v>
      </c>
      <c r="P27" s="95">
        <f t="shared" si="3"/>
        <v>160</v>
      </c>
      <c r="Q27" s="73"/>
      <c r="R27" s="73"/>
      <c r="S27" s="101"/>
      <c r="T27" s="73"/>
      <c r="U27" s="73"/>
      <c r="V27" s="73"/>
      <c r="W27" s="73"/>
      <c r="X27" s="73"/>
      <c r="Y27" s="73"/>
      <c r="Z27" s="73"/>
      <c r="AA27" s="73"/>
    </row>
    <row r="28" ht="17.25" customHeight="1" spans="1:27">
      <c r="A28" s="51" t="s">
        <v>46</v>
      </c>
      <c r="B28" s="64"/>
      <c r="C28" s="63">
        <f ca="1">D8-C10-C27</f>
        <v>144</v>
      </c>
      <c r="D28" s="63"/>
      <c r="E28" s="63"/>
      <c r="F28" s="63">
        <f ca="1">G8-F10-F27</f>
        <v>-19</v>
      </c>
      <c r="G28" s="63"/>
      <c r="H28" s="63"/>
      <c r="I28" s="63"/>
      <c r="J28" s="63"/>
      <c r="K28" s="99"/>
      <c r="L28" s="100" t="s">
        <v>44</v>
      </c>
      <c r="M28" s="76"/>
      <c r="N28" s="101"/>
      <c r="O28" s="73"/>
      <c r="P28" s="73"/>
      <c r="Q28" s="73"/>
      <c r="R28" s="73"/>
      <c r="S28" s="101"/>
      <c r="T28" s="73"/>
      <c r="U28" s="73"/>
      <c r="V28" s="73"/>
      <c r="W28" s="73"/>
      <c r="X28" s="73"/>
      <c r="Y28" s="73"/>
      <c r="Z28" s="73"/>
      <c r="AA28" s="73"/>
    </row>
    <row r="29" ht="17.25" customHeight="1" spans="1:27">
      <c r="A29" s="61" t="s">
        <v>47</v>
      </c>
      <c r="B29" s="62"/>
      <c r="C29" s="63">
        <f ca="1">C28*100/D8</f>
        <v>2.4</v>
      </c>
      <c r="D29" s="63"/>
      <c r="E29" s="63"/>
      <c r="F29" s="63">
        <f ca="1">F28*100/G8</f>
        <v>-0.316666666666667</v>
      </c>
      <c r="G29" s="63"/>
      <c r="H29" s="63"/>
      <c r="I29" s="63"/>
      <c r="J29" s="63"/>
      <c r="K29" s="99"/>
      <c r="L29" s="100" t="s">
        <v>44</v>
      </c>
      <c r="M29" s="76"/>
      <c r="N29" s="101"/>
      <c r="O29" s="73"/>
      <c r="P29" s="73"/>
      <c r="Q29" s="73"/>
      <c r="R29" s="73"/>
      <c r="S29" s="101"/>
      <c r="U29" s="73"/>
      <c r="V29" s="73"/>
      <c r="W29" s="73"/>
      <c r="X29" s="73"/>
      <c r="Y29" s="73"/>
      <c r="Z29" s="73"/>
      <c r="AA29" s="73"/>
    </row>
    <row r="30" ht="17.25" customHeight="1" spans="1:27">
      <c r="A30" s="41" t="s">
        <v>48</v>
      </c>
      <c r="B30" s="65"/>
      <c r="C30" s="63">
        <f ca="1">D8-C28</f>
        <v>5856</v>
      </c>
      <c r="D30" s="63"/>
      <c r="E30" s="63"/>
      <c r="F30" s="63">
        <f ca="1">G8-F28</f>
        <v>6019</v>
      </c>
      <c r="G30" s="63"/>
      <c r="H30" s="63"/>
      <c r="I30" s="63"/>
      <c r="J30" s="63"/>
      <c r="K30" s="99"/>
      <c r="L30" s="100" t="s">
        <v>44</v>
      </c>
      <c r="M30" s="76"/>
      <c r="N30" s="101"/>
      <c r="O30" s="73"/>
      <c r="P30" s="73"/>
      <c r="Q30" s="73"/>
      <c r="R30" s="73"/>
      <c r="S30" s="101"/>
      <c r="T30" s="73"/>
      <c r="U30" s="73"/>
      <c r="V30" s="73"/>
      <c r="W30" s="73"/>
      <c r="X30" s="73"/>
      <c r="Y30" s="73"/>
      <c r="Z30" s="73"/>
      <c r="AA30" s="73"/>
    </row>
    <row r="31" ht="44.25" customHeight="1" spans="1:27">
      <c r="A31" s="66" t="s">
        <v>49</v>
      </c>
      <c r="B31" s="67"/>
      <c r="C31" s="67"/>
      <c r="D31" s="67"/>
      <c r="E31" s="67"/>
      <c r="F31" s="67"/>
      <c r="G31" s="67"/>
      <c r="H31" s="67"/>
      <c r="I31" s="67"/>
      <c r="J31" s="67"/>
      <c r="K31" s="102"/>
      <c r="L31" s="103"/>
      <c r="M31" s="76"/>
      <c r="N31" s="101"/>
      <c r="O31" s="73"/>
      <c r="P31" s="73"/>
      <c r="Q31" s="73"/>
      <c r="R31" s="73"/>
      <c r="S31" s="101"/>
      <c r="T31" s="73"/>
      <c r="U31" s="73"/>
      <c r="V31" s="73"/>
      <c r="W31" s="73"/>
      <c r="X31" s="73"/>
      <c r="Y31" s="73"/>
      <c r="Z31" s="73"/>
      <c r="AA31" s="73"/>
    </row>
    <row r="32" ht="27" customHeight="1" spans="1:17">
      <c r="A32" s="68" t="s">
        <v>50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104"/>
      <c r="Q32" s="68"/>
    </row>
  </sheetData>
  <mergeCells count="68">
    <mergeCell ref="A1:L1"/>
    <mergeCell ref="B2:G2"/>
    <mergeCell ref="B3:E3"/>
    <mergeCell ref="F3:G3"/>
    <mergeCell ref="H3:L3"/>
    <mergeCell ref="B4:E4"/>
    <mergeCell ref="F4:G4"/>
    <mergeCell ref="H4:L4"/>
    <mergeCell ref="B5:E5"/>
    <mergeCell ref="F5:G5"/>
    <mergeCell ref="H5:L5"/>
    <mergeCell ref="B6:E6"/>
    <mergeCell ref="F6:G6"/>
    <mergeCell ref="H6:L6"/>
    <mergeCell ref="B7:L7"/>
    <mergeCell ref="A8:B8"/>
    <mergeCell ref="D8:E8"/>
    <mergeCell ref="G8:J8"/>
    <mergeCell ref="A9:B9"/>
    <mergeCell ref="C9:E9"/>
    <mergeCell ref="F9:J9"/>
    <mergeCell ref="A10:B10"/>
    <mergeCell ref="C10:E10"/>
    <mergeCell ref="F10:J10"/>
    <mergeCell ref="A11:B11"/>
    <mergeCell ref="C11:E11"/>
    <mergeCell ref="F11:J11"/>
    <mergeCell ref="K11:L11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A27:B27"/>
    <mergeCell ref="C27:E27"/>
    <mergeCell ref="F27:J27"/>
    <mergeCell ref="A28:B28"/>
    <mergeCell ref="C28:E28"/>
    <mergeCell ref="F28:J28"/>
    <mergeCell ref="A29:B29"/>
    <mergeCell ref="C29:E29"/>
    <mergeCell ref="F29:J29"/>
    <mergeCell ref="A30:B30"/>
    <mergeCell ref="C30:E30"/>
    <mergeCell ref="F30:J30"/>
    <mergeCell ref="A31:L31"/>
    <mergeCell ref="A32:L32"/>
    <mergeCell ref="A12:A13"/>
    <mergeCell ref="B12:B13"/>
    <mergeCell ref="C12:C13"/>
    <mergeCell ref="D12:D13"/>
    <mergeCell ref="E12:E13"/>
    <mergeCell ref="F12:F13"/>
    <mergeCell ref="I12:I13"/>
    <mergeCell ref="J12:J13"/>
    <mergeCell ref="K12:K13"/>
    <mergeCell ref="L12:L13"/>
    <mergeCell ref="M12:M13"/>
    <mergeCell ref="G12:H13"/>
    <mergeCell ref="K8:L10"/>
  </mergeCells>
  <pageMargins left="0.979166666666667" right="0.588888888888889" top="0.788888888888889" bottom="0.788888888888889" header="0.509027777777778" footer="0.349305555555556"/>
  <pageSetup paperSize="9" orientation="portrait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合成筛分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asus</cp:lastModifiedBy>
  <dcterms:created xsi:type="dcterms:W3CDTF">2016-01-20T08:28:00Z</dcterms:created>
  <cp:lastPrinted>2016-01-28T01:16:00Z</cp:lastPrinted>
  <dcterms:modified xsi:type="dcterms:W3CDTF">2020-08-28T01:36:16Z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