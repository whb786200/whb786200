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583" windowHeight="9840" activeTab="6"/>
  </bookViews>
  <sheets>
    <sheet name="洛氏硬度报告" sheetId="1" r:id="rId1"/>
    <sheet name="记录表" sheetId="2" r:id="rId2"/>
    <sheet name="洛氏硬度报告 (2)" sheetId="3" r:id="rId3"/>
    <sheet name="洛氏硬度报告空白" sheetId="5" r:id="rId4"/>
    <sheet name="记录表空白" sheetId="6" r:id="rId5"/>
    <sheet name="记录表 2" sheetId="4" r:id="rId6"/>
    <sheet name="记录夹片公式" sheetId="7" r:id="rId7"/>
    <sheet name="记录表 2 (2)" sheetId="8" r:id="rId8"/>
    <sheet name="记录夹片公式 (2)" sheetId="9" r:id="rId9"/>
  </sheets>
  <calcPr calcId="144525"/>
</workbook>
</file>

<file path=xl/sharedStrings.xml><?xml version="1.0" encoding="utf-8"?>
<sst xmlns="http://schemas.openxmlformats.org/spreadsheetml/2006/main" count="1210" uniqueCount="83">
  <si>
    <r>
      <rPr>
        <b/>
        <sz val="20"/>
        <color theme="1"/>
        <rFont val="宋体"/>
        <charset val="134"/>
      </rPr>
      <t xml:space="preserve">             金属硬度试验检测报告          </t>
    </r>
    <r>
      <rPr>
        <b/>
        <vertAlign val="superscript"/>
        <sz val="14"/>
        <color theme="1"/>
        <rFont val="宋体"/>
        <charset val="134"/>
      </rPr>
      <t>QB010504</t>
    </r>
  </si>
  <si>
    <t>试验室名称：</t>
  </si>
  <si>
    <t>四川公路工程咨询监理公司</t>
  </si>
  <si>
    <t>报告编号：</t>
  </si>
  <si>
    <t>委托单位</t>
  </si>
  <si>
    <t>西藏天和工程建设有限公司</t>
  </si>
  <si>
    <t>委托编号</t>
  </si>
  <si>
    <t>工程名称</t>
  </si>
  <si>
    <t>国道317线岗托至江达公路整治改建工程病害整治工程</t>
  </si>
  <si>
    <t>样品编号</t>
  </si>
  <si>
    <t>工程部位/用途</t>
  </si>
  <si>
    <t>防护工程</t>
  </si>
  <si>
    <t>盲样编号</t>
  </si>
  <si>
    <t>见证单位</t>
  </si>
  <si>
    <t>甘肃鉄科建设工程咨询有限公司</t>
  </si>
  <si>
    <t>样品名称</t>
  </si>
  <si>
    <t>锚具</t>
  </si>
  <si>
    <t>厂家产地</t>
  </si>
  <si>
    <t>成都市宏桥预应力有限公司</t>
  </si>
  <si>
    <t>代表数量</t>
  </si>
  <si>
    <t>68套</t>
  </si>
  <si>
    <t>试验依据</t>
  </si>
  <si>
    <t>GB/T 230.1-2009</t>
  </si>
  <si>
    <t>送样日期</t>
  </si>
  <si>
    <t>判断依据</t>
  </si>
  <si>
    <t>委托方产品质量证明书</t>
  </si>
  <si>
    <t>见证人</t>
  </si>
  <si>
    <t>段正强、编号：401234</t>
  </si>
  <si>
    <t>主要仪器
设备及编号</t>
  </si>
  <si>
    <t>洛氏硬度计372</t>
  </si>
  <si>
    <t>样品描述</t>
  </si>
  <si>
    <t>无锈蚀</t>
  </si>
  <si>
    <t>技术要求</t>
  </si>
  <si>
    <t>HRC17～35</t>
  </si>
  <si>
    <t>规格型号</t>
  </si>
  <si>
    <t>YM15-8</t>
  </si>
  <si>
    <t>试样编号</t>
  </si>
  <si>
    <t>外观</t>
  </si>
  <si>
    <r>
      <rPr>
        <sz val="10"/>
        <color theme="1"/>
        <rFont val="宋体"/>
        <charset val="134"/>
        <scheme val="minor"/>
      </rPr>
      <t xml:space="preserve">洛氏硬度（  </t>
    </r>
    <r>
      <rPr>
        <sz val="10"/>
        <color theme="1"/>
        <rFont val="仿宋"/>
        <charset val="134"/>
      </rPr>
      <t xml:space="preserve">HRC </t>
    </r>
    <r>
      <rPr>
        <sz val="10"/>
        <color theme="1"/>
        <rFont val="宋体"/>
        <charset val="134"/>
        <scheme val="minor"/>
      </rPr>
      <t xml:space="preserve">  ）实测值</t>
    </r>
  </si>
  <si>
    <t>单组评定</t>
  </si>
  <si>
    <t>备注</t>
  </si>
  <si>
    <t>平均</t>
  </si>
  <si>
    <t>/</t>
  </si>
  <si>
    <t>合格</t>
  </si>
  <si>
    <t>检测
结论</t>
  </si>
  <si>
    <t>该样品所检指标符合委托方产品质量证明书的技术要求。</t>
  </si>
  <si>
    <t>批号：5101012016041201。</t>
  </si>
  <si>
    <t>说明</t>
  </si>
  <si>
    <t>1.报告无试验人，审核人，签发人签字及未盖鲜章无效；2.报告涂改，换页及复印件未经我公司重新盖鲜章无效；3.本报告所涉及内容和结果仅对来样负责，若有意见或疑问应于收到报告之日起十日内向本公司提出，逾期未提出的，视为无异议。</t>
  </si>
  <si>
    <t>地址：四川省成都市新津县工业区兴园8路397号   电话：82551093  传真：82551093  邮编：611430</t>
  </si>
  <si>
    <t>试验：</t>
  </si>
  <si>
    <t>审核：</t>
  </si>
  <si>
    <t>签发：</t>
  </si>
  <si>
    <t>日期：      年    月    日</t>
  </si>
  <si>
    <t>第</t>
  </si>
  <si>
    <t xml:space="preserve"> </t>
  </si>
  <si>
    <t>页，共</t>
  </si>
  <si>
    <t>页</t>
  </si>
  <si>
    <t>QJ0508</t>
  </si>
  <si>
    <t xml:space="preserve">   金属洛氏硬度试验检测记录表</t>
  </si>
  <si>
    <t>四川金石工程试验检测有限公司</t>
  </si>
  <si>
    <t>记录编号:</t>
  </si>
  <si>
    <t>委托/任务编号</t>
  </si>
  <si>
    <t>试验条件</t>
  </si>
  <si>
    <t>试验日期</t>
  </si>
  <si>
    <t>HRC17-35</t>
  </si>
  <si>
    <t>试件编号</t>
  </si>
  <si>
    <r>
      <rPr>
        <sz val="10"/>
        <color indexed="8"/>
        <rFont val="宋体"/>
        <charset val="134"/>
      </rPr>
      <t xml:space="preserve">洛氏硬度( </t>
    </r>
    <r>
      <rPr>
        <sz val="10"/>
        <color indexed="8"/>
        <rFont val="仿宋"/>
        <charset val="134"/>
      </rPr>
      <t xml:space="preserve"> HRC </t>
    </r>
    <r>
      <rPr>
        <sz val="10"/>
        <color indexed="8"/>
        <rFont val="宋体"/>
        <charset val="134"/>
      </rPr>
      <t xml:space="preserve">  )</t>
    </r>
  </si>
  <si>
    <t>平均值</t>
  </si>
  <si>
    <t>备注:</t>
  </si>
  <si>
    <t/>
  </si>
  <si>
    <t>复核：</t>
  </si>
  <si>
    <t>日期：</t>
  </si>
  <si>
    <t>年</t>
  </si>
  <si>
    <t>月</t>
  </si>
  <si>
    <t>日</t>
  </si>
  <si>
    <t>夹片</t>
  </si>
  <si>
    <t>HRC57～65</t>
  </si>
  <si>
    <t>20CrMnTi</t>
  </si>
  <si>
    <r>
      <rPr>
        <sz val="10"/>
        <color theme="1"/>
        <rFont val="宋体"/>
        <charset val="134"/>
        <scheme val="minor"/>
      </rPr>
      <t xml:space="preserve">洛氏硬度（  </t>
    </r>
    <r>
      <rPr>
        <sz val="10"/>
        <color theme="1"/>
        <rFont val="宋体"/>
        <charset val="134"/>
        <scheme val="minor"/>
      </rPr>
      <t xml:space="preserve">  ）实测值</t>
    </r>
  </si>
  <si>
    <t>洛氏硬度(       )</t>
  </si>
  <si>
    <t>56~66</t>
  </si>
  <si>
    <t>加几就是上线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</si>
</sst>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_ "/>
    <numFmt numFmtId="177" formatCode="0.0_);[Red]\(0.0\)"/>
  </numFmts>
  <fonts count="32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6"/>
      <color indexed="8"/>
      <name val="宋体"/>
      <charset val="134"/>
    </font>
    <font>
      <sz val="10"/>
      <color indexed="8"/>
      <name val="仿宋"/>
      <charset val="134"/>
    </font>
    <font>
      <sz val="11"/>
      <color indexed="8"/>
      <name val="仿宋"/>
      <charset val="134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仿宋"/>
      <charset val="134"/>
    </font>
    <font>
      <sz val="11"/>
      <color theme="1"/>
      <name val="仿宋"/>
      <charset val="134"/>
    </font>
    <font>
      <sz val="1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20"/>
      <color theme="1"/>
      <name val="宋体"/>
      <charset val="134"/>
    </font>
    <font>
      <b/>
      <vertAlign val="superscript"/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6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1" fillId="6" borderId="3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2" borderId="30" applyNumberFormat="0" applyFont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horizontal="left" vertical="top"/>
    </xf>
    <xf numFmtId="0" fontId="13" fillId="0" borderId="0" applyNumberFormat="0" applyFill="0" applyBorder="0" applyAlignment="0" applyProtection="0">
      <alignment vertical="center"/>
    </xf>
    <xf numFmtId="0" fontId="12" fillId="0" borderId="31" applyNumberFormat="0" applyFill="0" applyAlignment="0" applyProtection="0">
      <alignment vertical="center"/>
    </xf>
    <xf numFmtId="0" fontId="19" fillId="0" borderId="31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0" fillId="5" borderId="34" applyNumberFormat="0" applyAlignment="0" applyProtection="0">
      <alignment vertical="center"/>
    </xf>
    <xf numFmtId="0" fontId="18" fillId="5" borderId="33" applyNumberFormat="0" applyAlignment="0" applyProtection="0">
      <alignment vertical="center"/>
    </xf>
    <xf numFmtId="0" fontId="16" fillId="4" borderId="32" applyNumberFormat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29" fillId="0" borderId="35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4" fillId="0" borderId="0">
      <alignment horizontal="left" vertical="center"/>
    </xf>
    <xf numFmtId="0" fontId="26" fillId="1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" fillId="0" borderId="0">
      <alignment horizontal="center" vertical="center"/>
    </xf>
    <xf numFmtId="0" fontId="25" fillId="28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" fillId="0" borderId="0">
      <alignment horizontal="center" vertical="top"/>
    </xf>
    <xf numFmtId="0" fontId="25" fillId="1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4" fillId="0" borderId="0">
      <alignment horizontal="center" vertical="top"/>
    </xf>
    <xf numFmtId="0" fontId="25" fillId="2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" fillId="0" borderId="0">
      <alignment horizontal="left" vertical="top"/>
    </xf>
    <xf numFmtId="0" fontId="4" fillId="0" borderId="0">
      <alignment horizontal="left" vertical="top"/>
    </xf>
    <xf numFmtId="0" fontId="2" fillId="0" borderId="0">
      <alignment horizontal="center" vertical="center"/>
    </xf>
    <xf numFmtId="0" fontId="2" fillId="0" borderId="0">
      <alignment horizontal="left"/>
    </xf>
    <xf numFmtId="0" fontId="4" fillId="0" borderId="0">
      <alignment horizontal="left"/>
    </xf>
    <xf numFmtId="0" fontId="1" fillId="0" borderId="0">
      <alignment vertical="center"/>
    </xf>
    <xf numFmtId="0" fontId="0" fillId="0" borderId="0">
      <alignment vertical="center"/>
    </xf>
  </cellStyleXfs>
  <cellXfs count="143">
    <xf numFmtId="0" fontId="0" fillId="0" borderId="0" xfId="0">
      <alignment vertical="center"/>
    </xf>
    <xf numFmtId="177" fontId="0" fillId="0" borderId="0" xfId="60" applyNumberFormat="1">
      <alignment vertical="center"/>
    </xf>
    <xf numFmtId="0" fontId="0" fillId="0" borderId="0" xfId="60">
      <alignment vertical="center"/>
    </xf>
    <xf numFmtId="0" fontId="0" fillId="0" borderId="0" xfId="60" applyAlignment="1">
      <alignment horizontal="center" vertical="center"/>
    </xf>
    <xf numFmtId="177" fontId="0" fillId="0" borderId="0" xfId="60" applyNumberFormat="1" applyFont="1">
      <alignment vertical="center"/>
    </xf>
    <xf numFmtId="0" fontId="1" fillId="0" borderId="0" xfId="59" applyAlignment="1">
      <alignment vertical="center" wrapText="1"/>
    </xf>
    <xf numFmtId="0" fontId="1" fillId="0" borderId="0" xfId="59" applyAlignment="1">
      <alignment horizontal="center" vertical="center" wrapText="1"/>
    </xf>
    <xf numFmtId="0" fontId="2" fillId="0" borderId="0" xfId="44" applyNumberFormat="1" applyFont="1" applyFill="1" applyBorder="1" applyAlignment="1">
      <alignment horizontal="right" vertical="center" wrapText="1"/>
    </xf>
    <xf numFmtId="0" fontId="3" fillId="0" borderId="0" xfId="44" applyNumberFormat="1" applyFont="1" applyFill="1" applyBorder="1" applyAlignment="1">
      <alignment horizontal="center" vertical="center" wrapText="1"/>
    </xf>
    <xf numFmtId="0" fontId="2" fillId="0" borderId="0" xfId="57" applyFont="1" applyBorder="1" applyAlignment="1">
      <alignment horizontal="center" wrapText="1"/>
    </xf>
    <xf numFmtId="0" fontId="4" fillId="0" borderId="1" xfId="58" applyFont="1" applyBorder="1" applyAlignment="1">
      <alignment horizontal="center" wrapText="1"/>
    </xf>
    <xf numFmtId="0" fontId="2" fillId="0" borderId="2" xfId="56" applyNumberFormat="1" applyFont="1" applyFill="1" applyBorder="1" applyAlignment="1">
      <alignment horizontal="center" vertical="center" wrapText="1"/>
    </xf>
    <xf numFmtId="0" fontId="2" fillId="0" borderId="3" xfId="59" applyNumberFormat="1" applyFont="1" applyFill="1" applyBorder="1" applyAlignment="1">
      <alignment vertical="center" wrapText="1"/>
    </xf>
    <xf numFmtId="0" fontId="4" fillId="0" borderId="3" xfId="59" applyNumberFormat="1" applyFont="1" applyFill="1" applyBorder="1">
      <alignment vertical="center"/>
    </xf>
    <xf numFmtId="0" fontId="2" fillId="0" borderId="4" xfId="56" applyNumberFormat="1" applyFont="1" applyFill="1" applyBorder="1" applyAlignment="1">
      <alignment horizontal="center" vertical="center" wrapText="1"/>
    </xf>
    <xf numFmtId="0" fontId="2" fillId="0" borderId="5" xfId="59" applyNumberFormat="1" applyFont="1" applyFill="1" applyBorder="1" applyAlignment="1">
      <alignment vertical="center" wrapText="1"/>
    </xf>
    <xf numFmtId="0" fontId="1" fillId="0" borderId="5" xfId="59" applyNumberFormat="1" applyFill="1" applyBorder="1">
      <alignment vertical="center"/>
    </xf>
    <xf numFmtId="0" fontId="2" fillId="0" borderId="6" xfId="56" applyNumberFormat="1" applyFont="1" applyFill="1" applyBorder="1" applyAlignment="1">
      <alignment horizontal="center" vertical="center" wrapText="1"/>
    </xf>
    <xf numFmtId="0" fontId="2" fillId="0" borderId="7" xfId="59" applyNumberFormat="1" applyFont="1" applyFill="1" applyBorder="1" applyAlignment="1">
      <alignment vertical="center" wrapText="1"/>
    </xf>
    <xf numFmtId="0" fontId="4" fillId="0" borderId="7" xfId="33" applyNumberFormat="1" applyFont="1" applyFill="1" applyBorder="1" applyAlignment="1">
      <alignment horizontal="left" vertical="center" wrapText="1"/>
    </xf>
    <xf numFmtId="0" fontId="2" fillId="0" borderId="8" xfId="56" applyNumberFormat="1" applyFont="1" applyFill="1" applyBorder="1" applyAlignment="1">
      <alignment horizontal="center" vertical="center" wrapText="1"/>
    </xf>
    <xf numFmtId="0" fontId="2" fillId="0" borderId="9" xfId="56" applyNumberFormat="1" applyFont="1" applyFill="1" applyBorder="1" applyAlignment="1">
      <alignment horizontal="center" vertical="center" wrapText="1"/>
    </xf>
    <xf numFmtId="0" fontId="4" fillId="0" borderId="9" xfId="33" applyNumberFormat="1" applyFont="1" applyFill="1" applyBorder="1" applyAlignment="1">
      <alignment horizontal="center" vertical="center" wrapText="1"/>
    </xf>
    <xf numFmtId="0" fontId="2" fillId="0" borderId="5" xfId="56" applyNumberFormat="1" applyFont="1" applyFill="1" applyBorder="1" applyAlignment="1">
      <alignment horizontal="center" vertical="center" wrapText="1"/>
    </xf>
    <xf numFmtId="0" fontId="2" fillId="0" borderId="5" xfId="59" applyNumberFormat="1" applyFont="1" applyFill="1" applyBorder="1" applyAlignment="1">
      <alignment horizontal="center" vertical="center"/>
    </xf>
    <xf numFmtId="0" fontId="2" fillId="0" borderId="5" xfId="59" applyNumberFormat="1" applyFont="1" applyFill="1" applyBorder="1" applyAlignment="1">
      <alignment horizontal="center" vertical="center" wrapText="1"/>
    </xf>
    <xf numFmtId="0" fontId="4" fillId="0" borderId="4" xfId="56" applyNumberFormat="1" applyFont="1" applyFill="1" applyBorder="1" applyAlignment="1">
      <alignment horizontal="center" vertical="center" wrapText="1"/>
    </xf>
    <xf numFmtId="0" fontId="4" fillId="0" borderId="5" xfId="56" applyNumberFormat="1" applyFont="1" applyFill="1" applyBorder="1" applyAlignment="1">
      <alignment horizontal="center" vertical="center" wrapText="1"/>
    </xf>
    <xf numFmtId="0" fontId="4" fillId="0" borderId="5" xfId="33" applyNumberFormat="1" applyFont="1" applyFill="1" applyBorder="1" applyAlignment="1">
      <alignment horizontal="center" vertical="center" wrapText="1"/>
    </xf>
    <xf numFmtId="177" fontId="4" fillId="0" borderId="5" xfId="59" applyNumberFormat="1" applyFont="1" applyFill="1" applyBorder="1" applyAlignment="1">
      <alignment horizontal="center" vertical="center" wrapText="1"/>
    </xf>
    <xf numFmtId="0" fontId="2" fillId="0" borderId="4" xfId="18" applyNumberFormat="1" applyFont="1" applyFill="1" applyBorder="1" applyAlignment="1">
      <alignment horizontal="left" vertical="top" wrapText="1"/>
    </xf>
    <xf numFmtId="0" fontId="2" fillId="0" borderId="5" xfId="18" applyNumberFormat="1" applyFont="1" applyFill="1" applyBorder="1" applyAlignment="1">
      <alignment horizontal="left" vertical="top" wrapText="1"/>
    </xf>
    <xf numFmtId="0" fontId="2" fillId="0" borderId="6" xfId="18" applyNumberFormat="1" applyFont="1" applyFill="1" applyBorder="1" applyAlignment="1">
      <alignment horizontal="left" vertical="top" wrapText="1"/>
    </xf>
    <xf numFmtId="0" fontId="2" fillId="0" borderId="7" xfId="18" applyNumberFormat="1" applyFont="1" applyFill="1" applyBorder="1" applyAlignment="1">
      <alignment horizontal="left" vertical="top" wrapText="1"/>
    </xf>
    <xf numFmtId="0" fontId="2" fillId="0" borderId="0" xfId="54" applyFont="1" applyAlignment="1">
      <alignment horizontal="center" vertical="center" wrapText="1"/>
    </xf>
    <xf numFmtId="0" fontId="4" fillId="0" borderId="0" xfId="55" applyFont="1" applyAlignment="1">
      <alignment horizontal="left" vertical="center" wrapText="1"/>
    </xf>
    <xf numFmtId="0" fontId="2" fillId="0" borderId="0" xfId="54" applyFont="1" applyBorder="1" applyAlignment="1">
      <alignment horizontal="center" vertical="center" wrapText="1"/>
    </xf>
    <xf numFmtId="0" fontId="2" fillId="0" borderId="0" xfId="54" applyFont="1" applyBorder="1" applyAlignment="1">
      <alignment horizontal="left" vertical="center" wrapText="1"/>
    </xf>
    <xf numFmtId="0" fontId="2" fillId="0" borderId="0" xfId="59" applyFont="1" applyAlignment="1">
      <alignment vertical="center" wrapText="1"/>
    </xf>
    <xf numFmtId="0" fontId="2" fillId="0" borderId="0" xfId="47" applyAlignment="1">
      <alignment horizontal="center" vertical="top" wrapText="1"/>
    </xf>
    <xf numFmtId="0" fontId="4" fillId="0" borderId="0" xfId="51" applyAlignment="1">
      <alignment horizontal="center" vertical="top" wrapText="1"/>
    </xf>
    <xf numFmtId="0" fontId="2" fillId="0" borderId="1" xfId="57" applyFont="1" applyBorder="1" applyAlignment="1">
      <alignment horizontal="center" wrapText="1"/>
    </xf>
    <xf numFmtId="0" fontId="2" fillId="0" borderId="3" xfId="59" applyNumberFormat="1" applyFont="1" applyFill="1" applyBorder="1" applyAlignment="1">
      <alignment horizontal="center" vertical="center" wrapText="1"/>
    </xf>
    <xf numFmtId="0" fontId="2" fillId="0" borderId="9" xfId="59" applyNumberFormat="1" applyFont="1" applyFill="1" applyBorder="1" applyAlignment="1">
      <alignment horizontal="center" vertical="center" wrapText="1"/>
    </xf>
    <xf numFmtId="0" fontId="4" fillId="0" borderId="0" xfId="51" applyFont="1" applyAlignment="1">
      <alignment horizontal="center" vertical="center" wrapText="1"/>
    </xf>
    <xf numFmtId="0" fontId="2" fillId="0" borderId="0" xfId="47" applyFont="1" applyAlignment="1">
      <alignment horizontal="center" vertical="center" wrapText="1"/>
    </xf>
    <xf numFmtId="0" fontId="2" fillId="0" borderId="0" xfId="47" applyAlignment="1">
      <alignment horizontal="left" vertical="top" wrapText="1"/>
    </xf>
    <xf numFmtId="0" fontId="2" fillId="0" borderId="10" xfId="59" applyNumberFormat="1" applyFont="1" applyFill="1" applyBorder="1" applyAlignment="1">
      <alignment horizontal="center" vertical="center" wrapText="1"/>
    </xf>
    <xf numFmtId="0" fontId="2" fillId="0" borderId="11" xfId="59" applyNumberFormat="1" applyFont="1" applyFill="1" applyBorder="1" applyAlignment="1">
      <alignment horizontal="center" vertical="center" wrapText="1"/>
    </xf>
    <xf numFmtId="0" fontId="2" fillId="0" borderId="12" xfId="59" applyNumberFormat="1" applyFont="1" applyFill="1" applyBorder="1" applyAlignment="1">
      <alignment vertical="center" wrapText="1"/>
    </xf>
    <xf numFmtId="0" fontId="2" fillId="0" borderId="13" xfId="59" applyNumberFormat="1" applyFont="1" applyFill="1" applyBorder="1" applyAlignment="1">
      <alignment horizontal="center" vertical="center" wrapText="1"/>
    </xf>
    <xf numFmtId="177" fontId="4" fillId="0" borderId="11" xfId="59" applyNumberFormat="1" applyFont="1" applyFill="1" applyBorder="1" applyAlignment="1">
      <alignment horizontal="center" vertical="center" wrapText="1"/>
    </xf>
    <xf numFmtId="0" fontId="2" fillId="0" borderId="11" xfId="18" applyNumberFormat="1" applyFont="1" applyFill="1" applyBorder="1" applyAlignment="1">
      <alignment horizontal="left" vertical="top" wrapText="1"/>
    </xf>
    <xf numFmtId="0" fontId="2" fillId="0" borderId="12" xfId="18" applyNumberFormat="1" applyFont="1" applyFill="1" applyBorder="1" applyAlignment="1">
      <alignment horizontal="left" vertical="top" wrapText="1"/>
    </xf>
    <xf numFmtId="0" fontId="5" fillId="0" borderId="5" xfId="59" applyNumberFormat="1" applyFont="1" applyFill="1" applyBorder="1">
      <alignment vertical="center"/>
    </xf>
    <xf numFmtId="0" fontId="5" fillId="0" borderId="14" xfId="59" applyNumberFormat="1" applyFont="1" applyFill="1" applyBorder="1" applyAlignment="1">
      <alignment horizontal="left" vertical="center"/>
    </xf>
    <xf numFmtId="0" fontId="5" fillId="0" borderId="15" xfId="59" applyNumberFormat="1" applyFont="1" applyFill="1" applyBorder="1" applyAlignment="1">
      <alignment horizontal="left" vertical="center"/>
    </xf>
    <xf numFmtId="0" fontId="5" fillId="0" borderId="16" xfId="59" applyNumberFormat="1" applyFont="1" applyFill="1" applyBorder="1" applyAlignment="1">
      <alignment horizontal="left" vertical="center"/>
    </xf>
    <xf numFmtId="176" fontId="2" fillId="0" borderId="5" xfId="59" applyNumberFormat="1" applyFont="1" applyFill="1" applyBorder="1" applyAlignment="1">
      <alignment horizontal="center" vertical="center" wrapText="1"/>
    </xf>
    <xf numFmtId="0" fontId="4" fillId="0" borderId="9" xfId="59" applyNumberFormat="1" applyFont="1" applyFill="1" applyBorder="1" applyAlignment="1">
      <alignment horizontal="center" vertical="center" wrapText="1"/>
    </xf>
    <xf numFmtId="0" fontId="4" fillId="0" borderId="13" xfId="59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0" fontId="0" fillId="0" borderId="0" xfId="0" applyBorder="1">
      <alignment vertical="center"/>
    </xf>
    <xf numFmtId="0" fontId="8" fillId="0" borderId="1" xfId="0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>
      <alignment vertical="center"/>
    </xf>
    <xf numFmtId="0" fontId="8" fillId="0" borderId="9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5" xfId="0" applyFont="1" applyBorder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4" fontId="8" fillId="0" borderId="5" xfId="0" applyNumberFormat="1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3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10" fillId="0" borderId="25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24" xfId="0" applyFont="1" applyFill="1" applyBorder="1" applyAlignment="1">
      <alignment horizontal="left" vertical="center" wrapText="1"/>
    </xf>
    <xf numFmtId="0" fontId="10" fillId="0" borderId="21" xfId="0" applyFont="1" applyFill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7" fillId="0" borderId="0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10" fillId="0" borderId="26" xfId="0" applyFont="1" applyFill="1" applyBorder="1" applyAlignment="1">
      <alignment horizontal="left" vertical="center" wrapText="1"/>
    </xf>
    <xf numFmtId="0" fontId="10" fillId="0" borderId="28" xfId="0" applyFont="1" applyFill="1" applyBorder="1" applyAlignment="1">
      <alignment horizontal="left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top"/>
    </xf>
    <xf numFmtId="0" fontId="7" fillId="0" borderId="28" xfId="0" applyFont="1" applyBorder="1" applyAlignment="1">
      <alignment horizontal="left" vertical="top"/>
    </xf>
    <xf numFmtId="0" fontId="7" fillId="0" borderId="27" xfId="0" applyFont="1" applyBorder="1" applyAlignment="1">
      <alignment horizontal="left" vertical="top"/>
    </xf>
    <xf numFmtId="0" fontId="7" fillId="0" borderId="12" xfId="0" applyFont="1" applyBorder="1" applyAlignment="1">
      <alignment horizontal="left" vertical="center"/>
    </xf>
    <xf numFmtId="177" fontId="8" fillId="0" borderId="5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2" fillId="0" borderId="0" xfId="47" applyAlignment="1" quotePrefix="1">
      <alignment horizontal="center" vertical="top" wrapText="1"/>
    </xf>
    <xf numFmtId="0" fontId="2" fillId="0" borderId="0" xfId="57" applyFont="1" applyBorder="1" applyAlignment="1" quotePrefix="1">
      <alignment horizontal="center" wrapText="1"/>
    </xf>
    <xf numFmtId="0" fontId="2" fillId="0" borderId="2" xfId="56" applyNumberFormat="1" applyFont="1" applyFill="1" applyBorder="1" applyAlignment="1" quotePrefix="1">
      <alignment horizontal="center" vertical="center" wrapText="1"/>
    </xf>
    <xf numFmtId="0" fontId="2" fillId="0" borderId="4" xfId="56" applyNumberFormat="1" applyFont="1" applyFill="1" applyBorder="1" applyAlignment="1" quotePrefix="1">
      <alignment horizontal="center" vertical="center" wrapText="1"/>
    </xf>
    <xf numFmtId="0" fontId="2" fillId="0" borderId="6" xfId="56" applyNumberFormat="1" applyFont="1" applyFill="1" applyBorder="1" applyAlignment="1" quotePrefix="1">
      <alignment horizontal="center" vertical="center" wrapText="1"/>
    </xf>
    <xf numFmtId="0" fontId="2" fillId="0" borderId="4" xfId="18" applyNumberFormat="1" applyFont="1" applyFill="1" applyBorder="1" applyAlignment="1" quotePrefix="1">
      <alignment horizontal="left" vertical="top" wrapText="1"/>
    </xf>
    <xf numFmtId="0" fontId="4" fillId="0" borderId="0" xfId="55" applyFont="1" applyAlignment="1" quotePrefix="1">
      <alignment horizontal="left" vertical="center" wrapText="1"/>
    </xf>
    <xf numFmtId="0" fontId="2" fillId="0" borderId="0" xfId="54" applyFont="1" applyBorder="1" applyAlignment="1" quotePrefix="1">
      <alignment horizontal="center" vertical="center" wrapText="1"/>
    </xf>
    <xf numFmtId="0" fontId="4" fillId="0" borderId="0" xfId="51" applyFont="1" applyAlignment="1" quotePrefix="1">
      <alignment horizontal="center" vertical="center" wrapText="1"/>
    </xf>
    <xf numFmtId="0" fontId="2" fillId="0" borderId="0" xfId="47" applyFont="1" applyAlignment="1" quotePrefix="1">
      <alignment horizontal="center" vertical="center" wrapText="1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S4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S8" xfId="33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S0" xfId="44"/>
    <cellStyle name="40% - 强调文字颜色 4" xfId="45" builtinId="43"/>
    <cellStyle name="强调文字颜色 5" xfId="46" builtinId="45"/>
    <cellStyle name="S1" xfId="47"/>
    <cellStyle name="40% - 强调文字颜色 5" xfId="48" builtinId="47"/>
    <cellStyle name="60% - 强调文字颜色 5" xfId="49" builtinId="48"/>
    <cellStyle name="强调文字颜色 6" xfId="50" builtinId="49"/>
    <cellStyle name="S2" xfId="51"/>
    <cellStyle name="40% - 强调文字颜色 6" xfId="52" builtinId="51"/>
    <cellStyle name="60% - 强调文字颜色 6" xfId="53" builtinId="52"/>
    <cellStyle name="S10" xfId="54"/>
    <cellStyle name="S11" xfId="55"/>
    <cellStyle name="S3" xfId="56"/>
    <cellStyle name="S6" xfId="57"/>
    <cellStyle name="S7" xfId="58"/>
    <cellStyle name="常规 2" xfId="59"/>
    <cellStyle name="常规 3" xfId="6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B85"/>
  <sheetViews>
    <sheetView workbookViewId="0">
      <selection activeCell="CA20" sqref="CA20"/>
    </sheetView>
  </sheetViews>
  <sheetFormatPr defaultColWidth="1.62962962962963" defaultRowHeight="9.95" customHeight="1"/>
  <cols>
    <col min="7" max="7" width="1.37962962962963" customWidth="1"/>
    <col min="40" max="40" width="1.12962962962963" customWidth="1"/>
    <col min="41" max="41" width="1.25" customWidth="1"/>
  </cols>
  <sheetData>
    <row r="1" customHeight="1" spans="1:54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</row>
    <row r="2" customHeight="1" spans="1:5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</row>
    <row r="3" ht="6.75" customHeight="1" spans="1:54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</row>
    <row r="4" customHeight="1" spans="1:54">
      <c r="A4" s="64" t="s">
        <v>1</v>
      </c>
      <c r="H4" s="65" t="s">
        <v>2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4" t="s">
        <v>3</v>
      </c>
      <c r="AI4" s="64"/>
      <c r="AJ4" s="64"/>
      <c r="AK4" s="64"/>
      <c r="AL4" s="64"/>
      <c r="AM4" s="64"/>
      <c r="AN4" s="64"/>
      <c r="AO4" s="64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</row>
    <row r="5" s="61" customFormat="1" ht="6.75" customHeight="1" spans="1:54">
      <c r="A5"/>
      <c r="B5"/>
      <c r="C5"/>
      <c r="D5"/>
      <c r="E5"/>
      <c r="F5"/>
      <c r="G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4"/>
      <c r="AI5" s="64"/>
      <c r="AJ5" s="64"/>
      <c r="AK5" s="64"/>
      <c r="AL5" s="64"/>
      <c r="AM5" s="64"/>
      <c r="AN5" s="64"/>
      <c r="AO5" s="64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</row>
    <row r="6" s="61" customFormat="1" ht="1.5" customHeight="1" spans="1:54">
      <c r="A6" s="66"/>
      <c r="B6" s="66"/>
      <c r="C6" s="66"/>
      <c r="D6" s="66"/>
      <c r="E6" s="66"/>
      <c r="F6" s="66"/>
      <c r="G6" s="66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94"/>
      <c r="AI6" s="94"/>
      <c r="AJ6" s="94"/>
      <c r="AK6" s="94"/>
      <c r="AL6" s="94"/>
      <c r="AM6" s="94"/>
      <c r="AN6" s="94"/>
      <c r="AO6" s="94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</row>
    <row r="7" customHeight="1" spans="1:54">
      <c r="A7" s="68" t="s">
        <v>4</v>
      </c>
      <c r="B7" s="69"/>
      <c r="C7" s="69"/>
      <c r="D7" s="69"/>
      <c r="E7" s="69"/>
      <c r="F7" s="69"/>
      <c r="G7" s="69"/>
      <c r="H7" s="70" t="s">
        <v>5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69" t="s">
        <v>6</v>
      </c>
      <c r="AI7" s="69"/>
      <c r="AJ7" s="69"/>
      <c r="AK7" s="69"/>
      <c r="AL7" s="69"/>
      <c r="AM7" s="69"/>
      <c r="AN7" s="69"/>
      <c r="AO7" s="69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100"/>
    </row>
    <row r="8" customHeight="1" spans="1:54">
      <c r="A8" s="71"/>
      <c r="B8" s="72"/>
      <c r="C8" s="72"/>
      <c r="D8" s="72"/>
      <c r="E8" s="72"/>
      <c r="F8" s="72"/>
      <c r="G8" s="72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2"/>
      <c r="AI8" s="72"/>
      <c r="AJ8" s="72"/>
      <c r="AK8" s="72"/>
      <c r="AL8" s="72"/>
      <c r="AM8" s="72"/>
      <c r="AN8" s="72"/>
      <c r="AO8" s="72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101"/>
    </row>
    <row r="9" customHeight="1" spans="1:54">
      <c r="A9" s="71" t="s">
        <v>7</v>
      </c>
      <c r="B9" s="72"/>
      <c r="C9" s="72"/>
      <c r="D9" s="72"/>
      <c r="E9" s="72"/>
      <c r="F9" s="72"/>
      <c r="G9" s="72"/>
      <c r="H9" s="73" t="s">
        <v>8</v>
      </c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2" t="s">
        <v>9</v>
      </c>
      <c r="AI9" s="72"/>
      <c r="AJ9" s="72"/>
      <c r="AK9" s="72"/>
      <c r="AL9" s="72"/>
      <c r="AM9" s="72"/>
      <c r="AN9" s="72"/>
      <c r="AO9" s="72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101"/>
    </row>
    <row r="10" customHeight="1" spans="1:54">
      <c r="A10" s="71"/>
      <c r="B10" s="72"/>
      <c r="C10" s="72"/>
      <c r="D10" s="72"/>
      <c r="E10" s="72"/>
      <c r="F10" s="72"/>
      <c r="G10" s="7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2"/>
      <c r="AI10" s="72"/>
      <c r="AJ10" s="72"/>
      <c r="AK10" s="72"/>
      <c r="AL10" s="72"/>
      <c r="AM10" s="72"/>
      <c r="AN10" s="72"/>
      <c r="AO10" s="72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101"/>
    </row>
    <row r="11" customHeight="1" spans="1:54">
      <c r="A11" s="71" t="s">
        <v>10</v>
      </c>
      <c r="B11" s="72"/>
      <c r="C11" s="72"/>
      <c r="D11" s="72"/>
      <c r="E11" s="72"/>
      <c r="F11" s="72"/>
      <c r="G11" s="72"/>
      <c r="H11" s="73" t="s">
        <v>11</v>
      </c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2" t="s">
        <v>12</v>
      </c>
      <c r="AI11" s="72"/>
      <c r="AJ11" s="72"/>
      <c r="AK11" s="72"/>
      <c r="AL11" s="72"/>
      <c r="AM11" s="72"/>
      <c r="AN11" s="72"/>
      <c r="AO11" s="72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101"/>
    </row>
    <row r="12" customHeight="1" spans="1:54">
      <c r="A12" s="71"/>
      <c r="B12" s="72"/>
      <c r="C12" s="72"/>
      <c r="D12" s="72"/>
      <c r="E12" s="72"/>
      <c r="F12" s="72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2"/>
      <c r="AI12" s="72"/>
      <c r="AJ12" s="72"/>
      <c r="AK12" s="72"/>
      <c r="AL12" s="72"/>
      <c r="AM12" s="72"/>
      <c r="AN12" s="72"/>
      <c r="AO12" s="72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101"/>
    </row>
    <row r="13" customHeight="1" spans="1:54">
      <c r="A13" s="71" t="s">
        <v>13</v>
      </c>
      <c r="B13" s="72"/>
      <c r="C13" s="72"/>
      <c r="D13" s="72"/>
      <c r="E13" s="72"/>
      <c r="F13" s="72"/>
      <c r="G13" s="72"/>
      <c r="H13" s="73" t="s">
        <v>14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2" t="s">
        <v>15</v>
      </c>
      <c r="AI13" s="72"/>
      <c r="AJ13" s="72"/>
      <c r="AK13" s="72"/>
      <c r="AL13" s="72"/>
      <c r="AM13" s="72"/>
      <c r="AN13" s="72"/>
      <c r="AO13" s="72"/>
      <c r="AP13" s="73" t="s">
        <v>16</v>
      </c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101"/>
    </row>
    <row r="14" customHeight="1" spans="1:54">
      <c r="A14" s="71"/>
      <c r="B14" s="72"/>
      <c r="C14" s="72"/>
      <c r="D14" s="72"/>
      <c r="E14" s="72"/>
      <c r="F14" s="72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2"/>
      <c r="AI14" s="72"/>
      <c r="AJ14" s="72"/>
      <c r="AK14" s="72"/>
      <c r="AL14" s="72"/>
      <c r="AM14" s="72"/>
      <c r="AN14" s="72"/>
      <c r="AO14" s="72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101"/>
    </row>
    <row r="15" customHeight="1" spans="1:54">
      <c r="A15" s="71" t="s">
        <v>17</v>
      </c>
      <c r="B15" s="72"/>
      <c r="C15" s="72"/>
      <c r="D15" s="72"/>
      <c r="E15" s="72"/>
      <c r="F15" s="72"/>
      <c r="G15" s="72"/>
      <c r="H15" s="73" t="s">
        <v>18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2" t="s">
        <v>19</v>
      </c>
      <c r="AI15" s="72"/>
      <c r="AJ15" s="72"/>
      <c r="AK15" s="72"/>
      <c r="AL15" s="72"/>
      <c r="AM15" s="72"/>
      <c r="AN15" s="72"/>
      <c r="AO15" s="72"/>
      <c r="AP15" s="73" t="s">
        <v>20</v>
      </c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101"/>
    </row>
    <row r="16" customHeight="1" spans="1:54">
      <c r="A16" s="71"/>
      <c r="B16" s="72"/>
      <c r="C16" s="72"/>
      <c r="D16" s="72"/>
      <c r="E16" s="72"/>
      <c r="F16" s="72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2"/>
      <c r="AI16" s="72"/>
      <c r="AJ16" s="72"/>
      <c r="AK16" s="72"/>
      <c r="AL16" s="72"/>
      <c r="AM16" s="72"/>
      <c r="AN16" s="72"/>
      <c r="AO16" s="72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101"/>
    </row>
    <row r="17" customHeight="1" spans="1:54">
      <c r="A17" s="71" t="s">
        <v>21</v>
      </c>
      <c r="B17" s="72"/>
      <c r="C17" s="72"/>
      <c r="D17" s="72"/>
      <c r="E17" s="72"/>
      <c r="F17" s="72"/>
      <c r="G17" s="72"/>
      <c r="H17" s="73" t="s">
        <v>22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2" t="s">
        <v>23</v>
      </c>
      <c r="AI17" s="72"/>
      <c r="AJ17" s="72"/>
      <c r="AK17" s="72"/>
      <c r="AL17" s="72"/>
      <c r="AM17" s="72"/>
      <c r="AN17" s="72"/>
      <c r="AO17" s="72"/>
      <c r="AP17" s="98">
        <v>42502</v>
      </c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101"/>
    </row>
    <row r="18" customHeight="1" spans="1:54">
      <c r="A18" s="71"/>
      <c r="B18" s="72"/>
      <c r="C18" s="72"/>
      <c r="D18" s="72"/>
      <c r="E18" s="72"/>
      <c r="F18" s="72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2"/>
      <c r="AI18" s="72"/>
      <c r="AJ18" s="72"/>
      <c r="AK18" s="72"/>
      <c r="AL18" s="72"/>
      <c r="AM18" s="72"/>
      <c r="AN18" s="72"/>
      <c r="AO18" s="72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101"/>
    </row>
    <row r="19" customHeight="1" spans="1:54">
      <c r="A19" s="71" t="s">
        <v>24</v>
      </c>
      <c r="B19" s="72"/>
      <c r="C19" s="72"/>
      <c r="D19" s="72"/>
      <c r="E19" s="72"/>
      <c r="F19" s="72"/>
      <c r="G19" s="72"/>
      <c r="H19" s="74" t="s">
        <v>25</v>
      </c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2" t="s">
        <v>26</v>
      </c>
      <c r="AI19" s="72"/>
      <c r="AJ19" s="72"/>
      <c r="AK19" s="72"/>
      <c r="AL19" s="72"/>
      <c r="AM19" s="72"/>
      <c r="AN19" s="72"/>
      <c r="AO19" s="72"/>
      <c r="AP19" s="73" t="s">
        <v>27</v>
      </c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101"/>
    </row>
    <row r="20" customHeight="1" spans="1:54">
      <c r="A20" s="71"/>
      <c r="B20" s="72"/>
      <c r="C20" s="72"/>
      <c r="D20" s="72"/>
      <c r="E20" s="72"/>
      <c r="F20" s="72"/>
      <c r="G20" s="72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2"/>
      <c r="AI20" s="72"/>
      <c r="AJ20" s="72"/>
      <c r="AK20" s="72"/>
      <c r="AL20" s="72"/>
      <c r="AM20" s="72"/>
      <c r="AN20" s="72"/>
      <c r="AO20" s="72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101"/>
    </row>
    <row r="21" customHeight="1" spans="1:54">
      <c r="A21" s="75" t="s">
        <v>28</v>
      </c>
      <c r="B21" s="76"/>
      <c r="C21" s="76"/>
      <c r="D21" s="76"/>
      <c r="E21" s="76"/>
      <c r="F21" s="76"/>
      <c r="G21" s="76"/>
      <c r="H21" s="73" t="s">
        <v>29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2" t="s">
        <v>30</v>
      </c>
      <c r="AI21" s="72"/>
      <c r="AJ21" s="72"/>
      <c r="AK21" s="72"/>
      <c r="AL21" s="72"/>
      <c r="AM21" s="72"/>
      <c r="AN21" s="72"/>
      <c r="AO21" s="72"/>
      <c r="AP21" s="73" t="s">
        <v>31</v>
      </c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101"/>
    </row>
    <row r="22" ht="9.75" customHeight="1" spans="1:54">
      <c r="A22" s="75"/>
      <c r="B22" s="76"/>
      <c r="C22" s="76"/>
      <c r="D22" s="76"/>
      <c r="E22" s="76"/>
      <c r="F22" s="76"/>
      <c r="G22" s="76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2"/>
      <c r="AI22" s="72"/>
      <c r="AJ22" s="72"/>
      <c r="AK22" s="72"/>
      <c r="AL22" s="72"/>
      <c r="AM22" s="72"/>
      <c r="AN22" s="72"/>
      <c r="AO22" s="72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101"/>
    </row>
    <row r="23" ht="4.5" customHeight="1" spans="1:54">
      <c r="A23" s="77"/>
      <c r="B23" s="78"/>
      <c r="C23" s="78"/>
      <c r="D23" s="78"/>
      <c r="E23" s="78"/>
      <c r="F23" s="78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95"/>
      <c r="AI23" s="95"/>
      <c r="AJ23" s="95"/>
      <c r="AK23" s="95"/>
      <c r="AL23" s="95"/>
      <c r="AM23" s="95"/>
      <c r="AN23" s="95"/>
      <c r="AO23" s="95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102"/>
    </row>
    <row r="24" customHeight="1" spans="1:54">
      <c r="A24" s="80" t="s">
        <v>32</v>
      </c>
      <c r="B24" s="81"/>
      <c r="C24" s="81"/>
      <c r="D24" s="81"/>
      <c r="E24" s="81"/>
      <c r="F24" s="81"/>
      <c r="G24" s="81"/>
      <c r="H24" s="82" t="s">
        <v>33</v>
      </c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99" t="s">
        <v>34</v>
      </c>
      <c r="AQ24" s="99"/>
      <c r="AR24" s="99"/>
      <c r="AS24" s="99"/>
      <c r="AT24" s="99"/>
      <c r="AU24" s="99"/>
      <c r="AV24" s="82" t="s">
        <v>35</v>
      </c>
      <c r="AW24" s="82"/>
      <c r="AX24" s="82"/>
      <c r="AY24" s="82"/>
      <c r="AZ24" s="82"/>
      <c r="BA24" s="82"/>
      <c r="BB24" s="103"/>
    </row>
    <row r="25" customHeight="1" spans="1:54">
      <c r="A25" s="83"/>
      <c r="B25" s="84"/>
      <c r="C25" s="84"/>
      <c r="D25" s="84"/>
      <c r="E25" s="84"/>
      <c r="F25" s="84"/>
      <c r="G25" s="84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72"/>
      <c r="AQ25" s="72"/>
      <c r="AR25" s="72"/>
      <c r="AS25" s="72"/>
      <c r="AT25" s="72"/>
      <c r="AU25" s="72"/>
      <c r="AV25" s="85"/>
      <c r="AW25" s="85"/>
      <c r="AX25" s="85"/>
      <c r="AY25" s="85"/>
      <c r="AZ25" s="85"/>
      <c r="BA25" s="85"/>
      <c r="BB25" s="104"/>
    </row>
    <row r="26" customHeight="1" spans="1:54">
      <c r="A26" s="71" t="s">
        <v>36</v>
      </c>
      <c r="B26" s="72"/>
      <c r="C26" s="72"/>
      <c r="D26" s="72"/>
      <c r="E26" s="72"/>
      <c r="F26" s="72"/>
      <c r="G26" s="72"/>
      <c r="H26" s="72" t="s">
        <v>37</v>
      </c>
      <c r="I26" s="72"/>
      <c r="J26" s="72"/>
      <c r="K26" s="72"/>
      <c r="L26" s="72"/>
      <c r="M26" s="72"/>
      <c r="N26" s="72" t="s">
        <v>38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 t="s">
        <v>39</v>
      </c>
      <c r="AQ26" s="72"/>
      <c r="AR26" s="72"/>
      <c r="AS26" s="72"/>
      <c r="AT26" s="72"/>
      <c r="AU26" s="72"/>
      <c r="AV26" s="72" t="s">
        <v>40</v>
      </c>
      <c r="AW26" s="72"/>
      <c r="AX26" s="72"/>
      <c r="AY26" s="72"/>
      <c r="AZ26" s="72"/>
      <c r="BA26" s="72"/>
      <c r="BB26" s="105"/>
    </row>
    <row r="27" customHeight="1" spans="1:54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105"/>
    </row>
    <row r="28" customHeight="1" spans="1:54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>
        <v>1</v>
      </c>
      <c r="O28" s="72"/>
      <c r="P28" s="72"/>
      <c r="Q28" s="72"/>
      <c r="R28" s="72">
        <v>2</v>
      </c>
      <c r="S28" s="72"/>
      <c r="T28" s="72"/>
      <c r="U28" s="72"/>
      <c r="V28" s="72">
        <v>3</v>
      </c>
      <c r="W28" s="72"/>
      <c r="X28" s="72"/>
      <c r="Y28" s="72"/>
      <c r="Z28" s="72">
        <v>4</v>
      </c>
      <c r="AA28" s="72"/>
      <c r="AB28" s="72"/>
      <c r="AC28" s="72"/>
      <c r="AD28" s="72">
        <v>5</v>
      </c>
      <c r="AE28" s="72"/>
      <c r="AF28" s="72"/>
      <c r="AG28" s="72"/>
      <c r="AH28" s="72">
        <v>6</v>
      </c>
      <c r="AI28" s="72"/>
      <c r="AJ28" s="72"/>
      <c r="AK28" s="72"/>
      <c r="AL28" s="72" t="s">
        <v>41</v>
      </c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105"/>
    </row>
    <row r="29" customHeight="1" spans="1:54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105"/>
    </row>
    <row r="30" ht="9" customHeight="1" spans="1:54">
      <c r="A30" s="86">
        <v>1</v>
      </c>
      <c r="B30" s="85"/>
      <c r="C30" s="85"/>
      <c r="D30" s="85"/>
      <c r="E30" s="85"/>
      <c r="F30" s="85"/>
      <c r="G30" s="85"/>
      <c r="H30" s="85" t="s">
        <v>31</v>
      </c>
      <c r="I30" s="85"/>
      <c r="J30" s="85"/>
      <c r="K30" s="85"/>
      <c r="L30" s="85"/>
      <c r="M30" s="85"/>
      <c r="N30" s="93">
        <v>22.5</v>
      </c>
      <c r="O30" s="93"/>
      <c r="P30" s="93"/>
      <c r="Q30" s="93"/>
      <c r="R30" s="93">
        <v>21.5</v>
      </c>
      <c r="S30" s="93"/>
      <c r="T30" s="93"/>
      <c r="U30" s="93"/>
      <c r="V30" s="93">
        <v>23</v>
      </c>
      <c r="W30" s="93"/>
      <c r="X30" s="93"/>
      <c r="Y30" s="93"/>
      <c r="Z30" s="93">
        <v>21.5</v>
      </c>
      <c r="AA30" s="93"/>
      <c r="AB30" s="93"/>
      <c r="AC30" s="93"/>
      <c r="AD30" s="85" t="s">
        <v>42</v>
      </c>
      <c r="AE30" s="85"/>
      <c r="AF30" s="85"/>
      <c r="AG30" s="85"/>
      <c r="AH30" s="85" t="s">
        <v>42</v>
      </c>
      <c r="AI30" s="85"/>
      <c r="AJ30" s="85"/>
      <c r="AK30" s="85"/>
      <c r="AL30" s="93">
        <f>AVERAGE(N30:AC31)</f>
        <v>22.125</v>
      </c>
      <c r="AM30" s="85"/>
      <c r="AN30" s="85"/>
      <c r="AO30" s="85"/>
      <c r="AP30" s="85" t="s">
        <v>43</v>
      </c>
      <c r="AQ30" s="85"/>
      <c r="AR30" s="85"/>
      <c r="AS30" s="85"/>
      <c r="AT30" s="85"/>
      <c r="AU30" s="85"/>
      <c r="AV30" s="85" t="s">
        <v>42</v>
      </c>
      <c r="AW30" s="85"/>
      <c r="AX30" s="85"/>
      <c r="AY30" s="85"/>
      <c r="AZ30" s="85"/>
      <c r="BA30" s="85"/>
      <c r="BB30" s="104"/>
    </row>
    <row r="31" ht="9" customHeight="1" spans="1:54">
      <c r="A31" s="86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104"/>
    </row>
    <row r="32" ht="9" customHeight="1" spans="1:54">
      <c r="A32" s="87" t="s">
        <v>42</v>
      </c>
      <c r="B32" s="88"/>
      <c r="C32" s="88"/>
      <c r="D32" s="88"/>
      <c r="E32" s="88"/>
      <c r="F32" s="88"/>
      <c r="G32" s="89"/>
      <c r="H32" s="85" t="s">
        <v>42</v>
      </c>
      <c r="I32" s="85"/>
      <c r="J32" s="85"/>
      <c r="K32" s="85"/>
      <c r="L32" s="85"/>
      <c r="M32" s="85"/>
      <c r="N32" s="85" t="s">
        <v>42</v>
      </c>
      <c r="O32" s="85"/>
      <c r="P32" s="85"/>
      <c r="Q32" s="85"/>
      <c r="R32" s="85" t="s">
        <v>42</v>
      </c>
      <c r="S32" s="85"/>
      <c r="T32" s="85"/>
      <c r="U32" s="85"/>
      <c r="V32" s="85" t="s">
        <v>42</v>
      </c>
      <c r="W32" s="85"/>
      <c r="X32" s="85"/>
      <c r="Y32" s="85"/>
      <c r="Z32" s="85" t="s">
        <v>42</v>
      </c>
      <c r="AA32" s="85"/>
      <c r="AB32" s="85"/>
      <c r="AC32" s="85"/>
      <c r="AD32" s="85" t="s">
        <v>42</v>
      </c>
      <c r="AE32" s="85"/>
      <c r="AF32" s="85"/>
      <c r="AG32" s="85"/>
      <c r="AH32" s="85" t="s">
        <v>42</v>
      </c>
      <c r="AI32" s="85"/>
      <c r="AJ32" s="85"/>
      <c r="AK32" s="85"/>
      <c r="AL32" s="85" t="s">
        <v>42</v>
      </c>
      <c r="AM32" s="85"/>
      <c r="AN32" s="85"/>
      <c r="AO32" s="85"/>
      <c r="AP32" s="85" t="s">
        <v>42</v>
      </c>
      <c r="AQ32" s="85"/>
      <c r="AR32" s="85"/>
      <c r="AS32" s="85"/>
      <c r="AT32" s="85"/>
      <c r="AU32" s="85"/>
      <c r="AV32" s="85" t="s">
        <v>42</v>
      </c>
      <c r="AW32" s="85"/>
      <c r="AX32" s="85"/>
      <c r="AY32" s="85"/>
      <c r="AZ32" s="85"/>
      <c r="BA32" s="85"/>
      <c r="BB32" s="104"/>
    </row>
    <row r="33" ht="9" customHeight="1" spans="1:54">
      <c r="A33" s="90"/>
      <c r="B33" s="91"/>
      <c r="C33" s="91"/>
      <c r="D33" s="91"/>
      <c r="E33" s="91"/>
      <c r="F33" s="91"/>
      <c r="G33" s="92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104"/>
    </row>
    <row r="34" ht="9" customHeight="1" spans="1:54">
      <c r="A34" s="87" t="s">
        <v>42</v>
      </c>
      <c r="B34" s="88"/>
      <c r="C34" s="88"/>
      <c r="D34" s="88"/>
      <c r="E34" s="88"/>
      <c r="F34" s="88"/>
      <c r="G34" s="89"/>
      <c r="H34" s="85" t="s">
        <v>42</v>
      </c>
      <c r="I34" s="85"/>
      <c r="J34" s="85"/>
      <c r="K34" s="85"/>
      <c r="L34" s="85"/>
      <c r="M34" s="85"/>
      <c r="N34" s="85" t="s">
        <v>42</v>
      </c>
      <c r="O34" s="85"/>
      <c r="P34" s="85"/>
      <c r="Q34" s="85"/>
      <c r="R34" s="85" t="s">
        <v>42</v>
      </c>
      <c r="S34" s="85"/>
      <c r="T34" s="85"/>
      <c r="U34" s="85"/>
      <c r="V34" s="85" t="s">
        <v>42</v>
      </c>
      <c r="W34" s="85"/>
      <c r="X34" s="85"/>
      <c r="Y34" s="85"/>
      <c r="Z34" s="85" t="s">
        <v>42</v>
      </c>
      <c r="AA34" s="85"/>
      <c r="AB34" s="85"/>
      <c r="AC34" s="85"/>
      <c r="AD34" s="85" t="s">
        <v>42</v>
      </c>
      <c r="AE34" s="85"/>
      <c r="AF34" s="85"/>
      <c r="AG34" s="85"/>
      <c r="AH34" s="85" t="s">
        <v>42</v>
      </c>
      <c r="AI34" s="85"/>
      <c r="AJ34" s="85"/>
      <c r="AK34" s="85"/>
      <c r="AL34" s="85" t="s">
        <v>42</v>
      </c>
      <c r="AM34" s="85"/>
      <c r="AN34" s="85"/>
      <c r="AO34" s="85"/>
      <c r="AP34" s="85" t="s">
        <v>42</v>
      </c>
      <c r="AQ34" s="85"/>
      <c r="AR34" s="85"/>
      <c r="AS34" s="85"/>
      <c r="AT34" s="85"/>
      <c r="AU34" s="85"/>
      <c r="AV34" s="85" t="s">
        <v>42</v>
      </c>
      <c r="AW34" s="85"/>
      <c r="AX34" s="85"/>
      <c r="AY34" s="85"/>
      <c r="AZ34" s="85"/>
      <c r="BA34" s="85"/>
      <c r="BB34" s="104"/>
    </row>
    <row r="35" ht="9" customHeight="1" spans="1:54">
      <c r="A35" s="90"/>
      <c r="B35" s="91"/>
      <c r="C35" s="91"/>
      <c r="D35" s="91"/>
      <c r="E35" s="91"/>
      <c r="F35" s="91"/>
      <c r="G35" s="92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104"/>
    </row>
    <row r="36" ht="9" customHeight="1" spans="1:54">
      <c r="A36" s="87" t="s">
        <v>42</v>
      </c>
      <c r="B36" s="88"/>
      <c r="C36" s="88"/>
      <c r="D36" s="88"/>
      <c r="E36" s="88"/>
      <c r="F36" s="88"/>
      <c r="G36" s="89"/>
      <c r="H36" s="85" t="s">
        <v>42</v>
      </c>
      <c r="I36" s="85"/>
      <c r="J36" s="85"/>
      <c r="K36" s="85"/>
      <c r="L36" s="85"/>
      <c r="M36" s="85"/>
      <c r="N36" s="85" t="s">
        <v>42</v>
      </c>
      <c r="O36" s="85"/>
      <c r="P36" s="85"/>
      <c r="Q36" s="85"/>
      <c r="R36" s="85" t="s">
        <v>42</v>
      </c>
      <c r="S36" s="85"/>
      <c r="T36" s="85"/>
      <c r="U36" s="85"/>
      <c r="V36" s="85" t="s">
        <v>42</v>
      </c>
      <c r="W36" s="85"/>
      <c r="X36" s="85"/>
      <c r="Y36" s="85"/>
      <c r="Z36" s="85" t="s">
        <v>42</v>
      </c>
      <c r="AA36" s="85"/>
      <c r="AB36" s="85"/>
      <c r="AC36" s="85"/>
      <c r="AD36" s="85" t="s">
        <v>42</v>
      </c>
      <c r="AE36" s="85"/>
      <c r="AF36" s="85"/>
      <c r="AG36" s="85"/>
      <c r="AH36" s="85" t="s">
        <v>42</v>
      </c>
      <c r="AI36" s="85"/>
      <c r="AJ36" s="85"/>
      <c r="AK36" s="85"/>
      <c r="AL36" s="85" t="s">
        <v>42</v>
      </c>
      <c r="AM36" s="85"/>
      <c r="AN36" s="85"/>
      <c r="AO36" s="85"/>
      <c r="AP36" s="85" t="s">
        <v>42</v>
      </c>
      <c r="AQ36" s="85"/>
      <c r="AR36" s="85"/>
      <c r="AS36" s="85"/>
      <c r="AT36" s="85"/>
      <c r="AU36" s="85"/>
      <c r="AV36" s="85" t="s">
        <v>42</v>
      </c>
      <c r="AW36" s="85"/>
      <c r="AX36" s="85"/>
      <c r="AY36" s="85"/>
      <c r="AZ36" s="85"/>
      <c r="BA36" s="85"/>
      <c r="BB36" s="104"/>
    </row>
    <row r="37" ht="9" customHeight="1" spans="1:54">
      <c r="A37" s="90"/>
      <c r="B37" s="91"/>
      <c r="C37" s="91"/>
      <c r="D37" s="91"/>
      <c r="E37" s="91"/>
      <c r="F37" s="91"/>
      <c r="G37" s="92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104"/>
    </row>
    <row r="38" ht="9" customHeight="1" spans="1:54">
      <c r="A38" s="87" t="s">
        <v>42</v>
      </c>
      <c r="B38" s="88"/>
      <c r="C38" s="88"/>
      <c r="D38" s="88"/>
      <c r="E38" s="88"/>
      <c r="F38" s="88"/>
      <c r="G38" s="89"/>
      <c r="H38" s="85" t="s">
        <v>42</v>
      </c>
      <c r="I38" s="85"/>
      <c r="J38" s="85"/>
      <c r="K38" s="85"/>
      <c r="L38" s="85"/>
      <c r="M38" s="85"/>
      <c r="N38" s="85" t="s">
        <v>42</v>
      </c>
      <c r="O38" s="85"/>
      <c r="P38" s="85"/>
      <c r="Q38" s="85"/>
      <c r="R38" s="85" t="s">
        <v>42</v>
      </c>
      <c r="S38" s="85"/>
      <c r="T38" s="85"/>
      <c r="U38" s="85"/>
      <c r="V38" s="85" t="s">
        <v>42</v>
      </c>
      <c r="W38" s="85"/>
      <c r="X38" s="85"/>
      <c r="Y38" s="85"/>
      <c r="Z38" s="85" t="s">
        <v>42</v>
      </c>
      <c r="AA38" s="85"/>
      <c r="AB38" s="85"/>
      <c r="AC38" s="85"/>
      <c r="AD38" s="85" t="s">
        <v>42</v>
      </c>
      <c r="AE38" s="85"/>
      <c r="AF38" s="85"/>
      <c r="AG38" s="85"/>
      <c r="AH38" s="85" t="s">
        <v>42</v>
      </c>
      <c r="AI38" s="85"/>
      <c r="AJ38" s="85"/>
      <c r="AK38" s="85"/>
      <c r="AL38" s="85" t="s">
        <v>42</v>
      </c>
      <c r="AM38" s="85"/>
      <c r="AN38" s="85"/>
      <c r="AO38" s="85"/>
      <c r="AP38" s="85" t="s">
        <v>42</v>
      </c>
      <c r="AQ38" s="85"/>
      <c r="AR38" s="85"/>
      <c r="AS38" s="85"/>
      <c r="AT38" s="85"/>
      <c r="AU38" s="85"/>
      <c r="AV38" s="85" t="s">
        <v>42</v>
      </c>
      <c r="AW38" s="85"/>
      <c r="AX38" s="85"/>
      <c r="AY38" s="85"/>
      <c r="AZ38" s="85"/>
      <c r="BA38" s="85"/>
      <c r="BB38" s="104"/>
    </row>
    <row r="39" ht="9" customHeight="1" spans="1:54">
      <c r="A39" s="90"/>
      <c r="B39" s="91"/>
      <c r="C39" s="91"/>
      <c r="D39" s="91"/>
      <c r="E39" s="91"/>
      <c r="F39" s="91"/>
      <c r="G39" s="92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104"/>
    </row>
    <row r="40" ht="9" customHeight="1" spans="1:54">
      <c r="A40" s="87" t="s">
        <v>42</v>
      </c>
      <c r="B40" s="88"/>
      <c r="C40" s="88"/>
      <c r="D40" s="88"/>
      <c r="E40" s="88"/>
      <c r="F40" s="88"/>
      <c r="G40" s="89"/>
      <c r="H40" s="85" t="s">
        <v>42</v>
      </c>
      <c r="I40" s="85"/>
      <c r="J40" s="85"/>
      <c r="K40" s="85"/>
      <c r="L40" s="85"/>
      <c r="M40" s="85"/>
      <c r="N40" s="85" t="s">
        <v>42</v>
      </c>
      <c r="O40" s="85"/>
      <c r="P40" s="85"/>
      <c r="Q40" s="85"/>
      <c r="R40" s="85" t="s">
        <v>42</v>
      </c>
      <c r="S40" s="85"/>
      <c r="T40" s="85"/>
      <c r="U40" s="85"/>
      <c r="V40" s="85" t="s">
        <v>42</v>
      </c>
      <c r="W40" s="85"/>
      <c r="X40" s="85"/>
      <c r="Y40" s="85"/>
      <c r="Z40" s="85" t="s">
        <v>42</v>
      </c>
      <c r="AA40" s="85"/>
      <c r="AB40" s="85"/>
      <c r="AC40" s="85"/>
      <c r="AD40" s="85" t="s">
        <v>42</v>
      </c>
      <c r="AE40" s="85"/>
      <c r="AF40" s="85"/>
      <c r="AG40" s="85"/>
      <c r="AH40" s="85" t="s">
        <v>42</v>
      </c>
      <c r="AI40" s="85"/>
      <c r="AJ40" s="85"/>
      <c r="AK40" s="85"/>
      <c r="AL40" s="85" t="s">
        <v>42</v>
      </c>
      <c r="AM40" s="85"/>
      <c r="AN40" s="85"/>
      <c r="AO40" s="85"/>
      <c r="AP40" s="85" t="s">
        <v>42</v>
      </c>
      <c r="AQ40" s="85"/>
      <c r="AR40" s="85"/>
      <c r="AS40" s="85"/>
      <c r="AT40" s="85"/>
      <c r="AU40" s="85"/>
      <c r="AV40" s="85" t="s">
        <v>42</v>
      </c>
      <c r="AW40" s="85"/>
      <c r="AX40" s="85"/>
      <c r="AY40" s="85"/>
      <c r="AZ40" s="85"/>
      <c r="BA40" s="85"/>
      <c r="BB40" s="104"/>
    </row>
    <row r="41" ht="9" customHeight="1" spans="1:54">
      <c r="A41" s="90"/>
      <c r="B41" s="91"/>
      <c r="C41" s="91"/>
      <c r="D41" s="91"/>
      <c r="E41" s="91"/>
      <c r="F41" s="91"/>
      <c r="G41" s="92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104"/>
    </row>
    <row r="42" ht="9" customHeight="1" spans="1:54">
      <c r="A42" s="87" t="s">
        <v>42</v>
      </c>
      <c r="B42" s="88"/>
      <c r="C42" s="88"/>
      <c r="D42" s="88"/>
      <c r="E42" s="88"/>
      <c r="F42" s="88"/>
      <c r="G42" s="89"/>
      <c r="H42" s="85" t="s">
        <v>42</v>
      </c>
      <c r="I42" s="85"/>
      <c r="J42" s="85"/>
      <c r="K42" s="85"/>
      <c r="L42" s="85"/>
      <c r="M42" s="85"/>
      <c r="N42" s="85" t="s">
        <v>42</v>
      </c>
      <c r="O42" s="85"/>
      <c r="P42" s="85"/>
      <c r="Q42" s="85"/>
      <c r="R42" s="85" t="s">
        <v>42</v>
      </c>
      <c r="S42" s="85"/>
      <c r="T42" s="85"/>
      <c r="U42" s="85"/>
      <c r="V42" s="85" t="s">
        <v>42</v>
      </c>
      <c r="W42" s="85"/>
      <c r="X42" s="85"/>
      <c r="Y42" s="85"/>
      <c r="Z42" s="85" t="s">
        <v>42</v>
      </c>
      <c r="AA42" s="85"/>
      <c r="AB42" s="85"/>
      <c r="AC42" s="85"/>
      <c r="AD42" s="85" t="s">
        <v>42</v>
      </c>
      <c r="AE42" s="85"/>
      <c r="AF42" s="85"/>
      <c r="AG42" s="85"/>
      <c r="AH42" s="85" t="s">
        <v>42</v>
      </c>
      <c r="AI42" s="85"/>
      <c r="AJ42" s="85"/>
      <c r="AK42" s="85"/>
      <c r="AL42" s="85" t="s">
        <v>42</v>
      </c>
      <c r="AM42" s="85"/>
      <c r="AN42" s="85"/>
      <c r="AO42" s="85"/>
      <c r="AP42" s="85" t="s">
        <v>42</v>
      </c>
      <c r="AQ42" s="85"/>
      <c r="AR42" s="85"/>
      <c r="AS42" s="85"/>
      <c r="AT42" s="85"/>
      <c r="AU42" s="85"/>
      <c r="AV42" s="85" t="s">
        <v>42</v>
      </c>
      <c r="AW42" s="85"/>
      <c r="AX42" s="85"/>
      <c r="AY42" s="85"/>
      <c r="AZ42" s="85"/>
      <c r="BA42" s="85"/>
      <c r="BB42" s="104"/>
    </row>
    <row r="43" ht="9" customHeight="1" spans="1:54">
      <c r="A43" s="90"/>
      <c r="B43" s="91"/>
      <c r="C43" s="91"/>
      <c r="D43" s="91"/>
      <c r="E43" s="91"/>
      <c r="F43" s="91"/>
      <c r="G43" s="92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104"/>
    </row>
    <row r="44" ht="9" customHeight="1" spans="1:54">
      <c r="A44" s="87" t="s">
        <v>42</v>
      </c>
      <c r="B44" s="88"/>
      <c r="C44" s="88"/>
      <c r="D44" s="88"/>
      <c r="E44" s="88"/>
      <c r="F44" s="88"/>
      <c r="G44" s="89"/>
      <c r="H44" s="85" t="s">
        <v>42</v>
      </c>
      <c r="I44" s="85"/>
      <c r="J44" s="85"/>
      <c r="K44" s="85"/>
      <c r="L44" s="85"/>
      <c r="M44" s="85"/>
      <c r="N44" s="85" t="s">
        <v>42</v>
      </c>
      <c r="O44" s="85"/>
      <c r="P44" s="85"/>
      <c r="Q44" s="85"/>
      <c r="R44" s="85" t="s">
        <v>42</v>
      </c>
      <c r="S44" s="85"/>
      <c r="T44" s="85"/>
      <c r="U44" s="85"/>
      <c r="V44" s="85" t="s">
        <v>42</v>
      </c>
      <c r="W44" s="85"/>
      <c r="X44" s="85"/>
      <c r="Y44" s="85"/>
      <c r="Z44" s="85" t="s">
        <v>42</v>
      </c>
      <c r="AA44" s="85"/>
      <c r="AB44" s="85"/>
      <c r="AC44" s="85"/>
      <c r="AD44" s="85" t="s">
        <v>42</v>
      </c>
      <c r="AE44" s="85"/>
      <c r="AF44" s="85"/>
      <c r="AG44" s="85"/>
      <c r="AH44" s="85" t="s">
        <v>42</v>
      </c>
      <c r="AI44" s="85"/>
      <c r="AJ44" s="85"/>
      <c r="AK44" s="85"/>
      <c r="AL44" s="85" t="s">
        <v>42</v>
      </c>
      <c r="AM44" s="85"/>
      <c r="AN44" s="85"/>
      <c r="AO44" s="85"/>
      <c r="AP44" s="85" t="s">
        <v>42</v>
      </c>
      <c r="AQ44" s="85"/>
      <c r="AR44" s="85"/>
      <c r="AS44" s="85"/>
      <c r="AT44" s="85"/>
      <c r="AU44" s="85"/>
      <c r="AV44" s="85" t="s">
        <v>42</v>
      </c>
      <c r="AW44" s="85"/>
      <c r="AX44" s="85"/>
      <c r="AY44" s="85"/>
      <c r="AZ44" s="85"/>
      <c r="BA44" s="85"/>
      <c r="BB44" s="104"/>
    </row>
    <row r="45" ht="9" customHeight="1" spans="1:54">
      <c r="A45" s="90"/>
      <c r="B45" s="91"/>
      <c r="C45" s="91"/>
      <c r="D45" s="91"/>
      <c r="E45" s="91"/>
      <c r="F45" s="91"/>
      <c r="G45" s="92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104"/>
    </row>
    <row r="46" ht="9" customHeight="1" spans="1:54">
      <c r="A46" s="87" t="s">
        <v>42</v>
      </c>
      <c r="B46" s="88"/>
      <c r="C46" s="88"/>
      <c r="D46" s="88"/>
      <c r="E46" s="88"/>
      <c r="F46" s="88"/>
      <c r="G46" s="89"/>
      <c r="H46" s="85" t="s">
        <v>42</v>
      </c>
      <c r="I46" s="85"/>
      <c r="J46" s="85"/>
      <c r="K46" s="85"/>
      <c r="L46" s="85"/>
      <c r="M46" s="85"/>
      <c r="N46" s="85" t="s">
        <v>42</v>
      </c>
      <c r="O46" s="85"/>
      <c r="P46" s="85"/>
      <c r="Q46" s="85"/>
      <c r="R46" s="85" t="s">
        <v>42</v>
      </c>
      <c r="S46" s="85"/>
      <c r="T46" s="85"/>
      <c r="U46" s="85"/>
      <c r="V46" s="85" t="s">
        <v>42</v>
      </c>
      <c r="W46" s="85"/>
      <c r="X46" s="85"/>
      <c r="Y46" s="85"/>
      <c r="Z46" s="85" t="s">
        <v>42</v>
      </c>
      <c r="AA46" s="85"/>
      <c r="AB46" s="85"/>
      <c r="AC46" s="85"/>
      <c r="AD46" s="85" t="s">
        <v>42</v>
      </c>
      <c r="AE46" s="85"/>
      <c r="AF46" s="85"/>
      <c r="AG46" s="85"/>
      <c r="AH46" s="85" t="s">
        <v>42</v>
      </c>
      <c r="AI46" s="85"/>
      <c r="AJ46" s="85"/>
      <c r="AK46" s="85"/>
      <c r="AL46" s="85" t="s">
        <v>42</v>
      </c>
      <c r="AM46" s="85"/>
      <c r="AN46" s="85"/>
      <c r="AO46" s="85"/>
      <c r="AP46" s="85" t="s">
        <v>42</v>
      </c>
      <c r="AQ46" s="85"/>
      <c r="AR46" s="85"/>
      <c r="AS46" s="85"/>
      <c r="AT46" s="85"/>
      <c r="AU46" s="85"/>
      <c r="AV46" s="85" t="s">
        <v>42</v>
      </c>
      <c r="AW46" s="85"/>
      <c r="AX46" s="85"/>
      <c r="AY46" s="85"/>
      <c r="AZ46" s="85"/>
      <c r="BA46" s="85"/>
      <c r="BB46" s="104"/>
    </row>
    <row r="47" ht="9" customHeight="1" spans="1:54">
      <c r="A47" s="90"/>
      <c r="B47" s="91"/>
      <c r="C47" s="91"/>
      <c r="D47" s="91"/>
      <c r="E47" s="91"/>
      <c r="F47" s="91"/>
      <c r="G47" s="92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104"/>
    </row>
    <row r="48" ht="9" customHeight="1" spans="1:54">
      <c r="A48" s="87" t="s">
        <v>42</v>
      </c>
      <c r="B48" s="88"/>
      <c r="C48" s="88"/>
      <c r="D48" s="88"/>
      <c r="E48" s="88"/>
      <c r="F48" s="88"/>
      <c r="G48" s="89"/>
      <c r="H48" s="85" t="s">
        <v>42</v>
      </c>
      <c r="I48" s="85"/>
      <c r="J48" s="85"/>
      <c r="K48" s="85"/>
      <c r="L48" s="85"/>
      <c r="M48" s="85"/>
      <c r="N48" s="85" t="s">
        <v>42</v>
      </c>
      <c r="O48" s="85"/>
      <c r="P48" s="85"/>
      <c r="Q48" s="85"/>
      <c r="R48" s="85" t="s">
        <v>42</v>
      </c>
      <c r="S48" s="85"/>
      <c r="T48" s="85"/>
      <c r="U48" s="85"/>
      <c r="V48" s="85" t="s">
        <v>42</v>
      </c>
      <c r="W48" s="85"/>
      <c r="X48" s="85"/>
      <c r="Y48" s="85"/>
      <c r="Z48" s="85" t="s">
        <v>42</v>
      </c>
      <c r="AA48" s="85"/>
      <c r="AB48" s="85"/>
      <c r="AC48" s="85"/>
      <c r="AD48" s="85" t="s">
        <v>42</v>
      </c>
      <c r="AE48" s="85"/>
      <c r="AF48" s="85"/>
      <c r="AG48" s="85"/>
      <c r="AH48" s="85" t="s">
        <v>42</v>
      </c>
      <c r="AI48" s="85"/>
      <c r="AJ48" s="85"/>
      <c r="AK48" s="85"/>
      <c r="AL48" s="85" t="s">
        <v>42</v>
      </c>
      <c r="AM48" s="85"/>
      <c r="AN48" s="85"/>
      <c r="AO48" s="85"/>
      <c r="AP48" s="85" t="s">
        <v>42</v>
      </c>
      <c r="AQ48" s="85"/>
      <c r="AR48" s="85"/>
      <c r="AS48" s="85"/>
      <c r="AT48" s="85"/>
      <c r="AU48" s="85"/>
      <c r="AV48" s="85" t="s">
        <v>42</v>
      </c>
      <c r="AW48" s="85"/>
      <c r="AX48" s="85"/>
      <c r="AY48" s="85"/>
      <c r="AZ48" s="85"/>
      <c r="BA48" s="85"/>
      <c r="BB48" s="104"/>
    </row>
    <row r="49" ht="9" customHeight="1" spans="1:54">
      <c r="A49" s="90"/>
      <c r="B49" s="91"/>
      <c r="C49" s="91"/>
      <c r="D49" s="91"/>
      <c r="E49" s="91"/>
      <c r="F49" s="91"/>
      <c r="G49" s="92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104"/>
    </row>
    <row r="50" ht="9" customHeight="1" spans="1:54">
      <c r="A50" s="87" t="s">
        <v>42</v>
      </c>
      <c r="B50" s="88"/>
      <c r="C50" s="88"/>
      <c r="D50" s="88"/>
      <c r="E50" s="88"/>
      <c r="F50" s="88"/>
      <c r="G50" s="89"/>
      <c r="H50" s="85" t="s">
        <v>42</v>
      </c>
      <c r="I50" s="85"/>
      <c r="J50" s="85"/>
      <c r="K50" s="85"/>
      <c r="L50" s="85"/>
      <c r="M50" s="85"/>
      <c r="N50" s="85" t="s">
        <v>42</v>
      </c>
      <c r="O50" s="85"/>
      <c r="P50" s="85"/>
      <c r="Q50" s="85"/>
      <c r="R50" s="85" t="s">
        <v>42</v>
      </c>
      <c r="S50" s="85"/>
      <c r="T50" s="85"/>
      <c r="U50" s="85"/>
      <c r="V50" s="85" t="s">
        <v>42</v>
      </c>
      <c r="W50" s="85"/>
      <c r="X50" s="85"/>
      <c r="Y50" s="85"/>
      <c r="Z50" s="85" t="s">
        <v>42</v>
      </c>
      <c r="AA50" s="85"/>
      <c r="AB50" s="85"/>
      <c r="AC50" s="85"/>
      <c r="AD50" s="85" t="s">
        <v>42</v>
      </c>
      <c r="AE50" s="85"/>
      <c r="AF50" s="85"/>
      <c r="AG50" s="85"/>
      <c r="AH50" s="85" t="s">
        <v>42</v>
      </c>
      <c r="AI50" s="85"/>
      <c r="AJ50" s="85"/>
      <c r="AK50" s="85"/>
      <c r="AL50" s="85" t="s">
        <v>42</v>
      </c>
      <c r="AM50" s="85"/>
      <c r="AN50" s="85"/>
      <c r="AO50" s="85"/>
      <c r="AP50" s="85" t="s">
        <v>42</v>
      </c>
      <c r="AQ50" s="85"/>
      <c r="AR50" s="85"/>
      <c r="AS50" s="85"/>
      <c r="AT50" s="85"/>
      <c r="AU50" s="85"/>
      <c r="AV50" s="85" t="s">
        <v>42</v>
      </c>
      <c r="AW50" s="85"/>
      <c r="AX50" s="85"/>
      <c r="AY50" s="85"/>
      <c r="AZ50" s="85"/>
      <c r="BA50" s="85"/>
      <c r="BB50" s="104"/>
    </row>
    <row r="51" ht="9" customHeight="1" spans="1:54">
      <c r="A51" s="90"/>
      <c r="B51" s="91"/>
      <c r="C51" s="91"/>
      <c r="D51" s="91"/>
      <c r="E51" s="91"/>
      <c r="F51" s="91"/>
      <c r="G51" s="92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104"/>
    </row>
    <row r="52" ht="9" customHeight="1" spans="1:54">
      <c r="A52" s="87" t="s">
        <v>42</v>
      </c>
      <c r="B52" s="88"/>
      <c r="C52" s="88"/>
      <c r="D52" s="88"/>
      <c r="E52" s="88"/>
      <c r="F52" s="88"/>
      <c r="G52" s="89"/>
      <c r="H52" s="85" t="s">
        <v>42</v>
      </c>
      <c r="I52" s="85"/>
      <c r="J52" s="85"/>
      <c r="K52" s="85"/>
      <c r="L52" s="85"/>
      <c r="M52" s="85"/>
      <c r="N52" s="85" t="s">
        <v>42</v>
      </c>
      <c r="O52" s="85"/>
      <c r="P52" s="85"/>
      <c r="Q52" s="85"/>
      <c r="R52" s="85" t="s">
        <v>42</v>
      </c>
      <c r="S52" s="85"/>
      <c r="T52" s="85"/>
      <c r="U52" s="85"/>
      <c r="V52" s="85" t="s">
        <v>42</v>
      </c>
      <c r="W52" s="85"/>
      <c r="X52" s="85"/>
      <c r="Y52" s="85"/>
      <c r="Z52" s="85" t="s">
        <v>42</v>
      </c>
      <c r="AA52" s="85"/>
      <c r="AB52" s="85"/>
      <c r="AC52" s="85"/>
      <c r="AD52" s="85" t="s">
        <v>42</v>
      </c>
      <c r="AE52" s="85"/>
      <c r="AF52" s="85"/>
      <c r="AG52" s="85"/>
      <c r="AH52" s="85" t="s">
        <v>42</v>
      </c>
      <c r="AI52" s="85"/>
      <c r="AJ52" s="85"/>
      <c r="AK52" s="85"/>
      <c r="AL52" s="85" t="s">
        <v>42</v>
      </c>
      <c r="AM52" s="85"/>
      <c r="AN52" s="85"/>
      <c r="AO52" s="85"/>
      <c r="AP52" s="85" t="s">
        <v>42</v>
      </c>
      <c r="AQ52" s="85"/>
      <c r="AR52" s="85"/>
      <c r="AS52" s="85"/>
      <c r="AT52" s="85"/>
      <c r="AU52" s="85"/>
      <c r="AV52" s="85" t="s">
        <v>42</v>
      </c>
      <c r="AW52" s="85"/>
      <c r="AX52" s="85"/>
      <c r="AY52" s="85"/>
      <c r="AZ52" s="85"/>
      <c r="BA52" s="85"/>
      <c r="BB52" s="104"/>
    </row>
    <row r="53" ht="9" customHeight="1" spans="1:54">
      <c r="A53" s="90"/>
      <c r="B53" s="91"/>
      <c r="C53" s="91"/>
      <c r="D53" s="91"/>
      <c r="E53" s="91"/>
      <c r="F53" s="91"/>
      <c r="G53" s="92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104"/>
    </row>
    <row r="54" ht="9" customHeight="1" spans="1:54">
      <c r="A54" s="87" t="s">
        <v>42</v>
      </c>
      <c r="B54" s="88"/>
      <c r="C54" s="88"/>
      <c r="D54" s="88"/>
      <c r="E54" s="88"/>
      <c r="F54" s="88"/>
      <c r="G54" s="89"/>
      <c r="H54" s="85" t="s">
        <v>42</v>
      </c>
      <c r="I54" s="85"/>
      <c r="J54" s="85"/>
      <c r="K54" s="85"/>
      <c r="L54" s="85"/>
      <c r="M54" s="85"/>
      <c r="N54" s="85" t="s">
        <v>42</v>
      </c>
      <c r="O54" s="85"/>
      <c r="P54" s="85"/>
      <c r="Q54" s="85"/>
      <c r="R54" s="85" t="s">
        <v>42</v>
      </c>
      <c r="S54" s="85"/>
      <c r="T54" s="85"/>
      <c r="U54" s="85"/>
      <c r="V54" s="85" t="s">
        <v>42</v>
      </c>
      <c r="W54" s="85"/>
      <c r="X54" s="85"/>
      <c r="Y54" s="85"/>
      <c r="Z54" s="85" t="s">
        <v>42</v>
      </c>
      <c r="AA54" s="85"/>
      <c r="AB54" s="85"/>
      <c r="AC54" s="85"/>
      <c r="AD54" s="85" t="s">
        <v>42</v>
      </c>
      <c r="AE54" s="85"/>
      <c r="AF54" s="85"/>
      <c r="AG54" s="85"/>
      <c r="AH54" s="85" t="s">
        <v>42</v>
      </c>
      <c r="AI54" s="85"/>
      <c r="AJ54" s="85"/>
      <c r="AK54" s="85"/>
      <c r="AL54" s="85" t="s">
        <v>42</v>
      </c>
      <c r="AM54" s="85"/>
      <c r="AN54" s="85"/>
      <c r="AO54" s="85"/>
      <c r="AP54" s="85" t="s">
        <v>42</v>
      </c>
      <c r="AQ54" s="85"/>
      <c r="AR54" s="85"/>
      <c r="AS54" s="85"/>
      <c r="AT54" s="85"/>
      <c r="AU54" s="85"/>
      <c r="AV54" s="85" t="s">
        <v>42</v>
      </c>
      <c r="AW54" s="85"/>
      <c r="AX54" s="85"/>
      <c r="AY54" s="85"/>
      <c r="AZ54" s="85"/>
      <c r="BA54" s="85"/>
      <c r="BB54" s="104"/>
    </row>
    <row r="55" ht="9" customHeight="1" spans="1:54">
      <c r="A55" s="90"/>
      <c r="B55" s="91"/>
      <c r="C55" s="91"/>
      <c r="D55" s="91"/>
      <c r="E55" s="91"/>
      <c r="F55" s="91"/>
      <c r="G55" s="92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104"/>
    </row>
    <row r="56" ht="9" customHeight="1" spans="1:54">
      <c r="A56" s="87" t="s">
        <v>42</v>
      </c>
      <c r="B56" s="88"/>
      <c r="C56" s="88"/>
      <c r="D56" s="88"/>
      <c r="E56" s="88"/>
      <c r="F56" s="88"/>
      <c r="G56" s="89"/>
      <c r="H56" s="85" t="s">
        <v>42</v>
      </c>
      <c r="I56" s="85"/>
      <c r="J56" s="85"/>
      <c r="K56" s="85"/>
      <c r="L56" s="85"/>
      <c r="M56" s="85"/>
      <c r="N56" s="85" t="s">
        <v>42</v>
      </c>
      <c r="O56" s="85"/>
      <c r="P56" s="85"/>
      <c r="Q56" s="85"/>
      <c r="R56" s="85" t="s">
        <v>42</v>
      </c>
      <c r="S56" s="85"/>
      <c r="T56" s="85"/>
      <c r="U56" s="85"/>
      <c r="V56" s="85" t="s">
        <v>42</v>
      </c>
      <c r="W56" s="85"/>
      <c r="X56" s="85"/>
      <c r="Y56" s="85"/>
      <c r="Z56" s="85" t="s">
        <v>42</v>
      </c>
      <c r="AA56" s="85"/>
      <c r="AB56" s="85"/>
      <c r="AC56" s="85"/>
      <c r="AD56" s="85" t="s">
        <v>42</v>
      </c>
      <c r="AE56" s="85"/>
      <c r="AF56" s="85"/>
      <c r="AG56" s="85"/>
      <c r="AH56" s="85" t="s">
        <v>42</v>
      </c>
      <c r="AI56" s="85"/>
      <c r="AJ56" s="85"/>
      <c r="AK56" s="85"/>
      <c r="AL56" s="85" t="s">
        <v>42</v>
      </c>
      <c r="AM56" s="85"/>
      <c r="AN56" s="85"/>
      <c r="AO56" s="85"/>
      <c r="AP56" s="85" t="s">
        <v>42</v>
      </c>
      <c r="AQ56" s="85"/>
      <c r="AR56" s="85"/>
      <c r="AS56" s="85"/>
      <c r="AT56" s="85"/>
      <c r="AU56" s="85"/>
      <c r="AV56" s="85" t="s">
        <v>42</v>
      </c>
      <c r="AW56" s="85"/>
      <c r="AX56" s="85"/>
      <c r="AY56" s="85"/>
      <c r="AZ56" s="85"/>
      <c r="BA56" s="85"/>
      <c r="BB56" s="104"/>
    </row>
    <row r="57" ht="9" customHeight="1" spans="1:54">
      <c r="A57" s="90"/>
      <c r="B57" s="91"/>
      <c r="C57" s="91"/>
      <c r="D57" s="91"/>
      <c r="E57" s="91"/>
      <c r="F57" s="91"/>
      <c r="G57" s="92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104"/>
    </row>
    <row r="58" ht="9" customHeight="1" spans="1:54">
      <c r="A58" s="87" t="s">
        <v>42</v>
      </c>
      <c r="B58" s="88"/>
      <c r="C58" s="88"/>
      <c r="D58" s="88"/>
      <c r="E58" s="88"/>
      <c r="F58" s="88"/>
      <c r="G58" s="89"/>
      <c r="H58" s="85" t="s">
        <v>42</v>
      </c>
      <c r="I58" s="85"/>
      <c r="J58" s="85"/>
      <c r="K58" s="85"/>
      <c r="L58" s="85"/>
      <c r="M58" s="85"/>
      <c r="N58" s="85" t="s">
        <v>42</v>
      </c>
      <c r="O58" s="85"/>
      <c r="P58" s="85"/>
      <c r="Q58" s="85"/>
      <c r="R58" s="85" t="s">
        <v>42</v>
      </c>
      <c r="S58" s="85"/>
      <c r="T58" s="85"/>
      <c r="U58" s="85"/>
      <c r="V58" s="85" t="s">
        <v>42</v>
      </c>
      <c r="W58" s="85"/>
      <c r="X58" s="85"/>
      <c r="Y58" s="85"/>
      <c r="Z58" s="85" t="s">
        <v>42</v>
      </c>
      <c r="AA58" s="85"/>
      <c r="AB58" s="85"/>
      <c r="AC58" s="85"/>
      <c r="AD58" s="85" t="s">
        <v>42</v>
      </c>
      <c r="AE58" s="85"/>
      <c r="AF58" s="85"/>
      <c r="AG58" s="85"/>
      <c r="AH58" s="85" t="s">
        <v>42</v>
      </c>
      <c r="AI58" s="85"/>
      <c r="AJ58" s="85"/>
      <c r="AK58" s="85"/>
      <c r="AL58" s="85" t="s">
        <v>42</v>
      </c>
      <c r="AM58" s="85"/>
      <c r="AN58" s="85"/>
      <c r="AO58" s="85"/>
      <c r="AP58" s="85" t="s">
        <v>42</v>
      </c>
      <c r="AQ58" s="85"/>
      <c r="AR58" s="85"/>
      <c r="AS58" s="85"/>
      <c r="AT58" s="85"/>
      <c r="AU58" s="85"/>
      <c r="AV58" s="85" t="s">
        <v>42</v>
      </c>
      <c r="AW58" s="85"/>
      <c r="AX58" s="85"/>
      <c r="AY58" s="85"/>
      <c r="AZ58" s="85"/>
      <c r="BA58" s="85"/>
      <c r="BB58" s="104"/>
    </row>
    <row r="59" ht="9" customHeight="1" spans="1:54">
      <c r="A59" s="90"/>
      <c r="B59" s="91"/>
      <c r="C59" s="91"/>
      <c r="D59" s="91"/>
      <c r="E59" s="91"/>
      <c r="F59" s="91"/>
      <c r="G59" s="92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104"/>
    </row>
    <row r="60" ht="9" customHeight="1" spans="1:54">
      <c r="A60" s="87" t="s">
        <v>42</v>
      </c>
      <c r="B60" s="88"/>
      <c r="C60" s="88"/>
      <c r="D60" s="88"/>
      <c r="E60" s="88"/>
      <c r="F60" s="88"/>
      <c r="G60" s="89"/>
      <c r="H60" s="85" t="s">
        <v>42</v>
      </c>
      <c r="I60" s="85"/>
      <c r="J60" s="85"/>
      <c r="K60" s="85"/>
      <c r="L60" s="85"/>
      <c r="M60" s="85"/>
      <c r="N60" s="85" t="s">
        <v>42</v>
      </c>
      <c r="O60" s="85"/>
      <c r="P60" s="85"/>
      <c r="Q60" s="85"/>
      <c r="R60" s="85" t="s">
        <v>42</v>
      </c>
      <c r="S60" s="85"/>
      <c r="T60" s="85"/>
      <c r="U60" s="85"/>
      <c r="V60" s="85" t="s">
        <v>42</v>
      </c>
      <c r="W60" s="85"/>
      <c r="X60" s="85"/>
      <c r="Y60" s="85"/>
      <c r="Z60" s="85" t="s">
        <v>42</v>
      </c>
      <c r="AA60" s="85"/>
      <c r="AB60" s="85"/>
      <c r="AC60" s="85"/>
      <c r="AD60" s="85" t="s">
        <v>42</v>
      </c>
      <c r="AE60" s="85"/>
      <c r="AF60" s="85"/>
      <c r="AG60" s="85"/>
      <c r="AH60" s="85" t="s">
        <v>42</v>
      </c>
      <c r="AI60" s="85"/>
      <c r="AJ60" s="85"/>
      <c r="AK60" s="85"/>
      <c r="AL60" s="85" t="s">
        <v>42</v>
      </c>
      <c r="AM60" s="85"/>
      <c r="AN60" s="85"/>
      <c r="AO60" s="85"/>
      <c r="AP60" s="85" t="s">
        <v>42</v>
      </c>
      <c r="AQ60" s="85"/>
      <c r="AR60" s="85"/>
      <c r="AS60" s="85"/>
      <c r="AT60" s="85"/>
      <c r="AU60" s="85"/>
      <c r="AV60" s="85" t="s">
        <v>42</v>
      </c>
      <c r="AW60" s="85"/>
      <c r="AX60" s="85"/>
      <c r="AY60" s="85"/>
      <c r="AZ60" s="85"/>
      <c r="BA60" s="85"/>
      <c r="BB60" s="104"/>
    </row>
    <row r="61" ht="9" customHeight="1" spans="1:54">
      <c r="A61" s="90"/>
      <c r="B61" s="91"/>
      <c r="C61" s="91"/>
      <c r="D61" s="91"/>
      <c r="E61" s="91"/>
      <c r="F61" s="91"/>
      <c r="G61" s="92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104"/>
    </row>
    <row r="62" ht="9" customHeight="1" spans="1:54">
      <c r="A62" s="87" t="s">
        <v>42</v>
      </c>
      <c r="B62" s="88"/>
      <c r="C62" s="88"/>
      <c r="D62" s="88"/>
      <c r="E62" s="88"/>
      <c r="F62" s="88"/>
      <c r="G62" s="89"/>
      <c r="H62" s="85" t="s">
        <v>42</v>
      </c>
      <c r="I62" s="85"/>
      <c r="J62" s="85"/>
      <c r="K62" s="85"/>
      <c r="L62" s="85"/>
      <c r="M62" s="85"/>
      <c r="N62" s="85" t="s">
        <v>42</v>
      </c>
      <c r="O62" s="85"/>
      <c r="P62" s="85"/>
      <c r="Q62" s="85"/>
      <c r="R62" s="85" t="s">
        <v>42</v>
      </c>
      <c r="S62" s="85"/>
      <c r="T62" s="85"/>
      <c r="U62" s="85"/>
      <c r="V62" s="85" t="s">
        <v>42</v>
      </c>
      <c r="W62" s="85"/>
      <c r="X62" s="85"/>
      <c r="Y62" s="85"/>
      <c r="Z62" s="85" t="s">
        <v>42</v>
      </c>
      <c r="AA62" s="85"/>
      <c r="AB62" s="85"/>
      <c r="AC62" s="85"/>
      <c r="AD62" s="85" t="s">
        <v>42</v>
      </c>
      <c r="AE62" s="85"/>
      <c r="AF62" s="85"/>
      <c r="AG62" s="85"/>
      <c r="AH62" s="85" t="s">
        <v>42</v>
      </c>
      <c r="AI62" s="85"/>
      <c r="AJ62" s="85"/>
      <c r="AK62" s="85"/>
      <c r="AL62" s="85" t="s">
        <v>42</v>
      </c>
      <c r="AM62" s="85"/>
      <c r="AN62" s="85"/>
      <c r="AO62" s="85"/>
      <c r="AP62" s="85" t="s">
        <v>42</v>
      </c>
      <c r="AQ62" s="85"/>
      <c r="AR62" s="85"/>
      <c r="AS62" s="85"/>
      <c r="AT62" s="85"/>
      <c r="AU62" s="85"/>
      <c r="AV62" s="85" t="s">
        <v>42</v>
      </c>
      <c r="AW62" s="85"/>
      <c r="AX62" s="85"/>
      <c r="AY62" s="85"/>
      <c r="AZ62" s="85"/>
      <c r="BA62" s="85"/>
      <c r="BB62" s="104"/>
    </row>
    <row r="63" ht="9" customHeight="1" spans="1:54">
      <c r="A63" s="90"/>
      <c r="B63" s="91"/>
      <c r="C63" s="91"/>
      <c r="D63" s="91"/>
      <c r="E63" s="91"/>
      <c r="F63" s="91"/>
      <c r="G63" s="92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104"/>
    </row>
    <row r="64" ht="9" customHeight="1" spans="1:54">
      <c r="A64" s="87" t="s">
        <v>42</v>
      </c>
      <c r="B64" s="88"/>
      <c r="C64" s="88"/>
      <c r="D64" s="88"/>
      <c r="E64" s="88"/>
      <c r="F64" s="88"/>
      <c r="G64" s="89"/>
      <c r="H64" s="85" t="s">
        <v>42</v>
      </c>
      <c r="I64" s="85"/>
      <c r="J64" s="85"/>
      <c r="K64" s="85"/>
      <c r="L64" s="85"/>
      <c r="M64" s="85"/>
      <c r="N64" s="85" t="s">
        <v>42</v>
      </c>
      <c r="O64" s="85"/>
      <c r="P64" s="85"/>
      <c r="Q64" s="85"/>
      <c r="R64" s="85" t="s">
        <v>42</v>
      </c>
      <c r="S64" s="85"/>
      <c r="T64" s="85"/>
      <c r="U64" s="85"/>
      <c r="V64" s="85" t="s">
        <v>42</v>
      </c>
      <c r="W64" s="85"/>
      <c r="X64" s="85"/>
      <c r="Y64" s="85"/>
      <c r="Z64" s="85" t="s">
        <v>42</v>
      </c>
      <c r="AA64" s="85"/>
      <c r="AB64" s="85"/>
      <c r="AC64" s="85"/>
      <c r="AD64" s="85" t="s">
        <v>42</v>
      </c>
      <c r="AE64" s="85"/>
      <c r="AF64" s="85"/>
      <c r="AG64" s="85"/>
      <c r="AH64" s="85" t="s">
        <v>42</v>
      </c>
      <c r="AI64" s="85"/>
      <c r="AJ64" s="85"/>
      <c r="AK64" s="85"/>
      <c r="AL64" s="85" t="s">
        <v>42</v>
      </c>
      <c r="AM64" s="85"/>
      <c r="AN64" s="85"/>
      <c r="AO64" s="85"/>
      <c r="AP64" s="85" t="s">
        <v>42</v>
      </c>
      <c r="AQ64" s="85"/>
      <c r="AR64" s="85"/>
      <c r="AS64" s="85"/>
      <c r="AT64" s="85"/>
      <c r="AU64" s="85"/>
      <c r="AV64" s="85" t="s">
        <v>42</v>
      </c>
      <c r="AW64" s="85"/>
      <c r="AX64" s="85"/>
      <c r="AY64" s="85"/>
      <c r="AZ64" s="85"/>
      <c r="BA64" s="85"/>
      <c r="BB64" s="104"/>
    </row>
    <row r="65" ht="9" customHeight="1" spans="1:54">
      <c r="A65" s="90"/>
      <c r="B65" s="91"/>
      <c r="C65" s="91"/>
      <c r="D65" s="91"/>
      <c r="E65" s="91"/>
      <c r="F65" s="91"/>
      <c r="G65" s="92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104"/>
    </row>
    <row r="66" ht="9" customHeight="1" spans="1:54">
      <c r="A66" s="87" t="s">
        <v>42</v>
      </c>
      <c r="B66" s="88"/>
      <c r="C66" s="88"/>
      <c r="D66" s="88"/>
      <c r="E66" s="88"/>
      <c r="F66" s="88"/>
      <c r="G66" s="89"/>
      <c r="H66" s="85" t="s">
        <v>42</v>
      </c>
      <c r="I66" s="85"/>
      <c r="J66" s="85"/>
      <c r="K66" s="85"/>
      <c r="L66" s="85"/>
      <c r="M66" s="85"/>
      <c r="N66" s="85" t="s">
        <v>42</v>
      </c>
      <c r="O66" s="85"/>
      <c r="P66" s="85"/>
      <c r="Q66" s="85"/>
      <c r="R66" s="85" t="s">
        <v>42</v>
      </c>
      <c r="S66" s="85"/>
      <c r="T66" s="85"/>
      <c r="U66" s="85"/>
      <c r="V66" s="85" t="s">
        <v>42</v>
      </c>
      <c r="W66" s="85"/>
      <c r="X66" s="85"/>
      <c r="Y66" s="85"/>
      <c r="Z66" s="85" t="s">
        <v>42</v>
      </c>
      <c r="AA66" s="85"/>
      <c r="AB66" s="85"/>
      <c r="AC66" s="85"/>
      <c r="AD66" s="85" t="s">
        <v>42</v>
      </c>
      <c r="AE66" s="85"/>
      <c r="AF66" s="85"/>
      <c r="AG66" s="85"/>
      <c r="AH66" s="85" t="s">
        <v>42</v>
      </c>
      <c r="AI66" s="85"/>
      <c r="AJ66" s="85"/>
      <c r="AK66" s="85"/>
      <c r="AL66" s="85" t="s">
        <v>42</v>
      </c>
      <c r="AM66" s="85"/>
      <c r="AN66" s="85"/>
      <c r="AO66" s="85"/>
      <c r="AP66" s="85" t="s">
        <v>42</v>
      </c>
      <c r="AQ66" s="85"/>
      <c r="AR66" s="85"/>
      <c r="AS66" s="85"/>
      <c r="AT66" s="85"/>
      <c r="AU66" s="85"/>
      <c r="AV66" s="85" t="s">
        <v>42</v>
      </c>
      <c r="AW66" s="85"/>
      <c r="AX66" s="85"/>
      <c r="AY66" s="85"/>
      <c r="AZ66" s="85"/>
      <c r="BA66" s="85"/>
      <c r="BB66" s="104"/>
    </row>
    <row r="67" ht="9" customHeight="1" spans="1:54">
      <c r="A67" s="90"/>
      <c r="B67" s="91"/>
      <c r="C67" s="91"/>
      <c r="D67" s="91"/>
      <c r="E67" s="91"/>
      <c r="F67" s="91"/>
      <c r="G67" s="92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104"/>
    </row>
    <row r="68" ht="9" customHeight="1" spans="1:54">
      <c r="A68" s="87" t="s">
        <v>42</v>
      </c>
      <c r="B68" s="88"/>
      <c r="C68" s="88"/>
      <c r="D68" s="88"/>
      <c r="E68" s="88"/>
      <c r="F68" s="88"/>
      <c r="G68" s="89"/>
      <c r="H68" s="106" t="s">
        <v>42</v>
      </c>
      <c r="I68" s="88"/>
      <c r="J68" s="88"/>
      <c r="K68" s="88"/>
      <c r="L68" s="88"/>
      <c r="M68" s="89"/>
      <c r="N68" s="106" t="s">
        <v>42</v>
      </c>
      <c r="O68" s="88"/>
      <c r="P68" s="88"/>
      <c r="Q68" s="89"/>
      <c r="R68" s="106" t="s">
        <v>42</v>
      </c>
      <c r="S68" s="88"/>
      <c r="T68" s="88"/>
      <c r="U68" s="89"/>
      <c r="V68" s="106" t="s">
        <v>42</v>
      </c>
      <c r="W68" s="88"/>
      <c r="X68" s="88"/>
      <c r="Y68" s="89"/>
      <c r="Z68" s="106" t="s">
        <v>42</v>
      </c>
      <c r="AA68" s="88"/>
      <c r="AB68" s="88"/>
      <c r="AC68" s="89"/>
      <c r="AD68" s="106" t="s">
        <v>42</v>
      </c>
      <c r="AE68" s="88"/>
      <c r="AF68" s="88"/>
      <c r="AG68" s="89"/>
      <c r="AH68" s="106" t="s">
        <v>42</v>
      </c>
      <c r="AI68" s="88"/>
      <c r="AJ68" s="88"/>
      <c r="AK68" s="89"/>
      <c r="AL68" s="106" t="s">
        <v>42</v>
      </c>
      <c r="AM68" s="88"/>
      <c r="AN68" s="88"/>
      <c r="AO68" s="89"/>
      <c r="AP68" s="106" t="s">
        <v>42</v>
      </c>
      <c r="AQ68" s="88"/>
      <c r="AR68" s="88"/>
      <c r="AS68" s="88"/>
      <c r="AT68" s="88"/>
      <c r="AU68" s="89"/>
      <c r="AV68" s="106" t="s">
        <v>42</v>
      </c>
      <c r="AW68" s="88"/>
      <c r="AX68" s="88"/>
      <c r="AY68" s="88"/>
      <c r="AZ68" s="88"/>
      <c r="BA68" s="88"/>
      <c r="BB68" s="126"/>
    </row>
    <row r="69" ht="9" customHeight="1" spans="1:54">
      <c r="A69" s="90"/>
      <c r="B69" s="91"/>
      <c r="C69" s="91"/>
      <c r="D69" s="91"/>
      <c r="E69" s="91"/>
      <c r="F69" s="91"/>
      <c r="G69" s="92"/>
      <c r="H69" s="107"/>
      <c r="I69" s="91"/>
      <c r="J69" s="91"/>
      <c r="K69" s="91"/>
      <c r="L69" s="91"/>
      <c r="M69" s="92"/>
      <c r="N69" s="107"/>
      <c r="O69" s="91"/>
      <c r="P69" s="91"/>
      <c r="Q69" s="92"/>
      <c r="R69" s="107"/>
      <c r="S69" s="91"/>
      <c r="T69" s="91"/>
      <c r="U69" s="92"/>
      <c r="V69" s="107"/>
      <c r="W69" s="91"/>
      <c r="X69" s="91"/>
      <c r="Y69" s="92"/>
      <c r="Z69" s="107"/>
      <c r="AA69" s="91"/>
      <c r="AB69" s="91"/>
      <c r="AC69" s="92"/>
      <c r="AD69" s="107"/>
      <c r="AE69" s="91"/>
      <c r="AF69" s="91"/>
      <c r="AG69" s="92"/>
      <c r="AH69" s="107"/>
      <c r="AI69" s="91"/>
      <c r="AJ69" s="91"/>
      <c r="AK69" s="92"/>
      <c r="AL69" s="107"/>
      <c r="AM69" s="91"/>
      <c r="AN69" s="91"/>
      <c r="AO69" s="92"/>
      <c r="AP69" s="107"/>
      <c r="AQ69" s="91"/>
      <c r="AR69" s="91"/>
      <c r="AS69" s="91"/>
      <c r="AT69" s="91"/>
      <c r="AU69" s="92"/>
      <c r="AV69" s="107"/>
      <c r="AW69" s="91"/>
      <c r="AX69" s="91"/>
      <c r="AY69" s="91"/>
      <c r="AZ69" s="91"/>
      <c r="BA69" s="91"/>
      <c r="BB69" s="127"/>
    </row>
    <row r="70" ht="9" customHeight="1" spans="1:54">
      <c r="A70" s="75" t="s">
        <v>44</v>
      </c>
      <c r="B70" s="72"/>
      <c r="C70" s="72"/>
      <c r="D70" s="72"/>
      <c r="E70" s="108" t="s">
        <v>45</v>
      </c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28"/>
    </row>
    <row r="71" ht="9" customHeight="1" spans="1:54">
      <c r="A71" s="71"/>
      <c r="B71" s="72"/>
      <c r="C71" s="72"/>
      <c r="D71" s="72"/>
      <c r="E71" s="110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29"/>
    </row>
    <row r="72" ht="7.5" customHeight="1" spans="1:54">
      <c r="A72" s="71"/>
      <c r="B72" s="72"/>
      <c r="C72" s="72"/>
      <c r="D72" s="72"/>
      <c r="E72" s="110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29"/>
    </row>
    <row r="73" ht="4.5" hidden="1" customHeight="1" spans="1:54">
      <c r="A73" s="71"/>
      <c r="B73" s="72"/>
      <c r="C73" s="72"/>
      <c r="D73" s="72"/>
      <c r="E73" s="112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30"/>
    </row>
    <row r="74" ht="9" customHeight="1" spans="1:54">
      <c r="A74" s="71" t="s">
        <v>40</v>
      </c>
      <c r="B74" s="72"/>
      <c r="C74" s="72"/>
      <c r="D74" s="72"/>
      <c r="E74" s="114" t="s">
        <v>46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31"/>
    </row>
    <row r="75" ht="9" customHeight="1" spans="1:54">
      <c r="A75" s="71"/>
      <c r="B75" s="72"/>
      <c r="C75" s="72"/>
      <c r="D75" s="72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114"/>
      <c r="BB75" s="131"/>
    </row>
    <row r="76" ht="4.5" hidden="1" customHeight="1" spans="1:54">
      <c r="A76" s="71"/>
      <c r="B76" s="72"/>
      <c r="C76" s="72"/>
      <c r="D76" s="72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31"/>
    </row>
    <row r="77" ht="9" customHeight="1" spans="1:54">
      <c r="A77" s="71" t="s">
        <v>47</v>
      </c>
      <c r="B77" s="72"/>
      <c r="C77" s="72"/>
      <c r="D77" s="72"/>
      <c r="E77" s="115" t="s">
        <v>48</v>
      </c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32"/>
    </row>
    <row r="78" ht="9" customHeight="1" spans="1:54">
      <c r="A78" s="71"/>
      <c r="B78" s="72"/>
      <c r="C78" s="72"/>
      <c r="D78" s="72"/>
      <c r="E78" s="117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33"/>
    </row>
    <row r="79" ht="9" customHeight="1" spans="1:54">
      <c r="A79" s="71"/>
      <c r="B79" s="72"/>
      <c r="C79" s="72"/>
      <c r="D79" s="72"/>
      <c r="E79" s="117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33"/>
    </row>
    <row r="80" ht="9" customHeight="1" spans="1:54">
      <c r="A80" s="71"/>
      <c r="B80" s="72"/>
      <c r="C80" s="72"/>
      <c r="D80" s="72"/>
      <c r="E80" s="119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34"/>
    </row>
    <row r="81" ht="9" customHeight="1" spans="1:54">
      <c r="A81" s="121" t="s">
        <v>49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14"/>
      <c r="BB81" s="131"/>
    </row>
    <row r="82" ht="9" customHeight="1" spans="1:54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35"/>
    </row>
    <row r="83" customHeight="1" spans="1:54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</row>
    <row r="84" ht="7.5" customHeight="1" spans="1:54">
      <c r="A84" s="64" t="s">
        <v>50</v>
      </c>
      <c r="B84" s="64"/>
      <c r="C84" s="64"/>
      <c r="D84" s="64"/>
      <c r="E84" s="124"/>
      <c r="F84" s="124"/>
      <c r="G84" s="124"/>
      <c r="H84" s="124"/>
      <c r="I84" s="124"/>
      <c r="J84" s="124"/>
      <c r="K84" s="124"/>
      <c r="L84" s="64" t="s">
        <v>51</v>
      </c>
      <c r="M84" s="64"/>
      <c r="N84" s="64"/>
      <c r="O84" s="64"/>
      <c r="P84" s="64"/>
      <c r="Q84" s="124"/>
      <c r="R84" s="124"/>
      <c r="S84" s="124"/>
      <c r="T84" s="124"/>
      <c r="U84" s="124"/>
      <c r="V84" s="124"/>
      <c r="W84" s="124"/>
      <c r="X84" s="64" t="s">
        <v>52</v>
      </c>
      <c r="Y84" s="64"/>
      <c r="Z84" s="64"/>
      <c r="AA84" s="64"/>
      <c r="AB84" s="64"/>
      <c r="AC84" s="124"/>
      <c r="AD84" s="124"/>
      <c r="AE84" s="124"/>
      <c r="AF84" s="124"/>
      <c r="AG84" s="124"/>
      <c r="AH84" s="124"/>
      <c r="AI84" s="124"/>
      <c r="AJ84" s="125" t="s">
        <v>53</v>
      </c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</row>
    <row r="85" ht="9" customHeight="1" spans="1:54">
      <c r="A85" s="64"/>
      <c r="B85" s="64"/>
      <c r="C85" s="64"/>
      <c r="D85" s="64"/>
      <c r="E85" s="124"/>
      <c r="F85" s="124"/>
      <c r="G85" s="124"/>
      <c r="H85" s="124"/>
      <c r="I85" s="124"/>
      <c r="J85" s="124"/>
      <c r="K85" s="124"/>
      <c r="L85" s="64"/>
      <c r="M85" s="64"/>
      <c r="N85" s="64"/>
      <c r="O85" s="64"/>
      <c r="P85" s="64"/>
      <c r="Q85" s="124"/>
      <c r="R85" s="124"/>
      <c r="S85" s="124"/>
      <c r="T85" s="124"/>
      <c r="U85" s="124"/>
      <c r="V85" s="124"/>
      <c r="W85" s="124"/>
      <c r="X85" s="64"/>
      <c r="Y85" s="64"/>
      <c r="Z85" s="64"/>
      <c r="AA85" s="64"/>
      <c r="AB85" s="64"/>
      <c r="AC85" s="124"/>
      <c r="AD85" s="124"/>
      <c r="AE85" s="124"/>
      <c r="AF85" s="124"/>
      <c r="AG85" s="124"/>
      <c r="AH85" s="124"/>
      <c r="AI85" s="124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</row>
  </sheetData>
  <mergeCells count="284">
    <mergeCell ref="AH21:AO23"/>
    <mergeCell ref="AP7:BB8"/>
    <mergeCell ref="AP9:BB10"/>
    <mergeCell ref="AP11:BB12"/>
    <mergeCell ref="AP13:BB14"/>
    <mergeCell ref="AP15:BB16"/>
    <mergeCell ref="AP17:BB18"/>
    <mergeCell ref="AP19:BB20"/>
    <mergeCell ref="AP21:BB23"/>
    <mergeCell ref="AH7:AO8"/>
    <mergeCell ref="AH9:AO10"/>
    <mergeCell ref="H7:AG8"/>
    <mergeCell ref="H9:AG10"/>
    <mergeCell ref="A9:G10"/>
    <mergeCell ref="A11:G12"/>
    <mergeCell ref="A1:BB3"/>
    <mergeCell ref="A7:G8"/>
    <mergeCell ref="A4:G6"/>
    <mergeCell ref="A17:G18"/>
    <mergeCell ref="H11:AG12"/>
    <mergeCell ref="H13:AG14"/>
    <mergeCell ref="H15:AG16"/>
    <mergeCell ref="H17:AG18"/>
    <mergeCell ref="H4:AG6"/>
    <mergeCell ref="AH4:AO6"/>
    <mergeCell ref="AP4:BB6"/>
    <mergeCell ref="AH11:AO12"/>
    <mergeCell ref="AH13:AO14"/>
    <mergeCell ref="AH15:AO16"/>
    <mergeCell ref="AH17:AO18"/>
    <mergeCell ref="A26:G29"/>
    <mergeCell ref="H26:M29"/>
    <mergeCell ref="N26:AO27"/>
    <mergeCell ref="N30:Q31"/>
    <mergeCell ref="R30:U31"/>
    <mergeCell ref="V30:Y31"/>
    <mergeCell ref="Z30:AC31"/>
    <mergeCell ref="AD30:AG31"/>
    <mergeCell ref="AH30:AK31"/>
    <mergeCell ref="AL30:AO31"/>
    <mergeCell ref="A19:G20"/>
    <mergeCell ref="A13:G14"/>
    <mergeCell ref="A15:G16"/>
    <mergeCell ref="AP26:AU29"/>
    <mergeCell ref="AV26:BB29"/>
    <mergeCell ref="N28:Q29"/>
    <mergeCell ref="R28:U29"/>
    <mergeCell ref="V28:Y29"/>
    <mergeCell ref="Z28:AC29"/>
    <mergeCell ref="AD28:AG29"/>
    <mergeCell ref="AH28:AK29"/>
    <mergeCell ref="AL28:AO29"/>
    <mergeCell ref="A21:G23"/>
    <mergeCell ref="A24:G25"/>
    <mergeCell ref="H24:AO25"/>
    <mergeCell ref="AP24:AU25"/>
    <mergeCell ref="AV24:BB25"/>
    <mergeCell ref="H19:AG20"/>
    <mergeCell ref="H21:AG23"/>
    <mergeCell ref="AH19:AO20"/>
    <mergeCell ref="AP30:AU31"/>
    <mergeCell ref="AV30:BB31"/>
    <mergeCell ref="A32:G33"/>
    <mergeCell ref="H32:M33"/>
    <mergeCell ref="N32:Q33"/>
    <mergeCell ref="R32:U33"/>
    <mergeCell ref="V32:Y33"/>
    <mergeCell ref="Z32:AC33"/>
    <mergeCell ref="AD32:AG33"/>
    <mergeCell ref="AH32:AK33"/>
    <mergeCell ref="AL32:AO33"/>
    <mergeCell ref="A30:G31"/>
    <mergeCell ref="H30:M31"/>
    <mergeCell ref="A36:G37"/>
    <mergeCell ref="H36:M37"/>
    <mergeCell ref="N36:Q37"/>
    <mergeCell ref="R36:U37"/>
    <mergeCell ref="V36:Y37"/>
    <mergeCell ref="Z36:AC37"/>
    <mergeCell ref="AD36:AG37"/>
    <mergeCell ref="AH36:AK37"/>
    <mergeCell ref="AL36:AO37"/>
    <mergeCell ref="AP32:AU33"/>
    <mergeCell ref="AV32:BB33"/>
    <mergeCell ref="A34:G35"/>
    <mergeCell ref="H34:M35"/>
    <mergeCell ref="N34:Q35"/>
    <mergeCell ref="R34:U35"/>
    <mergeCell ref="V34:Y35"/>
    <mergeCell ref="Z34:AC35"/>
    <mergeCell ref="AD34:AG35"/>
    <mergeCell ref="AH34:AK35"/>
    <mergeCell ref="AL34:AO35"/>
    <mergeCell ref="AP36:AU37"/>
    <mergeCell ref="AV36:BB37"/>
    <mergeCell ref="AP34:AU35"/>
    <mergeCell ref="AV34:BB35"/>
    <mergeCell ref="A40:G41"/>
    <mergeCell ref="H40:M41"/>
    <mergeCell ref="N40:Q41"/>
    <mergeCell ref="R40:U41"/>
    <mergeCell ref="V40:Y41"/>
    <mergeCell ref="Z40:AC41"/>
    <mergeCell ref="AD40:AG41"/>
    <mergeCell ref="AH40:AK41"/>
    <mergeCell ref="AL40:AO41"/>
    <mergeCell ref="A38:G39"/>
    <mergeCell ref="H38:M39"/>
    <mergeCell ref="N38:Q39"/>
    <mergeCell ref="R38:U39"/>
    <mergeCell ref="V38:Y39"/>
    <mergeCell ref="Z38:AC39"/>
    <mergeCell ref="AD38:AG39"/>
    <mergeCell ref="AH38:AK39"/>
    <mergeCell ref="AL38:AO39"/>
    <mergeCell ref="AP40:AU41"/>
    <mergeCell ref="AV40:BB41"/>
    <mergeCell ref="AP38:AU39"/>
    <mergeCell ref="AV38:BB39"/>
    <mergeCell ref="A44:G45"/>
    <mergeCell ref="H44:M45"/>
    <mergeCell ref="N44:Q45"/>
    <mergeCell ref="R44:U45"/>
    <mergeCell ref="V44:Y45"/>
    <mergeCell ref="Z44:AC45"/>
    <mergeCell ref="AD44:AG45"/>
    <mergeCell ref="AH44:AK45"/>
    <mergeCell ref="AL44:AO45"/>
    <mergeCell ref="A42:G43"/>
    <mergeCell ref="H42:M43"/>
    <mergeCell ref="N42:Q43"/>
    <mergeCell ref="R42:U43"/>
    <mergeCell ref="V42:Y43"/>
    <mergeCell ref="Z42:AC43"/>
    <mergeCell ref="AD42:AG43"/>
    <mergeCell ref="AH42:AK43"/>
    <mergeCell ref="AL42:AO43"/>
    <mergeCell ref="AP44:AU45"/>
    <mergeCell ref="AV44:BB45"/>
    <mergeCell ref="AP42:AU43"/>
    <mergeCell ref="AV42:BB43"/>
    <mergeCell ref="A48:G49"/>
    <mergeCell ref="H48:M49"/>
    <mergeCell ref="N48:Q49"/>
    <mergeCell ref="R48:U49"/>
    <mergeCell ref="V48:Y49"/>
    <mergeCell ref="Z48:AC49"/>
    <mergeCell ref="AD48:AG49"/>
    <mergeCell ref="AH48:AK49"/>
    <mergeCell ref="AL48:AO49"/>
    <mergeCell ref="A46:G47"/>
    <mergeCell ref="H46:M47"/>
    <mergeCell ref="N46:Q47"/>
    <mergeCell ref="R46:U47"/>
    <mergeCell ref="V46:Y47"/>
    <mergeCell ref="Z46:AC47"/>
    <mergeCell ref="AD46:AG47"/>
    <mergeCell ref="AH46:AK47"/>
    <mergeCell ref="AL46:AO47"/>
    <mergeCell ref="AP48:AU49"/>
    <mergeCell ref="AV48:BB49"/>
    <mergeCell ref="AP46:AU47"/>
    <mergeCell ref="AV46:BB47"/>
    <mergeCell ref="A52:G53"/>
    <mergeCell ref="H52:M53"/>
    <mergeCell ref="N52:Q53"/>
    <mergeCell ref="R52:U53"/>
    <mergeCell ref="V52:Y53"/>
    <mergeCell ref="Z52:AC53"/>
    <mergeCell ref="AD52:AG53"/>
    <mergeCell ref="AH52:AK53"/>
    <mergeCell ref="AL52:AO53"/>
    <mergeCell ref="A50:G51"/>
    <mergeCell ref="H50:M51"/>
    <mergeCell ref="N50:Q51"/>
    <mergeCell ref="R50:U51"/>
    <mergeCell ref="V50:Y51"/>
    <mergeCell ref="Z50:AC51"/>
    <mergeCell ref="AD50:AG51"/>
    <mergeCell ref="AH50:AK51"/>
    <mergeCell ref="AL50:AO51"/>
    <mergeCell ref="AP52:AU53"/>
    <mergeCell ref="AV52:BB53"/>
    <mergeCell ref="AP50:AU51"/>
    <mergeCell ref="AV50:BB51"/>
    <mergeCell ref="A56:G57"/>
    <mergeCell ref="H56:M57"/>
    <mergeCell ref="N56:Q57"/>
    <mergeCell ref="R56:U57"/>
    <mergeCell ref="V56:Y57"/>
    <mergeCell ref="Z56:AC57"/>
    <mergeCell ref="AD56:AG57"/>
    <mergeCell ref="AH56:AK57"/>
    <mergeCell ref="AL56:AO57"/>
    <mergeCell ref="A54:G55"/>
    <mergeCell ref="H54:M55"/>
    <mergeCell ref="N54:Q55"/>
    <mergeCell ref="R54:U55"/>
    <mergeCell ref="V54:Y55"/>
    <mergeCell ref="Z54:AC55"/>
    <mergeCell ref="AD54:AG55"/>
    <mergeCell ref="AH54:AK55"/>
    <mergeCell ref="AL54:AO55"/>
    <mergeCell ref="AP56:AU57"/>
    <mergeCell ref="AV56:BB57"/>
    <mergeCell ref="AP54:AU55"/>
    <mergeCell ref="AV54:BB55"/>
    <mergeCell ref="A60:G61"/>
    <mergeCell ref="H60:M61"/>
    <mergeCell ref="N60:Q61"/>
    <mergeCell ref="R60:U61"/>
    <mergeCell ref="V60:Y61"/>
    <mergeCell ref="Z60:AC61"/>
    <mergeCell ref="AD60:AG61"/>
    <mergeCell ref="AH60:AK61"/>
    <mergeCell ref="AL60:AO61"/>
    <mergeCell ref="A58:G59"/>
    <mergeCell ref="H58:M59"/>
    <mergeCell ref="N58:Q59"/>
    <mergeCell ref="R58:U59"/>
    <mergeCell ref="V58:Y59"/>
    <mergeCell ref="Z58:AC59"/>
    <mergeCell ref="AD58:AG59"/>
    <mergeCell ref="AH58:AK59"/>
    <mergeCell ref="AL58:AO59"/>
    <mergeCell ref="AP60:AU61"/>
    <mergeCell ref="AV60:BB61"/>
    <mergeCell ref="AP58:AU59"/>
    <mergeCell ref="AV58:BB59"/>
    <mergeCell ref="A64:G65"/>
    <mergeCell ref="H64:M65"/>
    <mergeCell ref="N64:Q65"/>
    <mergeCell ref="R64:U65"/>
    <mergeCell ref="V64:Y65"/>
    <mergeCell ref="Z64:AC65"/>
    <mergeCell ref="AD64:AG65"/>
    <mergeCell ref="AH64:AK65"/>
    <mergeCell ref="AL64:AO65"/>
    <mergeCell ref="A62:G63"/>
    <mergeCell ref="H62:M63"/>
    <mergeCell ref="N62:Q63"/>
    <mergeCell ref="R62:U63"/>
    <mergeCell ref="V62:Y63"/>
    <mergeCell ref="Z62:AC63"/>
    <mergeCell ref="AD62:AG63"/>
    <mergeCell ref="AH62:AK63"/>
    <mergeCell ref="AL62:AO63"/>
    <mergeCell ref="AP64:AU65"/>
    <mergeCell ref="AV64:BB65"/>
    <mergeCell ref="AP62:AU63"/>
    <mergeCell ref="AV62:BB63"/>
    <mergeCell ref="A68:G69"/>
    <mergeCell ref="H68:M69"/>
    <mergeCell ref="N68:Q69"/>
    <mergeCell ref="R68:U69"/>
    <mergeCell ref="V68:Y69"/>
    <mergeCell ref="Z68:AC69"/>
    <mergeCell ref="AD68:AG69"/>
    <mergeCell ref="AH68:AK69"/>
    <mergeCell ref="AL68:AO69"/>
    <mergeCell ref="A66:G67"/>
    <mergeCell ref="H66:M67"/>
    <mergeCell ref="N66:Q67"/>
    <mergeCell ref="R66:U67"/>
    <mergeCell ref="V66:Y67"/>
    <mergeCell ref="Z66:AC67"/>
    <mergeCell ref="AD66:AG67"/>
    <mergeCell ref="AH66:AK67"/>
    <mergeCell ref="AL66:AO67"/>
    <mergeCell ref="AP68:AU69"/>
    <mergeCell ref="AV68:BB69"/>
    <mergeCell ref="AP66:AU67"/>
    <mergeCell ref="AV66:BB67"/>
    <mergeCell ref="A81:BB82"/>
    <mergeCell ref="A84:D85"/>
    <mergeCell ref="L84:P85"/>
    <mergeCell ref="X84:AB85"/>
    <mergeCell ref="AJ84:BB85"/>
    <mergeCell ref="A70:D73"/>
    <mergeCell ref="E70:BB73"/>
    <mergeCell ref="A74:D76"/>
    <mergeCell ref="E74:BB76"/>
    <mergeCell ref="A77:D80"/>
    <mergeCell ref="E77:BB80"/>
  </mergeCells>
  <pageMargins left="0.984251968503937" right="0.590551181102362" top="0.590551181102362" bottom="0.590551181102362" header="0.31496062992126" footer="0.31496062992126"/>
  <pageSetup paperSize="9" orientation="portrait" horizontalDpi="200" verticalDpi="300"/>
  <headerFooter>
    <oddHeader>&amp;R第1页，共1页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topLeftCell="A2" workbookViewId="0">
      <selection activeCell="Y14" sqref="Y14"/>
    </sheetView>
  </sheetViews>
  <sheetFormatPr defaultColWidth="9" defaultRowHeight="14.4"/>
  <cols>
    <col min="1" max="1" width="6.37962962962963" style="5" customWidth="1"/>
    <col min="2" max="2" width="5.25" style="5" customWidth="1"/>
    <col min="3" max="3" width="1.75" style="5" customWidth="1"/>
    <col min="4" max="4" width="10.5" style="5" customWidth="1"/>
    <col min="5" max="5" width="5.62962962962963" style="5" customWidth="1"/>
    <col min="6" max="6" width="5.37962962962963" style="5" customWidth="1"/>
    <col min="7" max="8" width="5" style="5" customWidth="1"/>
    <col min="9" max="9" width="5.62962962962963" style="5" customWidth="1"/>
    <col min="10" max="10" width="5.5" style="5" customWidth="1"/>
    <col min="11" max="11" width="2.5" style="5" customWidth="1"/>
    <col min="12" max="12" width="4.12962962962963" style="5" customWidth="1"/>
    <col min="13" max="13" width="2.25" style="5" customWidth="1"/>
    <col min="14" max="14" width="0.75" style="5" customWidth="1"/>
    <col min="15" max="15" width="2" style="5" customWidth="1"/>
    <col min="16" max="16" width="0.75" style="5" customWidth="1"/>
    <col min="17" max="17" width="2.25" style="5" customWidth="1"/>
    <col min="18" max="18" width="1.37962962962963" style="5" customWidth="1"/>
    <col min="19" max="19" width="1.75" style="5" customWidth="1"/>
    <col min="20" max="20" width="2.5" style="5" customWidth="1"/>
    <col min="21" max="21" width="0.75" style="5" customWidth="1"/>
    <col min="22" max="22" width="3.62962962962963" style="5" customWidth="1"/>
    <col min="23" max="23" width="10.3796296296296" style="5" customWidth="1"/>
    <col min="24" max="16384" width="9" style="5"/>
  </cols>
  <sheetData>
    <row r="1" ht="14.25" customHeight="1" spans="1:2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43" t="s">
        <v>54</v>
      </c>
      <c r="N1" s="40" t="s">
        <v>55</v>
      </c>
      <c r="O1" s="40"/>
      <c r="P1" s="143" t="s">
        <v>56</v>
      </c>
      <c r="Q1" s="39"/>
      <c r="R1" s="39"/>
      <c r="S1" s="39"/>
      <c r="T1" s="40" t="s">
        <v>55</v>
      </c>
      <c r="U1" s="40"/>
      <c r="V1" s="46" t="s">
        <v>57</v>
      </c>
    </row>
    <row r="2" ht="18" customHeight="1" spans="1:2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6.1" customHeight="1" spans="1:22">
      <c r="A3" s="8" t="s">
        <v>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7.25" customHeight="1" spans="1:22">
      <c r="A4" s="144" t="s">
        <v>1</v>
      </c>
      <c r="B4" s="9"/>
      <c r="C4" s="9"/>
      <c r="D4" s="10" t="s">
        <v>60</v>
      </c>
      <c r="E4" s="10"/>
      <c r="F4" s="10"/>
      <c r="G4" s="10"/>
      <c r="H4" s="10"/>
      <c r="I4" s="41" t="s">
        <v>61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27.75" customHeight="1" spans="1:22">
      <c r="A5" s="145" t="s">
        <v>10</v>
      </c>
      <c r="B5" s="12"/>
      <c r="C5" s="12"/>
      <c r="D5" s="13" t="s">
        <v>11</v>
      </c>
      <c r="E5" s="13"/>
      <c r="F5" s="13"/>
      <c r="G5" s="13"/>
      <c r="H5" s="13"/>
      <c r="I5" s="42" t="s">
        <v>62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7"/>
    </row>
    <row r="6" ht="26.1" customHeight="1" spans="1:22">
      <c r="A6" s="146" t="s">
        <v>15</v>
      </c>
      <c r="B6" s="15"/>
      <c r="C6" s="15"/>
      <c r="D6" s="54" t="s">
        <v>16</v>
      </c>
      <c r="E6" s="54"/>
      <c r="F6" s="54"/>
      <c r="G6" s="54"/>
      <c r="H6" s="54"/>
      <c r="I6" s="25" t="s">
        <v>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48"/>
    </row>
    <row r="7" ht="26.1" customHeight="1" spans="1:22">
      <c r="A7" s="14" t="s">
        <v>21</v>
      </c>
      <c r="B7" s="15"/>
      <c r="C7" s="15"/>
      <c r="D7" s="54" t="s">
        <v>22</v>
      </c>
      <c r="E7" s="54"/>
      <c r="F7" s="54"/>
      <c r="G7" s="54"/>
      <c r="H7" s="54"/>
      <c r="I7" s="25" t="s">
        <v>30</v>
      </c>
      <c r="J7" s="25"/>
      <c r="K7" s="25"/>
      <c r="L7" s="25" t="s">
        <v>31</v>
      </c>
      <c r="M7" s="25"/>
      <c r="N7" s="25"/>
      <c r="O7" s="25"/>
      <c r="P7" s="25"/>
      <c r="Q7" s="25"/>
      <c r="R7" s="25"/>
      <c r="S7" s="25"/>
      <c r="T7" s="25"/>
      <c r="U7" s="25"/>
      <c r="V7" s="48"/>
    </row>
    <row r="8" ht="26.1" customHeight="1" spans="1:22">
      <c r="A8" s="146" t="s">
        <v>63</v>
      </c>
      <c r="B8" s="15"/>
      <c r="C8" s="15"/>
      <c r="D8" s="55">
        <v>21</v>
      </c>
      <c r="E8" s="56"/>
      <c r="F8" s="56"/>
      <c r="G8" s="56"/>
      <c r="H8" s="57"/>
      <c r="I8" s="25" t="s">
        <v>64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48"/>
    </row>
    <row r="9" ht="25.7" customHeight="1" spans="1:22">
      <c r="A9" s="147" t="s">
        <v>28</v>
      </c>
      <c r="B9" s="18"/>
      <c r="C9" s="18"/>
      <c r="D9" s="19" t="s">
        <v>29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9"/>
    </row>
    <row r="10" ht="24" customHeight="1" spans="1:22">
      <c r="A10" s="20" t="s">
        <v>32</v>
      </c>
      <c r="B10" s="21"/>
      <c r="C10" s="21"/>
      <c r="D10" s="22" t="s">
        <v>65</v>
      </c>
      <c r="E10" s="22"/>
      <c r="F10" s="22"/>
      <c r="G10" s="22"/>
      <c r="H10" s="22"/>
      <c r="I10" s="22"/>
      <c r="J10" s="22"/>
      <c r="K10" s="22"/>
      <c r="L10" s="22"/>
      <c r="M10" s="43" t="s">
        <v>34</v>
      </c>
      <c r="N10" s="43"/>
      <c r="O10" s="43"/>
      <c r="P10" s="43"/>
      <c r="Q10" s="43"/>
      <c r="R10" s="43"/>
      <c r="S10" s="43" t="s">
        <v>35</v>
      </c>
      <c r="T10" s="43"/>
      <c r="U10" s="43"/>
      <c r="V10" s="50"/>
    </row>
    <row r="11" ht="24" customHeight="1" spans="1:22">
      <c r="A11" s="14" t="s">
        <v>66</v>
      </c>
      <c r="B11" s="23"/>
      <c r="C11" s="23"/>
      <c r="D11" s="24" t="s">
        <v>37</v>
      </c>
      <c r="E11" s="25" t="s">
        <v>67</v>
      </c>
      <c r="F11" s="25"/>
      <c r="G11" s="25"/>
      <c r="H11" s="25"/>
      <c r="I11" s="25"/>
      <c r="J11" s="25"/>
      <c r="K11" s="25" t="s">
        <v>68</v>
      </c>
      <c r="L11" s="25"/>
      <c r="M11" s="25" t="s">
        <v>39</v>
      </c>
      <c r="N11" s="25"/>
      <c r="O11" s="25"/>
      <c r="P11" s="25"/>
      <c r="Q11" s="25"/>
      <c r="R11" s="25"/>
      <c r="S11" s="25" t="s">
        <v>40</v>
      </c>
      <c r="T11" s="25"/>
      <c r="U11" s="25"/>
      <c r="V11" s="48"/>
    </row>
    <row r="12" ht="24" customHeight="1" spans="1:22">
      <c r="A12" s="14">
        <v>1</v>
      </c>
      <c r="B12" s="23"/>
      <c r="C12" s="23"/>
      <c r="D12" s="28" t="s">
        <v>31</v>
      </c>
      <c r="E12" s="58">
        <v>30</v>
      </c>
      <c r="F12" s="58">
        <v>22.5</v>
      </c>
      <c r="G12" s="58">
        <v>21.5</v>
      </c>
      <c r="H12" s="58">
        <v>23</v>
      </c>
      <c r="I12" s="58">
        <v>21.5</v>
      </c>
      <c r="J12" s="58" t="s">
        <v>42</v>
      </c>
      <c r="K12" s="58">
        <f>AVERAGE(F12:I12)</f>
        <v>22.125</v>
      </c>
      <c r="L12" s="58"/>
      <c r="M12" s="25" t="s">
        <v>43</v>
      </c>
      <c r="N12" s="25"/>
      <c r="O12" s="25"/>
      <c r="P12" s="25"/>
      <c r="Q12" s="25"/>
      <c r="R12" s="25"/>
      <c r="S12" s="25" t="s">
        <v>42</v>
      </c>
      <c r="T12" s="25"/>
      <c r="U12" s="25"/>
      <c r="V12" s="48"/>
    </row>
    <row r="13" ht="24" customHeight="1" spans="1:22">
      <c r="A13" s="14" t="s">
        <v>42</v>
      </c>
      <c r="B13" s="23"/>
      <c r="C13" s="23"/>
      <c r="D13" s="28" t="s">
        <v>42</v>
      </c>
      <c r="E13" s="58" t="s">
        <v>42</v>
      </c>
      <c r="F13" s="58" t="s">
        <v>42</v>
      </c>
      <c r="G13" s="58" t="s">
        <v>42</v>
      </c>
      <c r="H13" s="58" t="s">
        <v>42</v>
      </c>
      <c r="I13" s="58" t="s">
        <v>42</v>
      </c>
      <c r="J13" s="58" t="s">
        <v>42</v>
      </c>
      <c r="K13" s="25" t="s">
        <v>42</v>
      </c>
      <c r="L13" s="25"/>
      <c r="M13" s="25" t="s">
        <v>42</v>
      </c>
      <c r="N13" s="25"/>
      <c r="O13" s="25"/>
      <c r="P13" s="25"/>
      <c r="Q13" s="25"/>
      <c r="R13" s="25"/>
      <c r="S13" s="25" t="s">
        <v>42</v>
      </c>
      <c r="T13" s="25"/>
      <c r="U13" s="25"/>
      <c r="V13" s="48"/>
    </row>
    <row r="14" ht="24" customHeight="1" spans="1:22">
      <c r="A14" s="14" t="s">
        <v>42</v>
      </c>
      <c r="B14" s="23"/>
      <c r="C14" s="23"/>
      <c r="D14" s="28" t="s">
        <v>42</v>
      </c>
      <c r="E14" s="58" t="s">
        <v>42</v>
      </c>
      <c r="F14" s="58" t="s">
        <v>42</v>
      </c>
      <c r="G14" s="58" t="s">
        <v>42</v>
      </c>
      <c r="H14" s="58" t="s">
        <v>42</v>
      </c>
      <c r="I14" s="58" t="s">
        <v>42</v>
      </c>
      <c r="J14" s="58" t="s">
        <v>42</v>
      </c>
      <c r="K14" s="25" t="s">
        <v>42</v>
      </c>
      <c r="L14" s="25"/>
      <c r="M14" s="25" t="s">
        <v>42</v>
      </c>
      <c r="N14" s="25"/>
      <c r="O14" s="25"/>
      <c r="P14" s="25"/>
      <c r="Q14" s="25"/>
      <c r="R14" s="25"/>
      <c r="S14" s="25" t="s">
        <v>42</v>
      </c>
      <c r="T14" s="25"/>
      <c r="U14" s="25"/>
      <c r="V14" s="48"/>
    </row>
    <row r="15" ht="24" customHeight="1" spans="1:22">
      <c r="A15" s="14" t="s">
        <v>42</v>
      </c>
      <c r="B15" s="23"/>
      <c r="C15" s="23"/>
      <c r="D15" s="28" t="s">
        <v>42</v>
      </c>
      <c r="E15" s="58" t="s">
        <v>42</v>
      </c>
      <c r="F15" s="58" t="s">
        <v>42</v>
      </c>
      <c r="G15" s="58" t="s">
        <v>42</v>
      </c>
      <c r="H15" s="58" t="s">
        <v>42</v>
      </c>
      <c r="I15" s="58" t="s">
        <v>42</v>
      </c>
      <c r="J15" s="58" t="s">
        <v>42</v>
      </c>
      <c r="K15" s="25" t="s">
        <v>42</v>
      </c>
      <c r="L15" s="25"/>
      <c r="M15" s="25" t="s">
        <v>42</v>
      </c>
      <c r="N15" s="25"/>
      <c r="O15" s="25"/>
      <c r="P15" s="25"/>
      <c r="Q15" s="25"/>
      <c r="R15" s="25"/>
      <c r="S15" s="25" t="s">
        <v>42</v>
      </c>
      <c r="T15" s="25"/>
      <c r="U15" s="25"/>
      <c r="V15" s="48"/>
    </row>
    <row r="16" ht="24" customHeight="1" spans="1:22">
      <c r="A16" s="14" t="s">
        <v>42</v>
      </c>
      <c r="B16" s="23"/>
      <c r="C16" s="23"/>
      <c r="D16" s="28" t="s">
        <v>42</v>
      </c>
      <c r="E16" s="58" t="s">
        <v>42</v>
      </c>
      <c r="F16" s="58" t="s">
        <v>42</v>
      </c>
      <c r="G16" s="58" t="s">
        <v>42</v>
      </c>
      <c r="H16" s="58" t="s">
        <v>42</v>
      </c>
      <c r="I16" s="58" t="s">
        <v>42</v>
      </c>
      <c r="J16" s="58" t="s">
        <v>42</v>
      </c>
      <c r="K16" s="25" t="s">
        <v>42</v>
      </c>
      <c r="L16" s="25"/>
      <c r="M16" s="25" t="s">
        <v>42</v>
      </c>
      <c r="N16" s="25"/>
      <c r="O16" s="25"/>
      <c r="P16" s="25"/>
      <c r="Q16" s="25"/>
      <c r="R16" s="25"/>
      <c r="S16" s="25" t="s">
        <v>42</v>
      </c>
      <c r="T16" s="25"/>
      <c r="U16" s="25"/>
      <c r="V16" s="48"/>
    </row>
    <row r="17" ht="24" customHeight="1" spans="1:22">
      <c r="A17" s="14" t="s">
        <v>42</v>
      </c>
      <c r="B17" s="23"/>
      <c r="C17" s="23"/>
      <c r="D17" s="28" t="s">
        <v>42</v>
      </c>
      <c r="E17" s="58" t="s">
        <v>42</v>
      </c>
      <c r="F17" s="58" t="s">
        <v>42</v>
      </c>
      <c r="G17" s="58" t="s">
        <v>42</v>
      </c>
      <c r="H17" s="58" t="s">
        <v>42</v>
      </c>
      <c r="I17" s="58" t="s">
        <v>42</v>
      </c>
      <c r="J17" s="58" t="s">
        <v>42</v>
      </c>
      <c r="K17" s="25" t="s">
        <v>42</v>
      </c>
      <c r="L17" s="25"/>
      <c r="M17" s="25" t="s">
        <v>42</v>
      </c>
      <c r="N17" s="25"/>
      <c r="O17" s="25"/>
      <c r="P17" s="25"/>
      <c r="Q17" s="25"/>
      <c r="R17" s="25"/>
      <c r="S17" s="25" t="s">
        <v>42</v>
      </c>
      <c r="T17" s="25"/>
      <c r="U17" s="25"/>
      <c r="V17" s="48"/>
    </row>
    <row r="18" ht="24" customHeight="1" spans="1:22">
      <c r="A18" s="14" t="s">
        <v>42</v>
      </c>
      <c r="B18" s="23"/>
      <c r="C18" s="23"/>
      <c r="D18" s="28" t="s">
        <v>42</v>
      </c>
      <c r="E18" s="58" t="s">
        <v>42</v>
      </c>
      <c r="F18" s="58" t="s">
        <v>42</v>
      </c>
      <c r="G18" s="58" t="s">
        <v>42</v>
      </c>
      <c r="H18" s="58" t="s">
        <v>42</v>
      </c>
      <c r="I18" s="58" t="s">
        <v>42</v>
      </c>
      <c r="J18" s="58" t="s">
        <v>42</v>
      </c>
      <c r="K18" s="25" t="s">
        <v>42</v>
      </c>
      <c r="L18" s="25"/>
      <c r="M18" s="25" t="s">
        <v>42</v>
      </c>
      <c r="N18" s="25"/>
      <c r="O18" s="25"/>
      <c r="P18" s="25"/>
      <c r="Q18" s="25"/>
      <c r="R18" s="25"/>
      <c r="S18" s="25" t="s">
        <v>42</v>
      </c>
      <c r="T18" s="25"/>
      <c r="U18" s="25"/>
      <c r="V18" s="48"/>
    </row>
    <row r="19" ht="24" customHeight="1" spans="1:22">
      <c r="A19" s="14" t="s">
        <v>42</v>
      </c>
      <c r="B19" s="23"/>
      <c r="C19" s="23"/>
      <c r="D19" s="28" t="s">
        <v>42</v>
      </c>
      <c r="E19" s="58" t="s">
        <v>42</v>
      </c>
      <c r="F19" s="58" t="s">
        <v>42</v>
      </c>
      <c r="G19" s="58" t="s">
        <v>42</v>
      </c>
      <c r="H19" s="58" t="s">
        <v>42</v>
      </c>
      <c r="I19" s="58" t="s">
        <v>42</v>
      </c>
      <c r="J19" s="58" t="s">
        <v>42</v>
      </c>
      <c r="K19" s="25" t="s">
        <v>42</v>
      </c>
      <c r="L19" s="25"/>
      <c r="M19" s="25" t="s">
        <v>42</v>
      </c>
      <c r="N19" s="25"/>
      <c r="O19" s="25"/>
      <c r="P19" s="25"/>
      <c r="Q19" s="25"/>
      <c r="R19" s="25"/>
      <c r="S19" s="25" t="s">
        <v>42</v>
      </c>
      <c r="T19" s="25"/>
      <c r="U19" s="25"/>
      <c r="V19" s="48"/>
    </row>
    <row r="20" ht="24" customHeight="1" spans="1:22">
      <c r="A20" s="14" t="s">
        <v>42</v>
      </c>
      <c r="B20" s="23"/>
      <c r="C20" s="23"/>
      <c r="D20" s="28" t="s">
        <v>42</v>
      </c>
      <c r="E20" s="58" t="s">
        <v>42</v>
      </c>
      <c r="F20" s="58" t="s">
        <v>42</v>
      </c>
      <c r="G20" s="58" t="s">
        <v>42</v>
      </c>
      <c r="H20" s="58" t="s">
        <v>42</v>
      </c>
      <c r="I20" s="58" t="s">
        <v>42</v>
      </c>
      <c r="J20" s="58" t="s">
        <v>42</v>
      </c>
      <c r="K20" s="25" t="s">
        <v>42</v>
      </c>
      <c r="L20" s="25"/>
      <c r="M20" s="25" t="s">
        <v>42</v>
      </c>
      <c r="N20" s="25"/>
      <c r="O20" s="25"/>
      <c r="P20" s="25"/>
      <c r="Q20" s="25"/>
      <c r="R20" s="25"/>
      <c r="S20" s="25" t="s">
        <v>42</v>
      </c>
      <c r="T20" s="25"/>
      <c r="U20" s="25"/>
      <c r="V20" s="48"/>
    </row>
    <row r="21" ht="24" customHeight="1" spans="1:22">
      <c r="A21" s="14" t="s">
        <v>42</v>
      </c>
      <c r="B21" s="23"/>
      <c r="C21" s="23"/>
      <c r="D21" s="28" t="s">
        <v>42</v>
      </c>
      <c r="E21" s="58" t="s">
        <v>42</v>
      </c>
      <c r="F21" s="58" t="s">
        <v>42</v>
      </c>
      <c r="G21" s="58" t="s">
        <v>42</v>
      </c>
      <c r="H21" s="58" t="s">
        <v>42</v>
      </c>
      <c r="I21" s="58" t="s">
        <v>42</v>
      </c>
      <c r="J21" s="58" t="s">
        <v>42</v>
      </c>
      <c r="K21" s="25" t="s">
        <v>42</v>
      </c>
      <c r="L21" s="25"/>
      <c r="M21" s="25" t="s">
        <v>42</v>
      </c>
      <c r="N21" s="25"/>
      <c r="O21" s="25"/>
      <c r="P21" s="25"/>
      <c r="Q21" s="25"/>
      <c r="R21" s="25"/>
      <c r="S21" s="25" t="s">
        <v>42</v>
      </c>
      <c r="T21" s="25"/>
      <c r="U21" s="25"/>
      <c r="V21" s="48"/>
    </row>
    <row r="22" ht="24" customHeight="1" spans="1:22">
      <c r="A22" s="14" t="s">
        <v>42</v>
      </c>
      <c r="B22" s="23"/>
      <c r="C22" s="23"/>
      <c r="D22" s="28" t="s">
        <v>42</v>
      </c>
      <c r="E22" s="58" t="s">
        <v>42</v>
      </c>
      <c r="F22" s="58" t="s">
        <v>42</v>
      </c>
      <c r="G22" s="58" t="s">
        <v>42</v>
      </c>
      <c r="H22" s="58" t="s">
        <v>42</v>
      </c>
      <c r="I22" s="58" t="s">
        <v>42</v>
      </c>
      <c r="J22" s="58" t="s">
        <v>42</v>
      </c>
      <c r="K22" s="25" t="s">
        <v>42</v>
      </c>
      <c r="L22" s="25"/>
      <c r="M22" s="25" t="s">
        <v>42</v>
      </c>
      <c r="N22" s="25"/>
      <c r="O22" s="25"/>
      <c r="P22" s="25"/>
      <c r="Q22" s="25"/>
      <c r="R22" s="25"/>
      <c r="S22" s="25" t="s">
        <v>42</v>
      </c>
      <c r="T22" s="25"/>
      <c r="U22" s="25"/>
      <c r="V22" s="48"/>
    </row>
    <row r="23" ht="24" customHeight="1" spans="1:22">
      <c r="A23" s="14" t="s">
        <v>42</v>
      </c>
      <c r="B23" s="23"/>
      <c r="C23" s="23"/>
      <c r="D23" s="28" t="s">
        <v>42</v>
      </c>
      <c r="E23" s="58" t="s">
        <v>42</v>
      </c>
      <c r="F23" s="58" t="s">
        <v>42</v>
      </c>
      <c r="G23" s="58" t="s">
        <v>42</v>
      </c>
      <c r="H23" s="58" t="s">
        <v>42</v>
      </c>
      <c r="I23" s="58" t="s">
        <v>42</v>
      </c>
      <c r="J23" s="58" t="s">
        <v>42</v>
      </c>
      <c r="K23" s="25" t="s">
        <v>42</v>
      </c>
      <c r="L23" s="25"/>
      <c r="M23" s="25" t="s">
        <v>42</v>
      </c>
      <c r="N23" s="25"/>
      <c r="O23" s="25"/>
      <c r="P23" s="25"/>
      <c r="Q23" s="25"/>
      <c r="R23" s="25"/>
      <c r="S23" s="25" t="s">
        <v>42</v>
      </c>
      <c r="T23" s="25"/>
      <c r="U23" s="25"/>
      <c r="V23" s="48"/>
    </row>
    <row r="24" ht="24" customHeight="1" spans="1:22">
      <c r="A24" s="14" t="s">
        <v>42</v>
      </c>
      <c r="B24" s="23"/>
      <c r="C24" s="23"/>
      <c r="D24" s="28" t="s">
        <v>42</v>
      </c>
      <c r="E24" s="58" t="s">
        <v>42</v>
      </c>
      <c r="F24" s="58" t="s">
        <v>42</v>
      </c>
      <c r="G24" s="58" t="s">
        <v>42</v>
      </c>
      <c r="H24" s="58" t="s">
        <v>42</v>
      </c>
      <c r="I24" s="58" t="s">
        <v>42</v>
      </c>
      <c r="J24" s="58" t="s">
        <v>42</v>
      </c>
      <c r="K24" s="25" t="s">
        <v>42</v>
      </c>
      <c r="L24" s="25"/>
      <c r="M24" s="25" t="s">
        <v>42</v>
      </c>
      <c r="N24" s="25"/>
      <c r="O24" s="25"/>
      <c r="P24" s="25"/>
      <c r="Q24" s="25"/>
      <c r="R24" s="25"/>
      <c r="S24" s="25" t="s">
        <v>42</v>
      </c>
      <c r="T24" s="25"/>
      <c r="U24" s="25"/>
      <c r="V24" s="48"/>
    </row>
    <row r="25" ht="24" customHeight="1" spans="1:22">
      <c r="A25" s="14" t="s">
        <v>42</v>
      </c>
      <c r="B25" s="23"/>
      <c r="C25" s="23"/>
      <c r="D25" s="28" t="s">
        <v>42</v>
      </c>
      <c r="E25" s="58" t="s">
        <v>42</v>
      </c>
      <c r="F25" s="58" t="s">
        <v>42</v>
      </c>
      <c r="G25" s="58" t="s">
        <v>42</v>
      </c>
      <c r="H25" s="58" t="s">
        <v>42</v>
      </c>
      <c r="I25" s="58" t="s">
        <v>42</v>
      </c>
      <c r="J25" s="58" t="s">
        <v>42</v>
      </c>
      <c r="K25" s="25" t="s">
        <v>42</v>
      </c>
      <c r="L25" s="25"/>
      <c r="M25" s="25" t="s">
        <v>42</v>
      </c>
      <c r="N25" s="25"/>
      <c r="O25" s="25"/>
      <c r="P25" s="25"/>
      <c r="Q25" s="25"/>
      <c r="R25" s="25"/>
      <c r="S25" s="25" t="s">
        <v>42</v>
      </c>
      <c r="T25" s="25"/>
      <c r="U25" s="25"/>
      <c r="V25" s="48"/>
    </row>
    <row r="26" ht="24" customHeight="1" spans="1:22">
      <c r="A26" s="14" t="s">
        <v>42</v>
      </c>
      <c r="B26" s="23"/>
      <c r="C26" s="23"/>
      <c r="D26" s="28" t="s">
        <v>42</v>
      </c>
      <c r="E26" s="58" t="s">
        <v>42</v>
      </c>
      <c r="F26" s="58" t="s">
        <v>42</v>
      </c>
      <c r="G26" s="58" t="s">
        <v>42</v>
      </c>
      <c r="H26" s="58" t="s">
        <v>42</v>
      </c>
      <c r="I26" s="58" t="s">
        <v>42</v>
      </c>
      <c r="J26" s="58" t="s">
        <v>42</v>
      </c>
      <c r="K26" s="25" t="s">
        <v>42</v>
      </c>
      <c r="L26" s="25"/>
      <c r="M26" s="25" t="s">
        <v>42</v>
      </c>
      <c r="N26" s="25"/>
      <c r="O26" s="25"/>
      <c r="P26" s="25"/>
      <c r="Q26" s="25"/>
      <c r="R26" s="25"/>
      <c r="S26" s="25" t="s">
        <v>42</v>
      </c>
      <c r="T26" s="25"/>
      <c r="U26" s="25"/>
      <c r="V26" s="48"/>
    </row>
    <row r="27" ht="24" customHeight="1" spans="1:22">
      <c r="A27" s="14" t="s">
        <v>42</v>
      </c>
      <c r="B27" s="23"/>
      <c r="C27" s="23"/>
      <c r="D27" s="28" t="s">
        <v>42</v>
      </c>
      <c r="E27" s="58" t="s">
        <v>42</v>
      </c>
      <c r="F27" s="58" t="s">
        <v>42</v>
      </c>
      <c r="G27" s="58" t="s">
        <v>42</v>
      </c>
      <c r="H27" s="58" t="s">
        <v>42</v>
      </c>
      <c r="I27" s="58" t="s">
        <v>42</v>
      </c>
      <c r="J27" s="58" t="s">
        <v>42</v>
      </c>
      <c r="K27" s="25" t="s">
        <v>42</v>
      </c>
      <c r="L27" s="25"/>
      <c r="M27" s="25" t="s">
        <v>42</v>
      </c>
      <c r="N27" s="25"/>
      <c r="O27" s="25"/>
      <c r="P27" s="25"/>
      <c r="Q27" s="25"/>
      <c r="R27" s="25"/>
      <c r="S27" s="25" t="s">
        <v>42</v>
      </c>
      <c r="T27" s="25"/>
      <c r="U27" s="25"/>
      <c r="V27" s="48"/>
    </row>
    <row r="28" ht="24" customHeight="1" spans="1:22">
      <c r="A28" s="14" t="s">
        <v>42</v>
      </c>
      <c r="B28" s="23"/>
      <c r="C28" s="23"/>
      <c r="D28" s="28" t="s">
        <v>42</v>
      </c>
      <c r="E28" s="58" t="s">
        <v>42</v>
      </c>
      <c r="F28" s="58" t="s">
        <v>42</v>
      </c>
      <c r="G28" s="58" t="s">
        <v>42</v>
      </c>
      <c r="H28" s="58" t="s">
        <v>42</v>
      </c>
      <c r="I28" s="58" t="s">
        <v>42</v>
      </c>
      <c r="J28" s="58" t="s">
        <v>42</v>
      </c>
      <c r="K28" s="25" t="s">
        <v>42</v>
      </c>
      <c r="L28" s="25"/>
      <c r="M28" s="25" t="s">
        <v>42</v>
      </c>
      <c r="N28" s="25"/>
      <c r="O28" s="25"/>
      <c r="P28" s="25"/>
      <c r="Q28" s="25"/>
      <c r="R28" s="25"/>
      <c r="S28" s="25" t="s">
        <v>42</v>
      </c>
      <c r="T28" s="25"/>
      <c r="U28" s="25"/>
      <c r="V28" s="48"/>
    </row>
    <row r="29" ht="17.25" customHeight="1" spans="1:22">
      <c r="A29" s="148" t="s">
        <v>69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52"/>
    </row>
    <row r="30" ht="39" customHeight="1" spans="1:2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3"/>
    </row>
    <row r="31" ht="27.75" customHeight="1" spans="1:22">
      <c r="A31" s="34" t="s">
        <v>50</v>
      </c>
      <c r="B31" s="149" t="s">
        <v>70</v>
      </c>
      <c r="C31" s="35"/>
      <c r="D31" s="35"/>
      <c r="E31" s="150" t="s">
        <v>71</v>
      </c>
      <c r="F31" s="37"/>
      <c r="G31" s="149" t="s">
        <v>70</v>
      </c>
      <c r="H31" s="38"/>
      <c r="I31" s="38"/>
      <c r="J31" s="36" t="s">
        <v>72</v>
      </c>
      <c r="K31" s="36"/>
      <c r="L31" s="151" t="s">
        <v>70</v>
      </c>
      <c r="M31" s="44"/>
      <c r="N31" s="44"/>
      <c r="O31" s="152" t="s">
        <v>73</v>
      </c>
      <c r="P31" s="45"/>
      <c r="Q31" s="151" t="s">
        <v>70</v>
      </c>
      <c r="R31" s="152" t="s">
        <v>74</v>
      </c>
      <c r="S31" s="45"/>
      <c r="T31" s="44"/>
      <c r="U31" s="152" t="s">
        <v>75</v>
      </c>
      <c r="V31" s="45"/>
    </row>
    <row r="32" ht="34.5" customHeight="1"/>
  </sheetData>
  <mergeCells count="113">
    <mergeCell ref="A1:L1"/>
    <mergeCell ref="N1:O1"/>
    <mergeCell ref="P1:S1"/>
    <mergeCell ref="T1:U1"/>
    <mergeCell ref="A2:V2"/>
    <mergeCell ref="A3:V3"/>
    <mergeCell ref="A4:C4"/>
    <mergeCell ref="D4:H4"/>
    <mergeCell ref="I4:K4"/>
    <mergeCell ref="L4:V4"/>
    <mergeCell ref="A5:C5"/>
    <mergeCell ref="D5:H5"/>
    <mergeCell ref="I5:K5"/>
    <mergeCell ref="L5:V5"/>
    <mergeCell ref="A6:C6"/>
    <mergeCell ref="D6:H6"/>
    <mergeCell ref="I6:K6"/>
    <mergeCell ref="L6:V6"/>
    <mergeCell ref="A7:C7"/>
    <mergeCell ref="D7:H7"/>
    <mergeCell ref="I7:K7"/>
    <mergeCell ref="L7:V7"/>
    <mergeCell ref="A8:C8"/>
    <mergeCell ref="D8:H8"/>
    <mergeCell ref="I8:K8"/>
    <mergeCell ref="L8:V8"/>
    <mergeCell ref="A9:C9"/>
    <mergeCell ref="D9:V9"/>
    <mergeCell ref="A10:C10"/>
    <mergeCell ref="D10:L10"/>
    <mergeCell ref="M10:R10"/>
    <mergeCell ref="S10:V10"/>
    <mergeCell ref="A11:C11"/>
    <mergeCell ref="E11:J11"/>
    <mergeCell ref="K11:L11"/>
    <mergeCell ref="M11:R11"/>
    <mergeCell ref="S11:V11"/>
    <mergeCell ref="A12:C12"/>
    <mergeCell ref="K12:L12"/>
    <mergeCell ref="M12:R12"/>
    <mergeCell ref="S12:V12"/>
    <mergeCell ref="A13:C13"/>
    <mergeCell ref="K13:L13"/>
    <mergeCell ref="M13:R13"/>
    <mergeCell ref="S13:V13"/>
    <mergeCell ref="A14:C14"/>
    <mergeCell ref="K14:L14"/>
    <mergeCell ref="M14:R14"/>
    <mergeCell ref="S14:V14"/>
    <mergeCell ref="A15:C15"/>
    <mergeCell ref="K15:L15"/>
    <mergeCell ref="M15:R15"/>
    <mergeCell ref="S15:V15"/>
    <mergeCell ref="A16:C16"/>
    <mergeCell ref="K16:L16"/>
    <mergeCell ref="M16:R16"/>
    <mergeCell ref="S16:V16"/>
    <mergeCell ref="A17:C17"/>
    <mergeCell ref="K17:L17"/>
    <mergeCell ref="M17:R17"/>
    <mergeCell ref="S17:V17"/>
    <mergeCell ref="A18:C18"/>
    <mergeCell ref="K18:L18"/>
    <mergeCell ref="M18:R18"/>
    <mergeCell ref="S18:V18"/>
    <mergeCell ref="A19:C19"/>
    <mergeCell ref="K19:L19"/>
    <mergeCell ref="M19:R19"/>
    <mergeCell ref="S19:V19"/>
    <mergeCell ref="A20:C20"/>
    <mergeCell ref="K20:L20"/>
    <mergeCell ref="M20:R20"/>
    <mergeCell ref="S20:V20"/>
    <mergeCell ref="A21:C21"/>
    <mergeCell ref="K21:L21"/>
    <mergeCell ref="M21:R21"/>
    <mergeCell ref="S21:V21"/>
    <mergeCell ref="A22:C22"/>
    <mergeCell ref="K22:L22"/>
    <mergeCell ref="M22:R22"/>
    <mergeCell ref="S22:V22"/>
    <mergeCell ref="A23:C23"/>
    <mergeCell ref="K23:L23"/>
    <mergeCell ref="M23:R23"/>
    <mergeCell ref="S23:V23"/>
    <mergeCell ref="A24:C24"/>
    <mergeCell ref="K24:L24"/>
    <mergeCell ref="M24:R24"/>
    <mergeCell ref="S24:V24"/>
    <mergeCell ref="A25:C25"/>
    <mergeCell ref="K25:L25"/>
    <mergeCell ref="M25:R25"/>
    <mergeCell ref="S25:V25"/>
    <mergeCell ref="A26:C26"/>
    <mergeCell ref="K26:L26"/>
    <mergeCell ref="M26:R26"/>
    <mergeCell ref="S26:V26"/>
    <mergeCell ref="A27:C27"/>
    <mergeCell ref="K27:L27"/>
    <mergeCell ref="M27:R27"/>
    <mergeCell ref="S27:V27"/>
    <mergeCell ref="A28:C28"/>
    <mergeCell ref="K28:L28"/>
    <mergeCell ref="M28:R28"/>
    <mergeCell ref="S28:V28"/>
    <mergeCell ref="B31:D31"/>
    <mergeCell ref="E31:F31"/>
    <mergeCell ref="J31:K31"/>
    <mergeCell ref="L31:N31"/>
    <mergeCell ref="O31:P31"/>
    <mergeCell ref="R31:S31"/>
    <mergeCell ref="U31:V31"/>
    <mergeCell ref="A29:V30"/>
  </mergeCells>
  <pageMargins left="0.984251968503937" right="0.590551181102362" top="0.590551181102362" bottom="0.590551181102362" header="0" footer="0"/>
  <pageSetup paperSize="9" orientation="portrait"/>
  <headerFooter alignWithMargins="0"/>
  <rowBreaks count="1" manualBreakCount="1">
    <brk id="3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BB85"/>
  <sheetViews>
    <sheetView workbookViewId="0">
      <selection activeCell="AD28" sqref="AD28:AG29"/>
    </sheetView>
  </sheetViews>
  <sheetFormatPr defaultColWidth="1.62962962962963" defaultRowHeight="9.95" customHeight="1"/>
  <cols>
    <col min="7" max="7" width="1.37962962962963" customWidth="1"/>
    <col min="40" max="40" width="1.12962962962963" customWidth="1"/>
    <col min="41" max="41" width="1.25" customWidth="1"/>
  </cols>
  <sheetData>
    <row r="1" customHeight="1" spans="1:54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</row>
    <row r="2" customHeight="1" spans="1:5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</row>
    <row r="3" ht="6.75" customHeight="1" spans="1:54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</row>
    <row r="4" customHeight="1" spans="1:54">
      <c r="A4" s="64" t="s">
        <v>1</v>
      </c>
      <c r="H4" s="65" t="s">
        <v>2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4" t="s">
        <v>3</v>
      </c>
      <c r="AI4" s="64"/>
      <c r="AJ4" s="64"/>
      <c r="AK4" s="64"/>
      <c r="AL4" s="64"/>
      <c r="AM4" s="64"/>
      <c r="AN4" s="64"/>
      <c r="AO4" s="64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</row>
    <row r="5" s="61" customFormat="1" ht="6.75" customHeight="1" spans="1:54">
      <c r="A5"/>
      <c r="B5"/>
      <c r="C5"/>
      <c r="D5"/>
      <c r="E5"/>
      <c r="F5"/>
      <c r="G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4"/>
      <c r="AI5" s="64"/>
      <c r="AJ5" s="64"/>
      <c r="AK5" s="64"/>
      <c r="AL5" s="64"/>
      <c r="AM5" s="64"/>
      <c r="AN5" s="64"/>
      <c r="AO5" s="64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</row>
    <row r="6" s="61" customFormat="1" ht="1.5" customHeight="1" spans="1:54">
      <c r="A6" s="66"/>
      <c r="B6" s="66"/>
      <c r="C6" s="66"/>
      <c r="D6" s="66"/>
      <c r="E6" s="66"/>
      <c r="F6" s="66"/>
      <c r="G6" s="66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94"/>
      <c r="AI6" s="94"/>
      <c r="AJ6" s="94"/>
      <c r="AK6" s="94"/>
      <c r="AL6" s="94"/>
      <c r="AM6" s="94"/>
      <c r="AN6" s="94"/>
      <c r="AO6" s="94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</row>
    <row r="7" customHeight="1" spans="1:54">
      <c r="A7" s="68" t="s">
        <v>4</v>
      </c>
      <c r="B7" s="69"/>
      <c r="C7" s="69"/>
      <c r="D7" s="69"/>
      <c r="E7" s="69"/>
      <c r="F7" s="69"/>
      <c r="G7" s="69"/>
      <c r="H7" s="70" t="s">
        <v>5</v>
      </c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69" t="s">
        <v>6</v>
      </c>
      <c r="AI7" s="69"/>
      <c r="AJ7" s="69"/>
      <c r="AK7" s="69"/>
      <c r="AL7" s="69"/>
      <c r="AM7" s="69"/>
      <c r="AN7" s="69"/>
      <c r="AO7" s="69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100"/>
    </row>
    <row r="8" customHeight="1" spans="1:54">
      <c r="A8" s="71"/>
      <c r="B8" s="72"/>
      <c r="C8" s="72"/>
      <c r="D8" s="72"/>
      <c r="E8" s="72"/>
      <c r="F8" s="72"/>
      <c r="G8" s="72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2"/>
      <c r="AI8" s="72"/>
      <c r="AJ8" s="72"/>
      <c r="AK8" s="72"/>
      <c r="AL8" s="72"/>
      <c r="AM8" s="72"/>
      <c r="AN8" s="72"/>
      <c r="AO8" s="72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101"/>
    </row>
    <row r="9" customHeight="1" spans="1:54">
      <c r="A9" s="71" t="s">
        <v>7</v>
      </c>
      <c r="B9" s="72"/>
      <c r="C9" s="72"/>
      <c r="D9" s="72"/>
      <c r="E9" s="72"/>
      <c r="F9" s="72"/>
      <c r="G9" s="72"/>
      <c r="H9" s="73" t="s">
        <v>8</v>
      </c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2" t="s">
        <v>9</v>
      </c>
      <c r="AI9" s="72"/>
      <c r="AJ9" s="72"/>
      <c r="AK9" s="72"/>
      <c r="AL9" s="72"/>
      <c r="AM9" s="72"/>
      <c r="AN9" s="72"/>
      <c r="AO9" s="72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101"/>
    </row>
    <row r="10" customHeight="1" spans="1:54">
      <c r="A10" s="71"/>
      <c r="B10" s="72"/>
      <c r="C10" s="72"/>
      <c r="D10" s="72"/>
      <c r="E10" s="72"/>
      <c r="F10" s="72"/>
      <c r="G10" s="7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2"/>
      <c r="AI10" s="72"/>
      <c r="AJ10" s="72"/>
      <c r="AK10" s="72"/>
      <c r="AL10" s="72"/>
      <c r="AM10" s="72"/>
      <c r="AN10" s="72"/>
      <c r="AO10" s="72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101"/>
    </row>
    <row r="11" customHeight="1" spans="1:54">
      <c r="A11" s="71" t="s">
        <v>10</v>
      </c>
      <c r="B11" s="72"/>
      <c r="C11" s="72"/>
      <c r="D11" s="72"/>
      <c r="E11" s="72"/>
      <c r="F11" s="72"/>
      <c r="G11" s="72"/>
      <c r="H11" s="73" t="s">
        <v>11</v>
      </c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2" t="s">
        <v>12</v>
      </c>
      <c r="AI11" s="72"/>
      <c r="AJ11" s="72"/>
      <c r="AK11" s="72"/>
      <c r="AL11" s="72"/>
      <c r="AM11" s="72"/>
      <c r="AN11" s="72"/>
      <c r="AO11" s="72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101"/>
    </row>
    <row r="12" customHeight="1" spans="1:54">
      <c r="A12" s="71"/>
      <c r="B12" s="72"/>
      <c r="C12" s="72"/>
      <c r="D12" s="72"/>
      <c r="E12" s="72"/>
      <c r="F12" s="72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2"/>
      <c r="AI12" s="72"/>
      <c r="AJ12" s="72"/>
      <c r="AK12" s="72"/>
      <c r="AL12" s="72"/>
      <c r="AM12" s="72"/>
      <c r="AN12" s="72"/>
      <c r="AO12" s="72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101"/>
    </row>
    <row r="13" customHeight="1" spans="1:54">
      <c r="A13" s="71" t="s">
        <v>13</v>
      </c>
      <c r="B13" s="72"/>
      <c r="C13" s="72"/>
      <c r="D13" s="72"/>
      <c r="E13" s="72"/>
      <c r="F13" s="72"/>
      <c r="G13" s="72"/>
      <c r="H13" s="73" t="s">
        <v>14</v>
      </c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2" t="s">
        <v>15</v>
      </c>
      <c r="AI13" s="72"/>
      <c r="AJ13" s="72"/>
      <c r="AK13" s="72"/>
      <c r="AL13" s="72"/>
      <c r="AM13" s="72"/>
      <c r="AN13" s="72"/>
      <c r="AO13" s="72"/>
      <c r="AP13" s="73" t="s">
        <v>76</v>
      </c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101"/>
    </row>
    <row r="14" customHeight="1" spans="1:54">
      <c r="A14" s="71"/>
      <c r="B14" s="72"/>
      <c r="C14" s="72"/>
      <c r="D14" s="72"/>
      <c r="E14" s="72"/>
      <c r="F14" s="72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2"/>
      <c r="AI14" s="72"/>
      <c r="AJ14" s="72"/>
      <c r="AK14" s="72"/>
      <c r="AL14" s="72"/>
      <c r="AM14" s="72"/>
      <c r="AN14" s="72"/>
      <c r="AO14" s="72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101"/>
    </row>
    <row r="15" customHeight="1" spans="1:54">
      <c r="A15" s="71" t="s">
        <v>17</v>
      </c>
      <c r="B15" s="72"/>
      <c r="C15" s="72"/>
      <c r="D15" s="72"/>
      <c r="E15" s="72"/>
      <c r="F15" s="72"/>
      <c r="G15" s="72"/>
      <c r="H15" s="73" t="s">
        <v>18</v>
      </c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2" t="s">
        <v>19</v>
      </c>
      <c r="AI15" s="72"/>
      <c r="AJ15" s="72"/>
      <c r="AK15" s="72"/>
      <c r="AL15" s="72"/>
      <c r="AM15" s="72"/>
      <c r="AN15" s="72"/>
      <c r="AO15" s="72"/>
      <c r="AP15" s="73" t="s">
        <v>42</v>
      </c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101"/>
    </row>
    <row r="16" customHeight="1" spans="1:54">
      <c r="A16" s="71"/>
      <c r="B16" s="72"/>
      <c r="C16" s="72"/>
      <c r="D16" s="72"/>
      <c r="E16" s="72"/>
      <c r="F16" s="72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2"/>
      <c r="AI16" s="72"/>
      <c r="AJ16" s="72"/>
      <c r="AK16" s="72"/>
      <c r="AL16" s="72"/>
      <c r="AM16" s="72"/>
      <c r="AN16" s="72"/>
      <c r="AO16" s="72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101"/>
    </row>
    <row r="17" customHeight="1" spans="1:54">
      <c r="A17" s="71" t="s">
        <v>21</v>
      </c>
      <c r="B17" s="72"/>
      <c r="C17" s="72"/>
      <c r="D17" s="72"/>
      <c r="E17" s="72"/>
      <c r="F17" s="72"/>
      <c r="G17" s="72"/>
      <c r="H17" s="73" t="s">
        <v>22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2" t="s">
        <v>23</v>
      </c>
      <c r="AI17" s="72"/>
      <c r="AJ17" s="72"/>
      <c r="AK17" s="72"/>
      <c r="AL17" s="72"/>
      <c r="AM17" s="72"/>
      <c r="AN17" s="72"/>
      <c r="AO17" s="72"/>
      <c r="AP17" s="98">
        <v>42502</v>
      </c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101"/>
    </row>
    <row r="18" customHeight="1" spans="1:54">
      <c r="A18" s="71"/>
      <c r="B18" s="72"/>
      <c r="C18" s="72"/>
      <c r="D18" s="72"/>
      <c r="E18" s="72"/>
      <c r="F18" s="72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2"/>
      <c r="AI18" s="72"/>
      <c r="AJ18" s="72"/>
      <c r="AK18" s="72"/>
      <c r="AL18" s="72"/>
      <c r="AM18" s="72"/>
      <c r="AN18" s="72"/>
      <c r="AO18" s="72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101"/>
    </row>
    <row r="19" customHeight="1" spans="1:54">
      <c r="A19" s="71" t="s">
        <v>24</v>
      </c>
      <c r="B19" s="72"/>
      <c r="C19" s="72"/>
      <c r="D19" s="72"/>
      <c r="E19" s="72"/>
      <c r="F19" s="72"/>
      <c r="G19" s="72"/>
      <c r="H19" s="74" t="s">
        <v>25</v>
      </c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2" t="s">
        <v>26</v>
      </c>
      <c r="AI19" s="72"/>
      <c r="AJ19" s="72"/>
      <c r="AK19" s="72"/>
      <c r="AL19" s="72"/>
      <c r="AM19" s="72"/>
      <c r="AN19" s="72"/>
      <c r="AO19" s="72"/>
      <c r="AP19" s="73" t="s">
        <v>27</v>
      </c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101"/>
    </row>
    <row r="20" customHeight="1" spans="1:54">
      <c r="A20" s="71"/>
      <c r="B20" s="72"/>
      <c r="C20" s="72"/>
      <c r="D20" s="72"/>
      <c r="E20" s="72"/>
      <c r="F20" s="72"/>
      <c r="G20" s="72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2"/>
      <c r="AI20" s="72"/>
      <c r="AJ20" s="72"/>
      <c r="AK20" s="72"/>
      <c r="AL20" s="72"/>
      <c r="AM20" s="72"/>
      <c r="AN20" s="72"/>
      <c r="AO20" s="72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101"/>
    </row>
    <row r="21" customHeight="1" spans="1:54">
      <c r="A21" s="75" t="s">
        <v>28</v>
      </c>
      <c r="B21" s="76"/>
      <c r="C21" s="76"/>
      <c r="D21" s="76"/>
      <c r="E21" s="76"/>
      <c r="F21" s="76"/>
      <c r="G21" s="76"/>
      <c r="H21" s="73" t="s">
        <v>29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2" t="s">
        <v>30</v>
      </c>
      <c r="AI21" s="72"/>
      <c r="AJ21" s="72"/>
      <c r="AK21" s="72"/>
      <c r="AL21" s="72"/>
      <c r="AM21" s="72"/>
      <c r="AN21" s="72"/>
      <c r="AO21" s="72"/>
      <c r="AP21" s="73" t="s">
        <v>31</v>
      </c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101"/>
    </row>
    <row r="22" ht="9.75" customHeight="1" spans="1:54">
      <c r="A22" s="75"/>
      <c r="B22" s="76"/>
      <c r="C22" s="76"/>
      <c r="D22" s="76"/>
      <c r="E22" s="76"/>
      <c r="F22" s="76"/>
      <c r="G22" s="76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2"/>
      <c r="AI22" s="72"/>
      <c r="AJ22" s="72"/>
      <c r="AK22" s="72"/>
      <c r="AL22" s="72"/>
      <c r="AM22" s="72"/>
      <c r="AN22" s="72"/>
      <c r="AO22" s="72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101"/>
    </row>
    <row r="23" ht="4.5" customHeight="1" spans="1:54">
      <c r="A23" s="77"/>
      <c r="B23" s="78"/>
      <c r="C23" s="78"/>
      <c r="D23" s="78"/>
      <c r="E23" s="78"/>
      <c r="F23" s="78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95"/>
      <c r="AI23" s="95"/>
      <c r="AJ23" s="95"/>
      <c r="AK23" s="95"/>
      <c r="AL23" s="95"/>
      <c r="AM23" s="95"/>
      <c r="AN23" s="95"/>
      <c r="AO23" s="95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102"/>
    </row>
    <row r="24" customHeight="1" spans="1:54">
      <c r="A24" s="80" t="s">
        <v>32</v>
      </c>
      <c r="B24" s="81"/>
      <c r="C24" s="81"/>
      <c r="D24" s="81"/>
      <c r="E24" s="81"/>
      <c r="F24" s="81"/>
      <c r="G24" s="81"/>
      <c r="H24" s="82" t="s">
        <v>77</v>
      </c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99" t="s">
        <v>34</v>
      </c>
      <c r="AQ24" s="99"/>
      <c r="AR24" s="99"/>
      <c r="AS24" s="99"/>
      <c r="AT24" s="99"/>
      <c r="AU24" s="99"/>
      <c r="AV24" s="82" t="s">
        <v>78</v>
      </c>
      <c r="AW24" s="82"/>
      <c r="AX24" s="82"/>
      <c r="AY24" s="82"/>
      <c r="AZ24" s="82"/>
      <c r="BA24" s="82"/>
      <c r="BB24" s="103"/>
    </row>
    <row r="25" customHeight="1" spans="1:54">
      <c r="A25" s="83"/>
      <c r="B25" s="84"/>
      <c r="C25" s="84"/>
      <c r="D25" s="84"/>
      <c r="E25" s="84"/>
      <c r="F25" s="84"/>
      <c r="G25" s="84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72"/>
      <c r="AQ25" s="72"/>
      <c r="AR25" s="72"/>
      <c r="AS25" s="72"/>
      <c r="AT25" s="72"/>
      <c r="AU25" s="72"/>
      <c r="AV25" s="85"/>
      <c r="AW25" s="85"/>
      <c r="AX25" s="85"/>
      <c r="AY25" s="85"/>
      <c r="AZ25" s="85"/>
      <c r="BA25" s="85"/>
      <c r="BB25" s="104"/>
    </row>
    <row r="26" customHeight="1" spans="1:54">
      <c r="A26" s="71" t="s">
        <v>36</v>
      </c>
      <c r="B26" s="72"/>
      <c r="C26" s="72"/>
      <c r="D26" s="72"/>
      <c r="E26" s="72"/>
      <c r="F26" s="72"/>
      <c r="G26" s="72"/>
      <c r="H26" s="72" t="s">
        <v>37</v>
      </c>
      <c r="I26" s="72"/>
      <c r="J26" s="72"/>
      <c r="K26" s="72"/>
      <c r="L26" s="72"/>
      <c r="M26" s="72"/>
      <c r="N26" s="72" t="s">
        <v>38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 t="s">
        <v>39</v>
      </c>
      <c r="AQ26" s="72"/>
      <c r="AR26" s="72"/>
      <c r="AS26" s="72"/>
      <c r="AT26" s="72"/>
      <c r="AU26" s="72"/>
      <c r="AV26" s="72" t="s">
        <v>40</v>
      </c>
      <c r="AW26" s="72"/>
      <c r="AX26" s="72"/>
      <c r="AY26" s="72"/>
      <c r="AZ26" s="72"/>
      <c r="BA26" s="72"/>
      <c r="BB26" s="105"/>
    </row>
    <row r="27" customHeight="1" spans="1:54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105"/>
    </row>
    <row r="28" customHeight="1" spans="1:54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>
        <v>1</v>
      </c>
      <c r="O28" s="72"/>
      <c r="P28" s="72"/>
      <c r="Q28" s="72"/>
      <c r="R28" s="72">
        <v>2</v>
      </c>
      <c r="S28" s="72"/>
      <c r="T28" s="72"/>
      <c r="U28" s="72"/>
      <c r="V28" s="72">
        <v>3</v>
      </c>
      <c r="W28" s="72"/>
      <c r="X28" s="72"/>
      <c r="Y28" s="72"/>
      <c r="Z28" s="72">
        <v>4</v>
      </c>
      <c r="AA28" s="72"/>
      <c r="AB28" s="72"/>
      <c r="AC28" s="72"/>
      <c r="AD28" s="72">
        <v>5</v>
      </c>
      <c r="AE28" s="72"/>
      <c r="AF28" s="72"/>
      <c r="AG28" s="72"/>
      <c r="AH28" s="72">
        <v>6</v>
      </c>
      <c r="AI28" s="72"/>
      <c r="AJ28" s="72"/>
      <c r="AK28" s="72"/>
      <c r="AL28" s="72" t="s">
        <v>41</v>
      </c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105"/>
    </row>
    <row r="29" ht="9.75" customHeight="1" spans="1:54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105"/>
    </row>
    <row r="30" ht="9" customHeight="1" spans="1:54">
      <c r="A30" s="86">
        <f>'记录表 2'!A12:C12</f>
        <v>1</v>
      </c>
      <c r="B30" s="85"/>
      <c r="C30" s="85"/>
      <c r="D30" s="85"/>
      <c r="E30" s="85"/>
      <c r="F30" s="85"/>
      <c r="G30" s="85"/>
      <c r="H30" s="85" t="s">
        <v>31</v>
      </c>
      <c r="I30" s="85"/>
      <c r="J30" s="85"/>
      <c r="K30" s="85"/>
      <c r="L30" s="85"/>
      <c r="M30" s="85"/>
      <c r="N30" s="136">
        <v>59</v>
      </c>
      <c r="O30" s="136"/>
      <c r="P30" s="136"/>
      <c r="Q30" s="136"/>
      <c r="R30" s="136">
        <v>60</v>
      </c>
      <c r="S30" s="136"/>
      <c r="T30" s="136"/>
      <c r="U30" s="136"/>
      <c r="V30" s="136">
        <v>60</v>
      </c>
      <c r="W30" s="136"/>
      <c r="X30" s="136"/>
      <c r="Y30" s="136"/>
      <c r="Z30" s="136">
        <v>63</v>
      </c>
      <c r="AA30" s="136"/>
      <c r="AB30" s="136"/>
      <c r="AC30" s="136"/>
      <c r="AD30" s="136" t="s">
        <v>42</v>
      </c>
      <c r="AE30" s="136"/>
      <c r="AF30" s="136"/>
      <c r="AG30" s="136"/>
      <c r="AH30" s="136" t="s">
        <v>42</v>
      </c>
      <c r="AI30" s="136"/>
      <c r="AJ30" s="136"/>
      <c r="AK30" s="136"/>
      <c r="AL30" s="136">
        <f>AVERAGE(N30:AK31)</f>
        <v>60.5</v>
      </c>
      <c r="AM30" s="136"/>
      <c r="AN30" s="136"/>
      <c r="AO30" s="136"/>
      <c r="AP30" s="85" t="s">
        <v>43</v>
      </c>
      <c r="AQ30" s="85"/>
      <c r="AR30" s="85"/>
      <c r="AS30" s="85"/>
      <c r="AT30" s="85"/>
      <c r="AU30" s="85"/>
      <c r="AV30" s="85" t="s">
        <v>42</v>
      </c>
      <c r="AW30" s="85"/>
      <c r="AX30" s="85"/>
      <c r="AY30" s="85"/>
      <c r="AZ30" s="85"/>
      <c r="BA30" s="85"/>
      <c r="BB30" s="104"/>
    </row>
    <row r="31" ht="9" customHeight="1" spans="1:54">
      <c r="A31" s="86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104"/>
    </row>
    <row r="32" ht="9" customHeight="1" spans="1:54">
      <c r="A32" s="86">
        <f>'记录表 2'!A13:C13</f>
        <v>2</v>
      </c>
      <c r="B32" s="85"/>
      <c r="C32" s="85"/>
      <c r="D32" s="85"/>
      <c r="E32" s="85"/>
      <c r="F32" s="85"/>
      <c r="G32" s="85"/>
      <c r="H32" s="85" t="s">
        <v>31</v>
      </c>
      <c r="I32" s="85"/>
      <c r="J32" s="85"/>
      <c r="K32" s="85"/>
      <c r="L32" s="85"/>
      <c r="M32" s="85"/>
      <c r="N32" s="136">
        <v>61.5</v>
      </c>
      <c r="O32" s="136"/>
      <c r="P32" s="136"/>
      <c r="Q32" s="136"/>
      <c r="R32" s="136">
        <v>60.5</v>
      </c>
      <c r="S32" s="136"/>
      <c r="T32" s="136"/>
      <c r="U32" s="136"/>
      <c r="V32" s="136">
        <v>60</v>
      </c>
      <c r="W32" s="136"/>
      <c r="X32" s="136"/>
      <c r="Y32" s="136"/>
      <c r="Z32" s="136">
        <v>59.5</v>
      </c>
      <c r="AA32" s="136"/>
      <c r="AB32" s="136"/>
      <c r="AC32" s="136"/>
      <c r="AD32" s="136" t="s">
        <v>42</v>
      </c>
      <c r="AE32" s="136"/>
      <c r="AF32" s="136"/>
      <c r="AG32" s="136"/>
      <c r="AH32" s="136" t="s">
        <v>42</v>
      </c>
      <c r="AI32" s="136"/>
      <c r="AJ32" s="136"/>
      <c r="AK32" s="136"/>
      <c r="AL32" s="136">
        <f t="shared" ref="AL32" si="0">AVERAGE(N32:AK33)</f>
        <v>60.375</v>
      </c>
      <c r="AM32" s="136"/>
      <c r="AN32" s="136"/>
      <c r="AO32" s="136"/>
      <c r="AP32" s="85" t="s">
        <v>43</v>
      </c>
      <c r="AQ32" s="85"/>
      <c r="AR32" s="85"/>
      <c r="AS32" s="85"/>
      <c r="AT32" s="85"/>
      <c r="AU32" s="85"/>
      <c r="AV32" s="85" t="s">
        <v>42</v>
      </c>
      <c r="AW32" s="85"/>
      <c r="AX32" s="85"/>
      <c r="AY32" s="85"/>
      <c r="AZ32" s="85"/>
      <c r="BA32" s="85"/>
      <c r="BB32" s="104"/>
    </row>
    <row r="33" ht="9" customHeight="1" spans="1:54">
      <c r="A33" s="86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104"/>
    </row>
    <row r="34" ht="9" customHeight="1" spans="1:54">
      <c r="A34" s="86">
        <f>'记录表 2'!A14:C14</f>
        <v>3</v>
      </c>
      <c r="B34" s="85"/>
      <c r="C34" s="85"/>
      <c r="D34" s="85"/>
      <c r="E34" s="85"/>
      <c r="F34" s="85"/>
      <c r="G34" s="85"/>
      <c r="H34" s="85" t="s">
        <v>31</v>
      </c>
      <c r="I34" s="85"/>
      <c r="J34" s="85"/>
      <c r="K34" s="85"/>
      <c r="L34" s="85"/>
      <c r="M34" s="85"/>
      <c r="N34" s="136">
        <v>60</v>
      </c>
      <c r="O34" s="136"/>
      <c r="P34" s="136"/>
      <c r="Q34" s="136"/>
      <c r="R34" s="136">
        <v>60</v>
      </c>
      <c r="S34" s="136"/>
      <c r="T34" s="136"/>
      <c r="U34" s="136"/>
      <c r="V34" s="136">
        <v>63.5</v>
      </c>
      <c r="W34" s="136"/>
      <c r="X34" s="136"/>
      <c r="Y34" s="136"/>
      <c r="Z34" s="136">
        <v>63.5</v>
      </c>
      <c r="AA34" s="136"/>
      <c r="AB34" s="136"/>
      <c r="AC34" s="136"/>
      <c r="AD34" s="136" t="s">
        <v>42</v>
      </c>
      <c r="AE34" s="136"/>
      <c r="AF34" s="136"/>
      <c r="AG34" s="136"/>
      <c r="AH34" s="136" t="s">
        <v>42</v>
      </c>
      <c r="AI34" s="136"/>
      <c r="AJ34" s="136"/>
      <c r="AK34" s="136"/>
      <c r="AL34" s="136">
        <f t="shared" ref="AL34" si="1">AVERAGE(N34:AK35)</f>
        <v>61.75</v>
      </c>
      <c r="AM34" s="136"/>
      <c r="AN34" s="136"/>
      <c r="AO34" s="136"/>
      <c r="AP34" s="85" t="s">
        <v>43</v>
      </c>
      <c r="AQ34" s="85"/>
      <c r="AR34" s="85"/>
      <c r="AS34" s="85"/>
      <c r="AT34" s="85"/>
      <c r="AU34" s="85"/>
      <c r="AV34" s="85" t="s">
        <v>42</v>
      </c>
      <c r="AW34" s="85"/>
      <c r="AX34" s="85"/>
      <c r="AY34" s="85"/>
      <c r="AZ34" s="85"/>
      <c r="BA34" s="85"/>
      <c r="BB34" s="104"/>
    </row>
    <row r="35" ht="9" customHeight="1" spans="1:54">
      <c r="A35" s="86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104"/>
    </row>
    <row r="36" ht="9" customHeight="1" spans="1:54">
      <c r="A36" s="86">
        <f>'记录表 2'!A15:C15</f>
        <v>4</v>
      </c>
      <c r="B36" s="85"/>
      <c r="C36" s="85"/>
      <c r="D36" s="85"/>
      <c r="E36" s="85"/>
      <c r="F36" s="85"/>
      <c r="G36" s="85"/>
      <c r="H36" s="85" t="s">
        <v>31</v>
      </c>
      <c r="I36" s="85"/>
      <c r="J36" s="85"/>
      <c r="K36" s="85"/>
      <c r="L36" s="85"/>
      <c r="M36" s="85"/>
      <c r="N36" s="136">
        <v>62.5</v>
      </c>
      <c r="O36" s="136"/>
      <c r="P36" s="136"/>
      <c r="Q36" s="136"/>
      <c r="R36" s="136">
        <v>64</v>
      </c>
      <c r="S36" s="136"/>
      <c r="T36" s="136"/>
      <c r="U36" s="136"/>
      <c r="V36" s="136">
        <v>62.5</v>
      </c>
      <c r="W36" s="136"/>
      <c r="X36" s="136"/>
      <c r="Y36" s="136"/>
      <c r="Z36" s="136">
        <v>62</v>
      </c>
      <c r="AA36" s="136"/>
      <c r="AB36" s="136"/>
      <c r="AC36" s="136"/>
      <c r="AD36" s="136" t="s">
        <v>42</v>
      </c>
      <c r="AE36" s="136"/>
      <c r="AF36" s="136"/>
      <c r="AG36" s="136"/>
      <c r="AH36" s="136" t="s">
        <v>42</v>
      </c>
      <c r="AI36" s="136"/>
      <c r="AJ36" s="136"/>
      <c r="AK36" s="136"/>
      <c r="AL36" s="136">
        <f t="shared" ref="AL36" si="2">AVERAGE(N36:AK37)</f>
        <v>62.75</v>
      </c>
      <c r="AM36" s="136"/>
      <c r="AN36" s="136"/>
      <c r="AO36" s="136"/>
      <c r="AP36" s="85" t="s">
        <v>43</v>
      </c>
      <c r="AQ36" s="85"/>
      <c r="AR36" s="85"/>
      <c r="AS36" s="85"/>
      <c r="AT36" s="85"/>
      <c r="AU36" s="85"/>
      <c r="AV36" s="85" t="s">
        <v>42</v>
      </c>
      <c r="AW36" s="85"/>
      <c r="AX36" s="85"/>
      <c r="AY36" s="85"/>
      <c r="AZ36" s="85"/>
      <c r="BA36" s="85"/>
      <c r="BB36" s="104"/>
    </row>
    <row r="37" ht="9" customHeight="1" spans="1:54">
      <c r="A37" s="86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104"/>
    </row>
    <row r="38" ht="9" customHeight="1" spans="1:54">
      <c r="A38" s="86">
        <f>'记录表 2'!A16:C16</f>
        <v>5</v>
      </c>
      <c r="B38" s="85"/>
      <c r="C38" s="85"/>
      <c r="D38" s="85"/>
      <c r="E38" s="85"/>
      <c r="F38" s="85"/>
      <c r="G38" s="85"/>
      <c r="H38" s="85" t="s">
        <v>31</v>
      </c>
      <c r="I38" s="85"/>
      <c r="J38" s="85"/>
      <c r="K38" s="85"/>
      <c r="L38" s="85"/>
      <c r="M38" s="85"/>
      <c r="N38" s="136">
        <v>60</v>
      </c>
      <c r="O38" s="136"/>
      <c r="P38" s="136"/>
      <c r="Q38" s="136"/>
      <c r="R38" s="136">
        <v>61.5</v>
      </c>
      <c r="S38" s="136"/>
      <c r="T38" s="136"/>
      <c r="U38" s="136"/>
      <c r="V38" s="136">
        <v>59</v>
      </c>
      <c r="W38" s="136"/>
      <c r="X38" s="136"/>
      <c r="Y38" s="136"/>
      <c r="Z38" s="136">
        <v>64</v>
      </c>
      <c r="AA38" s="136"/>
      <c r="AB38" s="136"/>
      <c r="AC38" s="136"/>
      <c r="AD38" s="136" t="s">
        <v>42</v>
      </c>
      <c r="AE38" s="136"/>
      <c r="AF38" s="136"/>
      <c r="AG38" s="136"/>
      <c r="AH38" s="136" t="s">
        <v>42</v>
      </c>
      <c r="AI38" s="136"/>
      <c r="AJ38" s="136"/>
      <c r="AK38" s="136"/>
      <c r="AL38" s="136">
        <f t="shared" ref="AL38" si="3">AVERAGE(N38:AK39)</f>
        <v>61.125</v>
      </c>
      <c r="AM38" s="136"/>
      <c r="AN38" s="136"/>
      <c r="AO38" s="136"/>
      <c r="AP38" s="85" t="s">
        <v>43</v>
      </c>
      <c r="AQ38" s="85"/>
      <c r="AR38" s="85"/>
      <c r="AS38" s="85"/>
      <c r="AT38" s="85"/>
      <c r="AU38" s="85"/>
      <c r="AV38" s="85" t="s">
        <v>42</v>
      </c>
      <c r="AW38" s="85"/>
      <c r="AX38" s="85"/>
      <c r="AY38" s="85"/>
      <c r="AZ38" s="85"/>
      <c r="BA38" s="85"/>
      <c r="BB38" s="104"/>
    </row>
    <row r="39" ht="9" customHeight="1" spans="1:54">
      <c r="A39" s="86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104"/>
    </row>
    <row r="40" ht="9" customHeight="1" spans="1:54">
      <c r="A40" s="86">
        <f>'记录表 2'!A17:C17</f>
        <v>6</v>
      </c>
      <c r="B40" s="85"/>
      <c r="C40" s="85"/>
      <c r="D40" s="85"/>
      <c r="E40" s="85"/>
      <c r="F40" s="85"/>
      <c r="G40" s="85"/>
      <c r="H40" s="85" t="s">
        <v>31</v>
      </c>
      <c r="I40" s="85"/>
      <c r="J40" s="85"/>
      <c r="K40" s="85"/>
      <c r="L40" s="85"/>
      <c r="M40" s="85"/>
      <c r="N40" s="136">
        <v>58.5</v>
      </c>
      <c r="O40" s="136"/>
      <c r="P40" s="136"/>
      <c r="Q40" s="136"/>
      <c r="R40" s="136">
        <v>61</v>
      </c>
      <c r="S40" s="136"/>
      <c r="T40" s="136"/>
      <c r="U40" s="136"/>
      <c r="V40" s="136">
        <v>64</v>
      </c>
      <c r="W40" s="136"/>
      <c r="X40" s="136"/>
      <c r="Y40" s="136"/>
      <c r="Z40" s="136">
        <v>59.5</v>
      </c>
      <c r="AA40" s="136"/>
      <c r="AB40" s="136"/>
      <c r="AC40" s="136"/>
      <c r="AD40" s="136" t="s">
        <v>42</v>
      </c>
      <c r="AE40" s="136"/>
      <c r="AF40" s="136"/>
      <c r="AG40" s="136"/>
      <c r="AH40" s="136" t="s">
        <v>42</v>
      </c>
      <c r="AI40" s="136"/>
      <c r="AJ40" s="136"/>
      <c r="AK40" s="136"/>
      <c r="AL40" s="136">
        <f t="shared" ref="AL40" si="4">AVERAGE(N40:AK41)</f>
        <v>60.75</v>
      </c>
      <c r="AM40" s="136"/>
      <c r="AN40" s="136"/>
      <c r="AO40" s="136"/>
      <c r="AP40" s="85" t="s">
        <v>43</v>
      </c>
      <c r="AQ40" s="85"/>
      <c r="AR40" s="85"/>
      <c r="AS40" s="85"/>
      <c r="AT40" s="85"/>
      <c r="AU40" s="85"/>
      <c r="AV40" s="85" t="s">
        <v>42</v>
      </c>
      <c r="AW40" s="85"/>
      <c r="AX40" s="85"/>
      <c r="AY40" s="85"/>
      <c r="AZ40" s="85"/>
      <c r="BA40" s="85"/>
      <c r="BB40" s="104"/>
    </row>
    <row r="41" ht="9" customHeight="1" spans="1:54">
      <c r="A41" s="86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104"/>
    </row>
    <row r="42" ht="9" customHeight="1" spans="1:54">
      <c r="A42" s="86">
        <f>'记录表 2'!A18:C18</f>
        <v>7</v>
      </c>
      <c r="B42" s="85"/>
      <c r="C42" s="85"/>
      <c r="D42" s="85"/>
      <c r="E42" s="85"/>
      <c r="F42" s="85"/>
      <c r="G42" s="85"/>
      <c r="H42" s="85" t="s">
        <v>31</v>
      </c>
      <c r="I42" s="85"/>
      <c r="J42" s="85"/>
      <c r="K42" s="85"/>
      <c r="L42" s="85"/>
      <c r="M42" s="85"/>
      <c r="N42" s="136">
        <v>63</v>
      </c>
      <c r="O42" s="136"/>
      <c r="P42" s="136"/>
      <c r="Q42" s="136"/>
      <c r="R42" s="136">
        <v>60</v>
      </c>
      <c r="S42" s="136"/>
      <c r="T42" s="136"/>
      <c r="U42" s="136"/>
      <c r="V42" s="136">
        <v>60</v>
      </c>
      <c r="W42" s="136"/>
      <c r="X42" s="136"/>
      <c r="Y42" s="136"/>
      <c r="Z42" s="136">
        <v>57</v>
      </c>
      <c r="AA42" s="136"/>
      <c r="AB42" s="136"/>
      <c r="AC42" s="136"/>
      <c r="AD42" s="136" t="s">
        <v>42</v>
      </c>
      <c r="AE42" s="136"/>
      <c r="AF42" s="136"/>
      <c r="AG42" s="136"/>
      <c r="AH42" s="136" t="s">
        <v>42</v>
      </c>
      <c r="AI42" s="136"/>
      <c r="AJ42" s="136"/>
      <c r="AK42" s="136"/>
      <c r="AL42" s="136">
        <f t="shared" ref="AL42" si="5">AVERAGE(N42:AK43)</f>
        <v>60</v>
      </c>
      <c r="AM42" s="136"/>
      <c r="AN42" s="136"/>
      <c r="AO42" s="136"/>
      <c r="AP42" s="85" t="s">
        <v>43</v>
      </c>
      <c r="AQ42" s="85"/>
      <c r="AR42" s="85"/>
      <c r="AS42" s="85"/>
      <c r="AT42" s="85"/>
      <c r="AU42" s="85"/>
      <c r="AV42" s="85" t="s">
        <v>42</v>
      </c>
      <c r="AW42" s="85"/>
      <c r="AX42" s="85"/>
      <c r="AY42" s="85"/>
      <c r="AZ42" s="85"/>
      <c r="BA42" s="85"/>
      <c r="BB42" s="104"/>
    </row>
    <row r="43" ht="9" customHeight="1" spans="1:54">
      <c r="A43" s="86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104"/>
    </row>
    <row r="44" ht="9" customHeight="1" spans="1:54">
      <c r="A44" s="86">
        <f>'记录表 2'!A19:C19</f>
        <v>8</v>
      </c>
      <c r="B44" s="85"/>
      <c r="C44" s="85"/>
      <c r="D44" s="85"/>
      <c r="E44" s="85"/>
      <c r="F44" s="85"/>
      <c r="G44" s="85"/>
      <c r="H44" s="85" t="s">
        <v>31</v>
      </c>
      <c r="I44" s="85"/>
      <c r="J44" s="85"/>
      <c r="K44" s="85"/>
      <c r="L44" s="85"/>
      <c r="M44" s="85"/>
      <c r="N44" s="136">
        <v>59</v>
      </c>
      <c r="O44" s="136"/>
      <c r="P44" s="136"/>
      <c r="Q44" s="136"/>
      <c r="R44" s="136">
        <v>59.5</v>
      </c>
      <c r="S44" s="136"/>
      <c r="T44" s="136"/>
      <c r="U44" s="136"/>
      <c r="V44" s="136">
        <v>59.5</v>
      </c>
      <c r="W44" s="136"/>
      <c r="X44" s="136"/>
      <c r="Y44" s="136"/>
      <c r="Z44" s="136">
        <v>60</v>
      </c>
      <c r="AA44" s="136"/>
      <c r="AB44" s="136"/>
      <c r="AC44" s="136"/>
      <c r="AD44" s="136" t="s">
        <v>42</v>
      </c>
      <c r="AE44" s="136"/>
      <c r="AF44" s="136"/>
      <c r="AG44" s="136"/>
      <c r="AH44" s="136" t="s">
        <v>42</v>
      </c>
      <c r="AI44" s="136"/>
      <c r="AJ44" s="136"/>
      <c r="AK44" s="136"/>
      <c r="AL44" s="136">
        <f t="shared" ref="AL44" si="6">AVERAGE(N44:AK45)</f>
        <v>59.5</v>
      </c>
      <c r="AM44" s="136"/>
      <c r="AN44" s="136"/>
      <c r="AO44" s="136"/>
      <c r="AP44" s="85" t="s">
        <v>43</v>
      </c>
      <c r="AQ44" s="85"/>
      <c r="AR44" s="85"/>
      <c r="AS44" s="85"/>
      <c r="AT44" s="85"/>
      <c r="AU44" s="85"/>
      <c r="AV44" s="85" t="s">
        <v>42</v>
      </c>
      <c r="AW44" s="85"/>
      <c r="AX44" s="85"/>
      <c r="AY44" s="85"/>
      <c r="AZ44" s="85"/>
      <c r="BA44" s="85"/>
      <c r="BB44" s="104"/>
    </row>
    <row r="45" ht="9" customHeight="1" spans="1:54">
      <c r="A45" s="86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104"/>
    </row>
    <row r="46" ht="9" customHeight="1" spans="1:54">
      <c r="A46" s="86" t="s">
        <v>42</v>
      </c>
      <c r="B46" s="85"/>
      <c r="C46" s="85"/>
      <c r="D46" s="85"/>
      <c r="E46" s="85"/>
      <c r="F46" s="85"/>
      <c r="G46" s="85"/>
      <c r="H46" s="85" t="s">
        <v>42</v>
      </c>
      <c r="I46" s="85"/>
      <c r="J46" s="85"/>
      <c r="K46" s="85"/>
      <c r="L46" s="85"/>
      <c r="M46" s="85"/>
      <c r="N46" s="136" t="s">
        <v>42</v>
      </c>
      <c r="O46" s="136"/>
      <c r="P46" s="136"/>
      <c r="Q46" s="136"/>
      <c r="R46" s="136" t="s">
        <v>42</v>
      </c>
      <c r="S46" s="136"/>
      <c r="T46" s="136"/>
      <c r="U46" s="136"/>
      <c r="V46" s="136" t="s">
        <v>42</v>
      </c>
      <c r="W46" s="136"/>
      <c r="X46" s="136"/>
      <c r="Y46" s="136"/>
      <c r="Z46" s="136" t="s">
        <v>42</v>
      </c>
      <c r="AA46" s="136"/>
      <c r="AB46" s="136"/>
      <c r="AC46" s="136"/>
      <c r="AD46" s="136" t="s">
        <v>42</v>
      </c>
      <c r="AE46" s="136"/>
      <c r="AF46" s="136"/>
      <c r="AG46" s="136"/>
      <c r="AH46" s="136" t="s">
        <v>42</v>
      </c>
      <c r="AI46" s="136"/>
      <c r="AJ46" s="136"/>
      <c r="AK46" s="136"/>
      <c r="AL46" s="136" t="s">
        <v>42</v>
      </c>
      <c r="AM46" s="136"/>
      <c r="AN46" s="136"/>
      <c r="AO46" s="136"/>
      <c r="AP46" s="85" t="s">
        <v>42</v>
      </c>
      <c r="AQ46" s="85"/>
      <c r="AR46" s="85"/>
      <c r="AS46" s="85"/>
      <c r="AT46" s="85"/>
      <c r="AU46" s="85"/>
      <c r="AV46" s="85" t="s">
        <v>42</v>
      </c>
      <c r="AW46" s="85"/>
      <c r="AX46" s="85"/>
      <c r="AY46" s="85"/>
      <c r="AZ46" s="85"/>
      <c r="BA46" s="85"/>
      <c r="BB46" s="104"/>
    </row>
    <row r="47" ht="9" customHeight="1" spans="1:54">
      <c r="A47" s="86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104"/>
    </row>
    <row r="48" ht="9" customHeight="1" spans="1:54">
      <c r="A48" s="86" t="s">
        <v>42</v>
      </c>
      <c r="B48" s="85"/>
      <c r="C48" s="85"/>
      <c r="D48" s="85"/>
      <c r="E48" s="85"/>
      <c r="F48" s="85"/>
      <c r="G48" s="85"/>
      <c r="H48" s="85" t="s">
        <v>42</v>
      </c>
      <c r="I48" s="85"/>
      <c r="J48" s="85"/>
      <c r="K48" s="85"/>
      <c r="L48" s="85"/>
      <c r="M48" s="85"/>
      <c r="N48" s="136" t="s">
        <v>42</v>
      </c>
      <c r="O48" s="136"/>
      <c r="P48" s="136"/>
      <c r="Q48" s="136"/>
      <c r="R48" s="136" t="s">
        <v>42</v>
      </c>
      <c r="S48" s="136"/>
      <c r="T48" s="136"/>
      <c r="U48" s="136"/>
      <c r="V48" s="136" t="s">
        <v>42</v>
      </c>
      <c r="W48" s="136"/>
      <c r="X48" s="136"/>
      <c r="Y48" s="136"/>
      <c r="Z48" s="136" t="s">
        <v>42</v>
      </c>
      <c r="AA48" s="136"/>
      <c r="AB48" s="136"/>
      <c r="AC48" s="136"/>
      <c r="AD48" s="136" t="s">
        <v>42</v>
      </c>
      <c r="AE48" s="136"/>
      <c r="AF48" s="136"/>
      <c r="AG48" s="136"/>
      <c r="AH48" s="136" t="s">
        <v>42</v>
      </c>
      <c r="AI48" s="136"/>
      <c r="AJ48" s="136"/>
      <c r="AK48" s="136"/>
      <c r="AL48" s="136" t="s">
        <v>42</v>
      </c>
      <c r="AM48" s="136"/>
      <c r="AN48" s="136"/>
      <c r="AO48" s="136"/>
      <c r="AP48" s="85" t="s">
        <v>42</v>
      </c>
      <c r="AQ48" s="85"/>
      <c r="AR48" s="85"/>
      <c r="AS48" s="85"/>
      <c r="AT48" s="85"/>
      <c r="AU48" s="85"/>
      <c r="AV48" s="85" t="s">
        <v>42</v>
      </c>
      <c r="AW48" s="85"/>
      <c r="AX48" s="85"/>
      <c r="AY48" s="85"/>
      <c r="AZ48" s="85"/>
      <c r="BA48" s="85"/>
      <c r="BB48" s="104"/>
    </row>
    <row r="49" ht="9" customHeight="1" spans="1:54">
      <c r="A49" s="86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104"/>
    </row>
    <row r="50" ht="9" customHeight="1" spans="1:54">
      <c r="A50" s="86" t="s">
        <v>42</v>
      </c>
      <c r="B50" s="85"/>
      <c r="C50" s="85"/>
      <c r="D50" s="85"/>
      <c r="E50" s="85"/>
      <c r="F50" s="85"/>
      <c r="G50" s="85"/>
      <c r="H50" s="106" t="s">
        <v>42</v>
      </c>
      <c r="I50" s="88"/>
      <c r="J50" s="88"/>
      <c r="K50" s="88"/>
      <c r="L50" s="88"/>
      <c r="M50" s="89"/>
      <c r="N50" s="137" t="s">
        <v>42</v>
      </c>
      <c r="O50" s="138"/>
      <c r="P50" s="138"/>
      <c r="Q50" s="141"/>
      <c r="R50" s="137" t="s">
        <v>42</v>
      </c>
      <c r="S50" s="138"/>
      <c r="T50" s="138"/>
      <c r="U50" s="141"/>
      <c r="V50" s="137" t="s">
        <v>42</v>
      </c>
      <c r="W50" s="138"/>
      <c r="X50" s="138"/>
      <c r="Y50" s="141"/>
      <c r="Z50" s="137" t="s">
        <v>42</v>
      </c>
      <c r="AA50" s="138"/>
      <c r="AB50" s="138"/>
      <c r="AC50" s="141"/>
      <c r="AD50" s="137" t="s">
        <v>42</v>
      </c>
      <c r="AE50" s="138"/>
      <c r="AF50" s="138"/>
      <c r="AG50" s="141"/>
      <c r="AH50" s="137" t="s">
        <v>42</v>
      </c>
      <c r="AI50" s="138"/>
      <c r="AJ50" s="138"/>
      <c r="AK50" s="141"/>
      <c r="AL50" s="137" t="s">
        <v>42</v>
      </c>
      <c r="AM50" s="138"/>
      <c r="AN50" s="138"/>
      <c r="AO50" s="141"/>
      <c r="AP50" s="106" t="s">
        <v>42</v>
      </c>
      <c r="AQ50" s="88"/>
      <c r="AR50" s="88"/>
      <c r="AS50" s="88"/>
      <c r="AT50" s="88"/>
      <c r="AU50" s="89"/>
      <c r="AV50" s="106" t="s">
        <v>42</v>
      </c>
      <c r="AW50" s="88"/>
      <c r="AX50" s="88"/>
      <c r="AY50" s="88"/>
      <c r="AZ50" s="88"/>
      <c r="BA50" s="88"/>
      <c r="BB50" s="126"/>
    </row>
    <row r="51" ht="9" customHeight="1" spans="1:54">
      <c r="A51" s="86"/>
      <c r="B51" s="85"/>
      <c r="C51" s="85"/>
      <c r="D51" s="85"/>
      <c r="E51" s="85"/>
      <c r="F51" s="85"/>
      <c r="G51" s="85"/>
      <c r="H51" s="107"/>
      <c r="I51" s="91"/>
      <c r="J51" s="91"/>
      <c r="K51" s="91"/>
      <c r="L51" s="91"/>
      <c r="M51" s="92"/>
      <c r="N51" s="139"/>
      <c r="O51" s="140"/>
      <c r="P51" s="140"/>
      <c r="Q51" s="142"/>
      <c r="R51" s="139"/>
      <c r="S51" s="140"/>
      <c r="T51" s="140"/>
      <c r="U51" s="142"/>
      <c r="V51" s="139"/>
      <c r="W51" s="140"/>
      <c r="X51" s="140"/>
      <c r="Y51" s="142"/>
      <c r="Z51" s="139"/>
      <c r="AA51" s="140"/>
      <c r="AB51" s="140"/>
      <c r="AC51" s="142"/>
      <c r="AD51" s="139"/>
      <c r="AE51" s="140"/>
      <c r="AF51" s="140"/>
      <c r="AG51" s="142"/>
      <c r="AH51" s="139"/>
      <c r="AI51" s="140"/>
      <c r="AJ51" s="140"/>
      <c r="AK51" s="142"/>
      <c r="AL51" s="139"/>
      <c r="AM51" s="140"/>
      <c r="AN51" s="140"/>
      <c r="AO51" s="142"/>
      <c r="AP51" s="107"/>
      <c r="AQ51" s="91"/>
      <c r="AR51" s="91"/>
      <c r="AS51" s="91"/>
      <c r="AT51" s="91"/>
      <c r="AU51" s="92"/>
      <c r="AV51" s="107"/>
      <c r="AW51" s="91"/>
      <c r="AX51" s="91"/>
      <c r="AY51" s="91"/>
      <c r="AZ51" s="91"/>
      <c r="BA51" s="91"/>
      <c r="BB51" s="127"/>
    </row>
    <row r="52" ht="9" customHeight="1" spans="1:54">
      <c r="A52" s="86" t="s">
        <v>42</v>
      </c>
      <c r="B52" s="85"/>
      <c r="C52" s="85"/>
      <c r="D52" s="85"/>
      <c r="E52" s="85"/>
      <c r="F52" s="85"/>
      <c r="G52" s="85"/>
      <c r="H52" s="85" t="s">
        <v>42</v>
      </c>
      <c r="I52" s="85"/>
      <c r="J52" s="85"/>
      <c r="K52" s="85"/>
      <c r="L52" s="85"/>
      <c r="M52" s="85"/>
      <c r="N52" s="136" t="s">
        <v>42</v>
      </c>
      <c r="O52" s="136"/>
      <c r="P52" s="136"/>
      <c r="Q52" s="136"/>
      <c r="R52" s="136" t="s">
        <v>42</v>
      </c>
      <c r="S52" s="136"/>
      <c r="T52" s="136"/>
      <c r="U52" s="136"/>
      <c r="V52" s="136" t="s">
        <v>42</v>
      </c>
      <c r="W52" s="136"/>
      <c r="X52" s="136"/>
      <c r="Y52" s="136"/>
      <c r="Z52" s="136" t="s">
        <v>42</v>
      </c>
      <c r="AA52" s="136"/>
      <c r="AB52" s="136"/>
      <c r="AC52" s="136"/>
      <c r="AD52" s="136" t="s">
        <v>42</v>
      </c>
      <c r="AE52" s="136"/>
      <c r="AF52" s="136"/>
      <c r="AG52" s="136"/>
      <c r="AH52" s="136" t="s">
        <v>42</v>
      </c>
      <c r="AI52" s="136"/>
      <c r="AJ52" s="136"/>
      <c r="AK52" s="136"/>
      <c r="AL52" s="136" t="s">
        <v>42</v>
      </c>
      <c r="AM52" s="136"/>
      <c r="AN52" s="136"/>
      <c r="AO52" s="136"/>
      <c r="AP52" s="85" t="s">
        <v>42</v>
      </c>
      <c r="AQ52" s="85"/>
      <c r="AR52" s="85"/>
      <c r="AS52" s="85"/>
      <c r="AT52" s="85"/>
      <c r="AU52" s="85"/>
      <c r="AV52" s="85" t="s">
        <v>42</v>
      </c>
      <c r="AW52" s="85"/>
      <c r="AX52" s="85"/>
      <c r="AY52" s="85"/>
      <c r="AZ52" s="85"/>
      <c r="BA52" s="85"/>
      <c r="BB52" s="104"/>
    </row>
    <row r="53" ht="9" customHeight="1" spans="1:54">
      <c r="A53" s="86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104"/>
    </row>
    <row r="54" ht="9" customHeight="1" spans="1:54">
      <c r="A54" s="86" t="s">
        <v>42</v>
      </c>
      <c r="B54" s="85"/>
      <c r="C54" s="85"/>
      <c r="D54" s="85"/>
      <c r="E54" s="85"/>
      <c r="F54" s="85"/>
      <c r="G54" s="85"/>
      <c r="H54" s="85" t="s">
        <v>42</v>
      </c>
      <c r="I54" s="85"/>
      <c r="J54" s="85"/>
      <c r="K54" s="85"/>
      <c r="L54" s="85"/>
      <c r="M54" s="85"/>
      <c r="N54" s="136" t="s">
        <v>42</v>
      </c>
      <c r="O54" s="136"/>
      <c r="P54" s="136"/>
      <c r="Q54" s="136"/>
      <c r="R54" s="136" t="s">
        <v>42</v>
      </c>
      <c r="S54" s="136"/>
      <c r="T54" s="136"/>
      <c r="U54" s="136"/>
      <c r="V54" s="136" t="s">
        <v>42</v>
      </c>
      <c r="W54" s="136"/>
      <c r="X54" s="136"/>
      <c r="Y54" s="136"/>
      <c r="Z54" s="136" t="s">
        <v>42</v>
      </c>
      <c r="AA54" s="136"/>
      <c r="AB54" s="136"/>
      <c r="AC54" s="136"/>
      <c r="AD54" s="136" t="s">
        <v>42</v>
      </c>
      <c r="AE54" s="136"/>
      <c r="AF54" s="136"/>
      <c r="AG54" s="136"/>
      <c r="AH54" s="136" t="s">
        <v>42</v>
      </c>
      <c r="AI54" s="136"/>
      <c r="AJ54" s="136"/>
      <c r="AK54" s="136"/>
      <c r="AL54" s="136" t="s">
        <v>42</v>
      </c>
      <c r="AM54" s="136"/>
      <c r="AN54" s="136"/>
      <c r="AO54" s="136"/>
      <c r="AP54" s="85" t="s">
        <v>42</v>
      </c>
      <c r="AQ54" s="85"/>
      <c r="AR54" s="85"/>
      <c r="AS54" s="85"/>
      <c r="AT54" s="85"/>
      <c r="AU54" s="85"/>
      <c r="AV54" s="85" t="s">
        <v>42</v>
      </c>
      <c r="AW54" s="85"/>
      <c r="AX54" s="85"/>
      <c r="AY54" s="85"/>
      <c r="AZ54" s="85"/>
      <c r="BA54" s="85"/>
      <c r="BB54" s="104"/>
    </row>
    <row r="55" ht="9" customHeight="1" spans="1:54">
      <c r="A55" s="86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104"/>
    </row>
    <row r="56" ht="9" customHeight="1" spans="1:54">
      <c r="A56" s="86" t="s">
        <v>42</v>
      </c>
      <c r="B56" s="85"/>
      <c r="C56" s="85"/>
      <c r="D56" s="85"/>
      <c r="E56" s="85"/>
      <c r="F56" s="85"/>
      <c r="G56" s="85"/>
      <c r="H56" s="106" t="s">
        <v>42</v>
      </c>
      <c r="I56" s="88"/>
      <c r="J56" s="88"/>
      <c r="K56" s="88"/>
      <c r="L56" s="88"/>
      <c r="M56" s="89"/>
      <c r="N56" s="137" t="s">
        <v>42</v>
      </c>
      <c r="O56" s="138"/>
      <c r="P56" s="138"/>
      <c r="Q56" s="141"/>
      <c r="R56" s="137" t="s">
        <v>42</v>
      </c>
      <c r="S56" s="138"/>
      <c r="T56" s="138"/>
      <c r="U56" s="141"/>
      <c r="V56" s="137" t="s">
        <v>42</v>
      </c>
      <c r="W56" s="138"/>
      <c r="X56" s="138"/>
      <c r="Y56" s="141"/>
      <c r="Z56" s="137" t="s">
        <v>42</v>
      </c>
      <c r="AA56" s="138"/>
      <c r="AB56" s="138"/>
      <c r="AC56" s="141"/>
      <c r="AD56" s="137" t="s">
        <v>42</v>
      </c>
      <c r="AE56" s="138"/>
      <c r="AF56" s="138"/>
      <c r="AG56" s="141"/>
      <c r="AH56" s="137" t="s">
        <v>42</v>
      </c>
      <c r="AI56" s="138"/>
      <c r="AJ56" s="138"/>
      <c r="AK56" s="141"/>
      <c r="AL56" s="137" t="s">
        <v>42</v>
      </c>
      <c r="AM56" s="138"/>
      <c r="AN56" s="138"/>
      <c r="AO56" s="141"/>
      <c r="AP56" s="106" t="s">
        <v>42</v>
      </c>
      <c r="AQ56" s="88"/>
      <c r="AR56" s="88"/>
      <c r="AS56" s="88"/>
      <c r="AT56" s="88"/>
      <c r="AU56" s="89"/>
      <c r="AV56" s="106" t="s">
        <v>42</v>
      </c>
      <c r="AW56" s="88"/>
      <c r="AX56" s="88"/>
      <c r="AY56" s="88"/>
      <c r="AZ56" s="88"/>
      <c r="BA56" s="88"/>
      <c r="BB56" s="126"/>
    </row>
    <row r="57" ht="9" customHeight="1" spans="1:54">
      <c r="A57" s="86"/>
      <c r="B57" s="85"/>
      <c r="C57" s="85"/>
      <c r="D57" s="85"/>
      <c r="E57" s="85"/>
      <c r="F57" s="85"/>
      <c r="G57" s="85"/>
      <c r="H57" s="107"/>
      <c r="I57" s="91"/>
      <c r="J57" s="91"/>
      <c r="K57" s="91"/>
      <c r="L57" s="91"/>
      <c r="M57" s="92"/>
      <c r="N57" s="139"/>
      <c r="O57" s="140"/>
      <c r="P57" s="140"/>
      <c r="Q57" s="142"/>
      <c r="R57" s="139"/>
      <c r="S57" s="140"/>
      <c r="T57" s="140"/>
      <c r="U57" s="142"/>
      <c r="V57" s="139"/>
      <c r="W57" s="140"/>
      <c r="X57" s="140"/>
      <c r="Y57" s="142"/>
      <c r="Z57" s="139"/>
      <c r="AA57" s="140"/>
      <c r="AB57" s="140"/>
      <c r="AC57" s="142"/>
      <c r="AD57" s="139"/>
      <c r="AE57" s="140"/>
      <c r="AF57" s="140"/>
      <c r="AG57" s="142"/>
      <c r="AH57" s="139"/>
      <c r="AI57" s="140"/>
      <c r="AJ57" s="140"/>
      <c r="AK57" s="142"/>
      <c r="AL57" s="139"/>
      <c r="AM57" s="140"/>
      <c r="AN57" s="140"/>
      <c r="AO57" s="142"/>
      <c r="AP57" s="107"/>
      <c r="AQ57" s="91"/>
      <c r="AR57" s="91"/>
      <c r="AS57" s="91"/>
      <c r="AT57" s="91"/>
      <c r="AU57" s="92"/>
      <c r="AV57" s="107"/>
      <c r="AW57" s="91"/>
      <c r="AX57" s="91"/>
      <c r="AY57" s="91"/>
      <c r="AZ57" s="91"/>
      <c r="BA57" s="91"/>
      <c r="BB57" s="127"/>
    </row>
    <row r="58" ht="9" customHeight="1" spans="1:54">
      <c r="A58" s="86" t="s">
        <v>42</v>
      </c>
      <c r="B58" s="85"/>
      <c r="C58" s="85"/>
      <c r="D58" s="85"/>
      <c r="E58" s="85"/>
      <c r="F58" s="85"/>
      <c r="G58" s="85"/>
      <c r="H58" s="85" t="s">
        <v>42</v>
      </c>
      <c r="I58" s="85"/>
      <c r="J58" s="85"/>
      <c r="K58" s="85"/>
      <c r="L58" s="85"/>
      <c r="M58" s="85"/>
      <c r="N58" s="136" t="s">
        <v>42</v>
      </c>
      <c r="O58" s="136"/>
      <c r="P58" s="136"/>
      <c r="Q58" s="136"/>
      <c r="R58" s="136" t="s">
        <v>42</v>
      </c>
      <c r="S58" s="136"/>
      <c r="T58" s="136"/>
      <c r="U58" s="136"/>
      <c r="V58" s="136" t="s">
        <v>42</v>
      </c>
      <c r="W58" s="136"/>
      <c r="X58" s="136"/>
      <c r="Y58" s="136"/>
      <c r="Z58" s="136" t="s">
        <v>42</v>
      </c>
      <c r="AA58" s="136"/>
      <c r="AB58" s="136"/>
      <c r="AC58" s="136"/>
      <c r="AD58" s="136" t="s">
        <v>42</v>
      </c>
      <c r="AE58" s="136"/>
      <c r="AF58" s="136"/>
      <c r="AG58" s="136"/>
      <c r="AH58" s="136" t="s">
        <v>42</v>
      </c>
      <c r="AI58" s="136"/>
      <c r="AJ58" s="136"/>
      <c r="AK58" s="136"/>
      <c r="AL58" s="136" t="s">
        <v>42</v>
      </c>
      <c r="AM58" s="136"/>
      <c r="AN58" s="136"/>
      <c r="AO58" s="136"/>
      <c r="AP58" s="85" t="s">
        <v>42</v>
      </c>
      <c r="AQ58" s="85"/>
      <c r="AR58" s="85"/>
      <c r="AS58" s="85"/>
      <c r="AT58" s="85"/>
      <c r="AU58" s="85"/>
      <c r="AV58" s="85" t="s">
        <v>42</v>
      </c>
      <c r="AW58" s="85"/>
      <c r="AX58" s="85"/>
      <c r="AY58" s="85"/>
      <c r="AZ58" s="85"/>
      <c r="BA58" s="85"/>
      <c r="BB58" s="104"/>
    </row>
    <row r="59" ht="9" customHeight="1" spans="1:54">
      <c r="A59" s="86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104"/>
    </row>
    <row r="60" ht="9" customHeight="1" spans="1:54">
      <c r="A60" s="86" t="s">
        <v>42</v>
      </c>
      <c r="B60" s="85"/>
      <c r="C60" s="85"/>
      <c r="D60" s="85"/>
      <c r="E60" s="85"/>
      <c r="F60" s="85"/>
      <c r="G60" s="85"/>
      <c r="H60" s="85" t="s">
        <v>42</v>
      </c>
      <c r="I60" s="85"/>
      <c r="J60" s="85"/>
      <c r="K60" s="85"/>
      <c r="L60" s="85"/>
      <c r="M60" s="85"/>
      <c r="N60" s="136" t="s">
        <v>42</v>
      </c>
      <c r="O60" s="136"/>
      <c r="P60" s="136"/>
      <c r="Q60" s="136"/>
      <c r="R60" s="136" t="s">
        <v>42</v>
      </c>
      <c r="S60" s="136"/>
      <c r="T60" s="136"/>
      <c r="U60" s="136"/>
      <c r="V60" s="136" t="s">
        <v>42</v>
      </c>
      <c r="W60" s="136"/>
      <c r="X60" s="136"/>
      <c r="Y60" s="136"/>
      <c r="Z60" s="136" t="s">
        <v>42</v>
      </c>
      <c r="AA60" s="136"/>
      <c r="AB60" s="136"/>
      <c r="AC60" s="136"/>
      <c r="AD60" s="136" t="s">
        <v>42</v>
      </c>
      <c r="AE60" s="136"/>
      <c r="AF60" s="136"/>
      <c r="AG60" s="136"/>
      <c r="AH60" s="136" t="s">
        <v>42</v>
      </c>
      <c r="AI60" s="136"/>
      <c r="AJ60" s="136"/>
      <c r="AK60" s="136"/>
      <c r="AL60" s="136" t="s">
        <v>42</v>
      </c>
      <c r="AM60" s="136"/>
      <c r="AN60" s="136"/>
      <c r="AO60" s="136"/>
      <c r="AP60" s="85" t="s">
        <v>42</v>
      </c>
      <c r="AQ60" s="85"/>
      <c r="AR60" s="85"/>
      <c r="AS60" s="85"/>
      <c r="AT60" s="85"/>
      <c r="AU60" s="85"/>
      <c r="AV60" s="85" t="s">
        <v>42</v>
      </c>
      <c r="AW60" s="85"/>
      <c r="AX60" s="85"/>
      <c r="AY60" s="85"/>
      <c r="AZ60" s="85"/>
      <c r="BA60" s="85"/>
      <c r="BB60" s="104"/>
    </row>
    <row r="61" ht="9" customHeight="1" spans="1:54">
      <c r="A61" s="86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104"/>
    </row>
    <row r="62" ht="9" customHeight="1" spans="1:54">
      <c r="A62" s="86" t="s">
        <v>42</v>
      </c>
      <c r="B62" s="85"/>
      <c r="C62" s="85"/>
      <c r="D62" s="85"/>
      <c r="E62" s="85"/>
      <c r="F62" s="85"/>
      <c r="G62" s="85"/>
      <c r="H62" s="106" t="s">
        <v>42</v>
      </c>
      <c r="I62" s="88"/>
      <c r="J62" s="88"/>
      <c r="K62" s="88"/>
      <c r="L62" s="88"/>
      <c r="M62" s="89"/>
      <c r="N62" s="137" t="s">
        <v>42</v>
      </c>
      <c r="O62" s="138"/>
      <c r="P62" s="138"/>
      <c r="Q62" s="141"/>
      <c r="R62" s="137" t="s">
        <v>42</v>
      </c>
      <c r="S62" s="138"/>
      <c r="T62" s="138"/>
      <c r="U62" s="141"/>
      <c r="V62" s="137" t="s">
        <v>42</v>
      </c>
      <c r="W62" s="138"/>
      <c r="X62" s="138"/>
      <c r="Y62" s="141"/>
      <c r="Z62" s="137" t="s">
        <v>42</v>
      </c>
      <c r="AA62" s="138"/>
      <c r="AB62" s="138"/>
      <c r="AC62" s="141"/>
      <c r="AD62" s="137" t="s">
        <v>42</v>
      </c>
      <c r="AE62" s="138"/>
      <c r="AF62" s="138"/>
      <c r="AG62" s="141"/>
      <c r="AH62" s="137" t="s">
        <v>42</v>
      </c>
      <c r="AI62" s="138"/>
      <c r="AJ62" s="138"/>
      <c r="AK62" s="141"/>
      <c r="AL62" s="137" t="s">
        <v>42</v>
      </c>
      <c r="AM62" s="138"/>
      <c r="AN62" s="138"/>
      <c r="AO62" s="141"/>
      <c r="AP62" s="106" t="s">
        <v>42</v>
      </c>
      <c r="AQ62" s="88"/>
      <c r="AR62" s="88"/>
      <c r="AS62" s="88"/>
      <c r="AT62" s="88"/>
      <c r="AU62" s="89"/>
      <c r="AV62" s="106" t="s">
        <v>42</v>
      </c>
      <c r="AW62" s="88"/>
      <c r="AX62" s="88"/>
      <c r="AY62" s="88"/>
      <c r="AZ62" s="88"/>
      <c r="BA62" s="88"/>
      <c r="BB62" s="126"/>
    </row>
    <row r="63" ht="9" customHeight="1" spans="1:54">
      <c r="A63" s="86"/>
      <c r="B63" s="85"/>
      <c r="C63" s="85"/>
      <c r="D63" s="85"/>
      <c r="E63" s="85"/>
      <c r="F63" s="85"/>
      <c r="G63" s="85"/>
      <c r="H63" s="107"/>
      <c r="I63" s="91"/>
      <c r="J63" s="91"/>
      <c r="K63" s="91"/>
      <c r="L63" s="91"/>
      <c r="M63" s="92"/>
      <c r="N63" s="139"/>
      <c r="O63" s="140"/>
      <c r="P63" s="140"/>
      <c r="Q63" s="142"/>
      <c r="R63" s="139"/>
      <c r="S63" s="140"/>
      <c r="T63" s="140"/>
      <c r="U63" s="142"/>
      <c r="V63" s="139"/>
      <c r="W63" s="140"/>
      <c r="X63" s="140"/>
      <c r="Y63" s="142"/>
      <c r="Z63" s="139"/>
      <c r="AA63" s="140"/>
      <c r="AB63" s="140"/>
      <c r="AC63" s="142"/>
      <c r="AD63" s="139"/>
      <c r="AE63" s="140"/>
      <c r="AF63" s="140"/>
      <c r="AG63" s="142"/>
      <c r="AH63" s="139"/>
      <c r="AI63" s="140"/>
      <c r="AJ63" s="140"/>
      <c r="AK63" s="142"/>
      <c r="AL63" s="139"/>
      <c r="AM63" s="140"/>
      <c r="AN63" s="140"/>
      <c r="AO63" s="142"/>
      <c r="AP63" s="107"/>
      <c r="AQ63" s="91"/>
      <c r="AR63" s="91"/>
      <c r="AS63" s="91"/>
      <c r="AT63" s="91"/>
      <c r="AU63" s="92"/>
      <c r="AV63" s="107"/>
      <c r="AW63" s="91"/>
      <c r="AX63" s="91"/>
      <c r="AY63" s="91"/>
      <c r="AZ63" s="91"/>
      <c r="BA63" s="91"/>
      <c r="BB63" s="127"/>
    </row>
    <row r="64" ht="9" customHeight="1" spans="1:54">
      <c r="A64" s="86" t="s">
        <v>42</v>
      </c>
      <c r="B64" s="85"/>
      <c r="C64" s="85"/>
      <c r="D64" s="85"/>
      <c r="E64" s="85"/>
      <c r="F64" s="85"/>
      <c r="G64" s="85"/>
      <c r="H64" s="85" t="s">
        <v>42</v>
      </c>
      <c r="I64" s="85"/>
      <c r="J64" s="85"/>
      <c r="K64" s="85"/>
      <c r="L64" s="85"/>
      <c r="M64" s="85"/>
      <c r="N64" s="136" t="s">
        <v>42</v>
      </c>
      <c r="O64" s="136"/>
      <c r="P64" s="136"/>
      <c r="Q64" s="136"/>
      <c r="R64" s="136" t="s">
        <v>42</v>
      </c>
      <c r="S64" s="136"/>
      <c r="T64" s="136"/>
      <c r="U64" s="136"/>
      <c r="V64" s="136" t="s">
        <v>42</v>
      </c>
      <c r="W64" s="136"/>
      <c r="X64" s="136"/>
      <c r="Y64" s="136"/>
      <c r="Z64" s="136" t="s">
        <v>42</v>
      </c>
      <c r="AA64" s="136"/>
      <c r="AB64" s="136"/>
      <c r="AC64" s="136"/>
      <c r="AD64" s="136" t="s">
        <v>42</v>
      </c>
      <c r="AE64" s="136"/>
      <c r="AF64" s="136"/>
      <c r="AG64" s="136"/>
      <c r="AH64" s="136" t="s">
        <v>42</v>
      </c>
      <c r="AI64" s="136"/>
      <c r="AJ64" s="136"/>
      <c r="AK64" s="136"/>
      <c r="AL64" s="136" t="s">
        <v>42</v>
      </c>
      <c r="AM64" s="136"/>
      <c r="AN64" s="136"/>
      <c r="AO64" s="136"/>
      <c r="AP64" s="85" t="s">
        <v>42</v>
      </c>
      <c r="AQ64" s="85"/>
      <c r="AR64" s="85"/>
      <c r="AS64" s="85"/>
      <c r="AT64" s="85"/>
      <c r="AU64" s="85"/>
      <c r="AV64" s="85" t="s">
        <v>42</v>
      </c>
      <c r="AW64" s="85"/>
      <c r="AX64" s="85"/>
      <c r="AY64" s="85"/>
      <c r="AZ64" s="85"/>
      <c r="BA64" s="85"/>
      <c r="BB64" s="104"/>
    </row>
    <row r="65" ht="9" customHeight="1" spans="1:54">
      <c r="A65" s="86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104"/>
    </row>
    <row r="66" ht="9" customHeight="1" spans="1:54">
      <c r="A66" s="86" t="s">
        <v>42</v>
      </c>
      <c r="B66" s="85"/>
      <c r="C66" s="85"/>
      <c r="D66" s="85"/>
      <c r="E66" s="85"/>
      <c r="F66" s="85"/>
      <c r="G66" s="85"/>
      <c r="H66" s="85" t="s">
        <v>42</v>
      </c>
      <c r="I66" s="85"/>
      <c r="J66" s="85"/>
      <c r="K66" s="85"/>
      <c r="L66" s="85"/>
      <c r="M66" s="85"/>
      <c r="N66" s="136" t="s">
        <v>42</v>
      </c>
      <c r="O66" s="136"/>
      <c r="P66" s="136"/>
      <c r="Q66" s="136"/>
      <c r="R66" s="136" t="s">
        <v>42</v>
      </c>
      <c r="S66" s="136"/>
      <c r="T66" s="136"/>
      <c r="U66" s="136"/>
      <c r="V66" s="136" t="s">
        <v>42</v>
      </c>
      <c r="W66" s="136"/>
      <c r="X66" s="136"/>
      <c r="Y66" s="136"/>
      <c r="Z66" s="136" t="s">
        <v>42</v>
      </c>
      <c r="AA66" s="136"/>
      <c r="AB66" s="136"/>
      <c r="AC66" s="136"/>
      <c r="AD66" s="136" t="s">
        <v>42</v>
      </c>
      <c r="AE66" s="136"/>
      <c r="AF66" s="136"/>
      <c r="AG66" s="136"/>
      <c r="AH66" s="136" t="s">
        <v>42</v>
      </c>
      <c r="AI66" s="136"/>
      <c r="AJ66" s="136"/>
      <c r="AK66" s="136"/>
      <c r="AL66" s="136" t="s">
        <v>42</v>
      </c>
      <c r="AM66" s="136"/>
      <c r="AN66" s="136"/>
      <c r="AO66" s="136"/>
      <c r="AP66" s="85" t="s">
        <v>42</v>
      </c>
      <c r="AQ66" s="85"/>
      <c r="AR66" s="85"/>
      <c r="AS66" s="85"/>
      <c r="AT66" s="85"/>
      <c r="AU66" s="85"/>
      <c r="AV66" s="85" t="s">
        <v>42</v>
      </c>
      <c r="AW66" s="85"/>
      <c r="AX66" s="85"/>
      <c r="AY66" s="85"/>
      <c r="AZ66" s="85"/>
      <c r="BA66" s="85"/>
      <c r="BB66" s="104"/>
    </row>
    <row r="67" ht="9" customHeight="1" spans="1:54">
      <c r="A67" s="86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104"/>
    </row>
    <row r="68" ht="9" customHeight="1" spans="1:54">
      <c r="A68" s="86" t="s">
        <v>42</v>
      </c>
      <c r="B68" s="85"/>
      <c r="C68" s="85"/>
      <c r="D68" s="85"/>
      <c r="E68" s="85"/>
      <c r="F68" s="85"/>
      <c r="G68" s="85"/>
      <c r="H68" s="106" t="s">
        <v>42</v>
      </c>
      <c r="I68" s="88"/>
      <c r="J68" s="88"/>
      <c r="K68" s="88"/>
      <c r="L68" s="88"/>
      <c r="M68" s="89"/>
      <c r="N68" s="137" t="s">
        <v>42</v>
      </c>
      <c r="O68" s="138"/>
      <c r="P68" s="138"/>
      <c r="Q68" s="141"/>
      <c r="R68" s="137" t="s">
        <v>42</v>
      </c>
      <c r="S68" s="138"/>
      <c r="T68" s="138"/>
      <c r="U68" s="141"/>
      <c r="V68" s="137" t="s">
        <v>42</v>
      </c>
      <c r="W68" s="138"/>
      <c r="X68" s="138"/>
      <c r="Y68" s="141"/>
      <c r="Z68" s="137" t="s">
        <v>42</v>
      </c>
      <c r="AA68" s="138"/>
      <c r="AB68" s="138"/>
      <c r="AC68" s="141"/>
      <c r="AD68" s="137" t="s">
        <v>42</v>
      </c>
      <c r="AE68" s="138"/>
      <c r="AF68" s="138"/>
      <c r="AG68" s="141"/>
      <c r="AH68" s="137" t="s">
        <v>42</v>
      </c>
      <c r="AI68" s="138"/>
      <c r="AJ68" s="138"/>
      <c r="AK68" s="141"/>
      <c r="AL68" s="137" t="s">
        <v>42</v>
      </c>
      <c r="AM68" s="138"/>
      <c r="AN68" s="138"/>
      <c r="AO68" s="141"/>
      <c r="AP68" s="106" t="s">
        <v>42</v>
      </c>
      <c r="AQ68" s="88"/>
      <c r="AR68" s="88"/>
      <c r="AS68" s="88"/>
      <c r="AT68" s="88"/>
      <c r="AU68" s="89"/>
      <c r="AV68" s="106" t="s">
        <v>42</v>
      </c>
      <c r="AW68" s="88"/>
      <c r="AX68" s="88"/>
      <c r="AY68" s="88"/>
      <c r="AZ68" s="88"/>
      <c r="BA68" s="88"/>
      <c r="BB68" s="126"/>
    </row>
    <row r="69" ht="9" customHeight="1" spans="1:54">
      <c r="A69" s="86"/>
      <c r="B69" s="85"/>
      <c r="C69" s="85"/>
      <c r="D69" s="85"/>
      <c r="E69" s="85"/>
      <c r="F69" s="85"/>
      <c r="G69" s="85"/>
      <c r="H69" s="107"/>
      <c r="I69" s="91"/>
      <c r="J69" s="91"/>
      <c r="K69" s="91"/>
      <c r="L69" s="91"/>
      <c r="M69" s="92"/>
      <c r="N69" s="139"/>
      <c r="O69" s="140"/>
      <c r="P69" s="140"/>
      <c r="Q69" s="142"/>
      <c r="R69" s="139"/>
      <c r="S69" s="140"/>
      <c r="T69" s="140"/>
      <c r="U69" s="142"/>
      <c r="V69" s="139"/>
      <c r="W69" s="140"/>
      <c r="X69" s="140"/>
      <c r="Y69" s="142"/>
      <c r="Z69" s="139"/>
      <c r="AA69" s="140"/>
      <c r="AB69" s="140"/>
      <c r="AC69" s="142"/>
      <c r="AD69" s="139"/>
      <c r="AE69" s="140"/>
      <c r="AF69" s="140"/>
      <c r="AG69" s="142"/>
      <c r="AH69" s="139"/>
      <c r="AI69" s="140"/>
      <c r="AJ69" s="140"/>
      <c r="AK69" s="142"/>
      <c r="AL69" s="139"/>
      <c r="AM69" s="140"/>
      <c r="AN69" s="140"/>
      <c r="AO69" s="142"/>
      <c r="AP69" s="107"/>
      <c r="AQ69" s="91"/>
      <c r="AR69" s="91"/>
      <c r="AS69" s="91"/>
      <c r="AT69" s="91"/>
      <c r="AU69" s="92"/>
      <c r="AV69" s="107"/>
      <c r="AW69" s="91"/>
      <c r="AX69" s="91"/>
      <c r="AY69" s="91"/>
      <c r="AZ69" s="91"/>
      <c r="BA69" s="91"/>
      <c r="BB69" s="127"/>
    </row>
    <row r="70" ht="9" customHeight="1" spans="1:54">
      <c r="A70" s="75" t="s">
        <v>44</v>
      </c>
      <c r="B70" s="72"/>
      <c r="C70" s="72"/>
      <c r="D70" s="72"/>
      <c r="E70" s="108" t="s">
        <v>45</v>
      </c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28"/>
    </row>
    <row r="71" ht="9" customHeight="1" spans="1:54">
      <c r="A71" s="71"/>
      <c r="B71" s="72"/>
      <c r="C71" s="72"/>
      <c r="D71" s="72"/>
      <c r="E71" s="110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29"/>
    </row>
    <row r="72" ht="7.5" customHeight="1" spans="1:54">
      <c r="A72" s="71"/>
      <c r="B72" s="72"/>
      <c r="C72" s="72"/>
      <c r="D72" s="72"/>
      <c r="E72" s="110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29"/>
    </row>
    <row r="73" ht="4.5" hidden="1" customHeight="1" spans="1:54">
      <c r="A73" s="71"/>
      <c r="B73" s="72"/>
      <c r="C73" s="72"/>
      <c r="D73" s="72"/>
      <c r="E73" s="112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30"/>
    </row>
    <row r="74" ht="9" customHeight="1" spans="1:54">
      <c r="A74" s="71" t="s">
        <v>40</v>
      </c>
      <c r="B74" s="72"/>
      <c r="C74" s="72"/>
      <c r="D74" s="72"/>
      <c r="E74" s="114" t="s">
        <v>42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31"/>
    </row>
    <row r="75" ht="9" customHeight="1" spans="1:54">
      <c r="A75" s="71"/>
      <c r="B75" s="72"/>
      <c r="C75" s="72"/>
      <c r="D75" s="72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114"/>
      <c r="BB75" s="131"/>
    </row>
    <row r="76" ht="4.5" hidden="1" customHeight="1" spans="1:54">
      <c r="A76" s="71"/>
      <c r="B76" s="72"/>
      <c r="C76" s="72"/>
      <c r="D76" s="72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31"/>
    </row>
    <row r="77" ht="9" customHeight="1" spans="1:54">
      <c r="A77" s="71" t="s">
        <v>47</v>
      </c>
      <c r="B77" s="72"/>
      <c r="C77" s="72"/>
      <c r="D77" s="72"/>
      <c r="E77" s="115" t="s">
        <v>48</v>
      </c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32"/>
    </row>
    <row r="78" ht="9" customHeight="1" spans="1:54">
      <c r="A78" s="71"/>
      <c r="B78" s="72"/>
      <c r="C78" s="72"/>
      <c r="D78" s="72"/>
      <c r="E78" s="117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33"/>
    </row>
    <row r="79" ht="9" customHeight="1" spans="1:54">
      <c r="A79" s="71"/>
      <c r="B79" s="72"/>
      <c r="C79" s="72"/>
      <c r="D79" s="72"/>
      <c r="E79" s="117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33"/>
    </row>
    <row r="80" ht="9" customHeight="1" spans="1:54">
      <c r="A80" s="71"/>
      <c r="B80" s="72"/>
      <c r="C80" s="72"/>
      <c r="D80" s="72"/>
      <c r="E80" s="119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34"/>
    </row>
    <row r="81" ht="9" customHeight="1" spans="1:54">
      <c r="A81" s="121" t="s">
        <v>49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14"/>
      <c r="BB81" s="131"/>
    </row>
    <row r="82" ht="9" customHeight="1" spans="1:54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35"/>
    </row>
    <row r="83" customHeight="1" spans="1:54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</row>
    <row r="84" ht="7.5" customHeight="1" spans="1:54">
      <c r="A84" s="64" t="s">
        <v>50</v>
      </c>
      <c r="B84" s="64"/>
      <c r="C84" s="64"/>
      <c r="D84" s="64"/>
      <c r="E84" s="124"/>
      <c r="F84" s="124"/>
      <c r="G84" s="124"/>
      <c r="H84" s="124"/>
      <c r="I84" s="124"/>
      <c r="J84" s="124"/>
      <c r="K84" s="124"/>
      <c r="L84" s="64" t="s">
        <v>51</v>
      </c>
      <c r="M84" s="64"/>
      <c r="N84" s="64"/>
      <c r="O84" s="64"/>
      <c r="P84" s="64"/>
      <c r="Q84" s="124"/>
      <c r="R84" s="124"/>
      <c r="S84" s="124"/>
      <c r="T84" s="124"/>
      <c r="U84" s="124"/>
      <c r="V84" s="124"/>
      <c r="W84" s="124"/>
      <c r="X84" s="64" t="s">
        <v>52</v>
      </c>
      <c r="Y84" s="64"/>
      <c r="Z84" s="64"/>
      <c r="AA84" s="64"/>
      <c r="AB84" s="64"/>
      <c r="AC84" s="124"/>
      <c r="AD84" s="124"/>
      <c r="AE84" s="124"/>
      <c r="AF84" s="124"/>
      <c r="AG84" s="124"/>
      <c r="AH84" s="124"/>
      <c r="AI84" s="124"/>
      <c r="AJ84" s="125" t="s">
        <v>53</v>
      </c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</row>
    <row r="85" ht="9" customHeight="1" spans="1:54">
      <c r="A85" s="64"/>
      <c r="B85" s="64"/>
      <c r="C85" s="64"/>
      <c r="D85" s="64"/>
      <c r="E85" s="124"/>
      <c r="F85" s="124"/>
      <c r="G85" s="124"/>
      <c r="H85" s="124"/>
      <c r="I85" s="124"/>
      <c r="J85" s="124"/>
      <c r="K85" s="124"/>
      <c r="L85" s="64"/>
      <c r="M85" s="64"/>
      <c r="N85" s="64"/>
      <c r="O85" s="64"/>
      <c r="P85" s="64"/>
      <c r="Q85" s="124"/>
      <c r="R85" s="124"/>
      <c r="S85" s="124"/>
      <c r="T85" s="124"/>
      <c r="U85" s="124"/>
      <c r="V85" s="124"/>
      <c r="W85" s="124"/>
      <c r="X85" s="64"/>
      <c r="Y85" s="64"/>
      <c r="Z85" s="64"/>
      <c r="AA85" s="64"/>
      <c r="AB85" s="64"/>
      <c r="AC85" s="124"/>
      <c r="AD85" s="124"/>
      <c r="AE85" s="124"/>
      <c r="AF85" s="124"/>
      <c r="AG85" s="124"/>
      <c r="AH85" s="124"/>
      <c r="AI85" s="124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</row>
  </sheetData>
  <mergeCells count="284">
    <mergeCell ref="A9:G10"/>
    <mergeCell ref="H9:AG10"/>
    <mergeCell ref="AH9:AO10"/>
    <mergeCell ref="AP9:BB10"/>
    <mergeCell ref="A11:G12"/>
    <mergeCell ref="H11:AG12"/>
    <mergeCell ref="AH11:AO12"/>
    <mergeCell ref="AP11:BB12"/>
    <mergeCell ref="A1:BB3"/>
    <mergeCell ref="A4:G6"/>
    <mergeCell ref="H4:AG6"/>
    <mergeCell ref="AH4:AO6"/>
    <mergeCell ref="AP4:BB6"/>
    <mergeCell ref="A7:G8"/>
    <mergeCell ref="H7:AG8"/>
    <mergeCell ref="AH7:AO8"/>
    <mergeCell ref="AP7:BB8"/>
    <mergeCell ref="A17:G18"/>
    <mergeCell ref="H17:AG18"/>
    <mergeCell ref="AH17:AO18"/>
    <mergeCell ref="AP17:BB18"/>
    <mergeCell ref="A19:G20"/>
    <mergeCell ref="H19:AG20"/>
    <mergeCell ref="AH19:AO20"/>
    <mergeCell ref="AP19:BB20"/>
    <mergeCell ref="A13:G14"/>
    <mergeCell ref="H13:AG14"/>
    <mergeCell ref="AH13:AO14"/>
    <mergeCell ref="AP13:BB14"/>
    <mergeCell ref="A15:G16"/>
    <mergeCell ref="H15:AG16"/>
    <mergeCell ref="AH15:AO16"/>
    <mergeCell ref="AP15:BB16"/>
    <mergeCell ref="A21:G23"/>
    <mergeCell ref="H21:AG23"/>
    <mergeCell ref="AH21:AO23"/>
    <mergeCell ref="AP21:BB23"/>
    <mergeCell ref="A24:G25"/>
    <mergeCell ref="H24:AO25"/>
    <mergeCell ref="AP24:AU25"/>
    <mergeCell ref="AV24:BB25"/>
    <mergeCell ref="N28:Q29"/>
    <mergeCell ref="R28:U29"/>
    <mergeCell ref="V28:Y29"/>
    <mergeCell ref="Z28:AC29"/>
    <mergeCell ref="AD28:AG29"/>
    <mergeCell ref="AH28:AK29"/>
    <mergeCell ref="AL28:AO29"/>
    <mergeCell ref="A26:G29"/>
    <mergeCell ref="H26:M29"/>
    <mergeCell ref="N26:AO27"/>
    <mergeCell ref="N30:Q31"/>
    <mergeCell ref="R30:U31"/>
    <mergeCell ref="V30:Y31"/>
    <mergeCell ref="Z30:AC31"/>
    <mergeCell ref="AD30:AG31"/>
    <mergeCell ref="AH30:AK31"/>
    <mergeCell ref="AL30:AO31"/>
    <mergeCell ref="AP26:AU29"/>
    <mergeCell ref="AV26:BB29"/>
    <mergeCell ref="AP30:AU31"/>
    <mergeCell ref="AV30:BB31"/>
    <mergeCell ref="A32:G33"/>
    <mergeCell ref="H32:M33"/>
    <mergeCell ref="N32:Q33"/>
    <mergeCell ref="R32:U33"/>
    <mergeCell ref="V32:Y33"/>
    <mergeCell ref="Z32:AC33"/>
    <mergeCell ref="AD32:AG33"/>
    <mergeCell ref="AH32:AK33"/>
    <mergeCell ref="AL32:AO33"/>
    <mergeCell ref="A30:G31"/>
    <mergeCell ref="H30:M31"/>
    <mergeCell ref="A36:G37"/>
    <mergeCell ref="H36:M37"/>
    <mergeCell ref="N36:Q37"/>
    <mergeCell ref="R36:U37"/>
    <mergeCell ref="V36:Y37"/>
    <mergeCell ref="Z36:AC37"/>
    <mergeCell ref="AD36:AG37"/>
    <mergeCell ref="AH36:AK37"/>
    <mergeCell ref="AL36:AO37"/>
    <mergeCell ref="AP32:AU33"/>
    <mergeCell ref="AV32:BB33"/>
    <mergeCell ref="A34:G35"/>
    <mergeCell ref="H34:M35"/>
    <mergeCell ref="N34:Q35"/>
    <mergeCell ref="R34:U35"/>
    <mergeCell ref="V34:Y35"/>
    <mergeCell ref="Z34:AC35"/>
    <mergeCell ref="AD34:AG35"/>
    <mergeCell ref="AH34:AK35"/>
    <mergeCell ref="AL34:AO35"/>
    <mergeCell ref="AP36:AU37"/>
    <mergeCell ref="AV36:BB37"/>
    <mergeCell ref="AP34:AU35"/>
    <mergeCell ref="AV34:BB35"/>
    <mergeCell ref="A40:G41"/>
    <mergeCell ref="H40:M41"/>
    <mergeCell ref="N40:Q41"/>
    <mergeCell ref="R40:U41"/>
    <mergeCell ref="V40:Y41"/>
    <mergeCell ref="Z40:AC41"/>
    <mergeCell ref="AD40:AG41"/>
    <mergeCell ref="AH40:AK41"/>
    <mergeCell ref="AL40:AO41"/>
    <mergeCell ref="A38:G39"/>
    <mergeCell ref="H38:M39"/>
    <mergeCell ref="N38:Q39"/>
    <mergeCell ref="R38:U39"/>
    <mergeCell ref="V38:Y39"/>
    <mergeCell ref="Z38:AC39"/>
    <mergeCell ref="AD38:AG39"/>
    <mergeCell ref="AH38:AK39"/>
    <mergeCell ref="AL38:AO39"/>
    <mergeCell ref="AP40:AU41"/>
    <mergeCell ref="AV40:BB41"/>
    <mergeCell ref="AP38:AU39"/>
    <mergeCell ref="AV38:BB39"/>
    <mergeCell ref="A44:G45"/>
    <mergeCell ref="H44:M45"/>
    <mergeCell ref="N44:Q45"/>
    <mergeCell ref="R44:U45"/>
    <mergeCell ref="V44:Y45"/>
    <mergeCell ref="Z44:AC45"/>
    <mergeCell ref="AD44:AG45"/>
    <mergeCell ref="AH44:AK45"/>
    <mergeCell ref="AL44:AO45"/>
    <mergeCell ref="A42:G43"/>
    <mergeCell ref="H42:M43"/>
    <mergeCell ref="N42:Q43"/>
    <mergeCell ref="R42:U43"/>
    <mergeCell ref="V42:Y43"/>
    <mergeCell ref="Z42:AC43"/>
    <mergeCell ref="AD42:AG43"/>
    <mergeCell ref="AH42:AK43"/>
    <mergeCell ref="AL42:AO43"/>
    <mergeCell ref="AP44:AU45"/>
    <mergeCell ref="AV44:BB45"/>
    <mergeCell ref="AP42:AU43"/>
    <mergeCell ref="AV42:BB43"/>
    <mergeCell ref="A48:G49"/>
    <mergeCell ref="H48:M49"/>
    <mergeCell ref="N48:Q49"/>
    <mergeCell ref="R48:U49"/>
    <mergeCell ref="V48:Y49"/>
    <mergeCell ref="Z48:AC49"/>
    <mergeCell ref="AD48:AG49"/>
    <mergeCell ref="AH48:AK49"/>
    <mergeCell ref="AL48:AO49"/>
    <mergeCell ref="A46:G47"/>
    <mergeCell ref="H46:M47"/>
    <mergeCell ref="N46:Q47"/>
    <mergeCell ref="R46:U47"/>
    <mergeCell ref="V46:Y47"/>
    <mergeCell ref="Z46:AC47"/>
    <mergeCell ref="AD46:AG47"/>
    <mergeCell ref="AH46:AK47"/>
    <mergeCell ref="AL46:AO47"/>
    <mergeCell ref="AP48:AU49"/>
    <mergeCell ref="AV48:BB49"/>
    <mergeCell ref="AP46:AU47"/>
    <mergeCell ref="AV46:BB47"/>
    <mergeCell ref="A52:G53"/>
    <mergeCell ref="H52:M53"/>
    <mergeCell ref="N52:Q53"/>
    <mergeCell ref="R52:U53"/>
    <mergeCell ref="V52:Y53"/>
    <mergeCell ref="Z52:AC53"/>
    <mergeCell ref="AD52:AG53"/>
    <mergeCell ref="AH52:AK53"/>
    <mergeCell ref="AL52:AO53"/>
    <mergeCell ref="A50:G51"/>
    <mergeCell ref="H50:M51"/>
    <mergeCell ref="N50:Q51"/>
    <mergeCell ref="R50:U51"/>
    <mergeCell ref="V50:Y51"/>
    <mergeCell ref="Z50:AC51"/>
    <mergeCell ref="AD50:AG51"/>
    <mergeCell ref="AH50:AK51"/>
    <mergeCell ref="AL50:AO51"/>
    <mergeCell ref="AP52:AU53"/>
    <mergeCell ref="AV52:BB53"/>
    <mergeCell ref="AP50:AU51"/>
    <mergeCell ref="AV50:BB51"/>
    <mergeCell ref="A56:G57"/>
    <mergeCell ref="H56:M57"/>
    <mergeCell ref="N56:Q57"/>
    <mergeCell ref="R56:U57"/>
    <mergeCell ref="V56:Y57"/>
    <mergeCell ref="Z56:AC57"/>
    <mergeCell ref="AD56:AG57"/>
    <mergeCell ref="AH56:AK57"/>
    <mergeCell ref="AL56:AO57"/>
    <mergeCell ref="A54:G55"/>
    <mergeCell ref="H54:M55"/>
    <mergeCell ref="N54:Q55"/>
    <mergeCell ref="R54:U55"/>
    <mergeCell ref="V54:Y55"/>
    <mergeCell ref="Z54:AC55"/>
    <mergeCell ref="AD54:AG55"/>
    <mergeCell ref="AH54:AK55"/>
    <mergeCell ref="AL54:AO55"/>
    <mergeCell ref="AP56:AU57"/>
    <mergeCell ref="AV56:BB57"/>
    <mergeCell ref="AP54:AU55"/>
    <mergeCell ref="AV54:BB55"/>
    <mergeCell ref="A60:G61"/>
    <mergeCell ref="H60:M61"/>
    <mergeCell ref="N60:Q61"/>
    <mergeCell ref="R60:U61"/>
    <mergeCell ref="V60:Y61"/>
    <mergeCell ref="Z60:AC61"/>
    <mergeCell ref="AD60:AG61"/>
    <mergeCell ref="AH60:AK61"/>
    <mergeCell ref="AL60:AO61"/>
    <mergeCell ref="A58:G59"/>
    <mergeCell ref="H58:M59"/>
    <mergeCell ref="N58:Q59"/>
    <mergeCell ref="R58:U59"/>
    <mergeCell ref="V58:Y59"/>
    <mergeCell ref="Z58:AC59"/>
    <mergeCell ref="AD58:AG59"/>
    <mergeCell ref="AH58:AK59"/>
    <mergeCell ref="AL58:AO59"/>
    <mergeCell ref="AP60:AU61"/>
    <mergeCell ref="AV60:BB61"/>
    <mergeCell ref="AP58:AU59"/>
    <mergeCell ref="AV58:BB59"/>
    <mergeCell ref="A64:G65"/>
    <mergeCell ref="H64:M65"/>
    <mergeCell ref="N64:Q65"/>
    <mergeCell ref="R64:U65"/>
    <mergeCell ref="V64:Y65"/>
    <mergeCell ref="Z64:AC65"/>
    <mergeCell ref="AD64:AG65"/>
    <mergeCell ref="AH64:AK65"/>
    <mergeCell ref="AL64:AO65"/>
    <mergeCell ref="A62:G63"/>
    <mergeCell ref="H62:M63"/>
    <mergeCell ref="N62:Q63"/>
    <mergeCell ref="R62:U63"/>
    <mergeCell ref="V62:Y63"/>
    <mergeCell ref="Z62:AC63"/>
    <mergeCell ref="AD62:AG63"/>
    <mergeCell ref="AH62:AK63"/>
    <mergeCell ref="AL62:AO63"/>
    <mergeCell ref="AP64:AU65"/>
    <mergeCell ref="AV64:BB65"/>
    <mergeCell ref="AP62:AU63"/>
    <mergeCell ref="AV62:BB63"/>
    <mergeCell ref="A68:G69"/>
    <mergeCell ref="H68:M69"/>
    <mergeCell ref="N68:Q69"/>
    <mergeCell ref="R68:U69"/>
    <mergeCell ref="V68:Y69"/>
    <mergeCell ref="Z68:AC69"/>
    <mergeCell ref="AD68:AG69"/>
    <mergeCell ref="AH68:AK69"/>
    <mergeCell ref="AL68:AO69"/>
    <mergeCell ref="A66:G67"/>
    <mergeCell ref="H66:M67"/>
    <mergeCell ref="N66:Q67"/>
    <mergeCell ref="R66:U67"/>
    <mergeCell ref="V66:Y67"/>
    <mergeCell ref="Z66:AC67"/>
    <mergeCell ref="AD66:AG67"/>
    <mergeCell ref="AH66:AK67"/>
    <mergeCell ref="AL66:AO67"/>
    <mergeCell ref="AP68:AU69"/>
    <mergeCell ref="AV68:BB69"/>
    <mergeCell ref="AP66:AU67"/>
    <mergeCell ref="AV66:BB67"/>
    <mergeCell ref="A81:BB82"/>
    <mergeCell ref="A84:D85"/>
    <mergeCell ref="L84:P85"/>
    <mergeCell ref="X84:AB85"/>
    <mergeCell ref="AJ84:BB85"/>
    <mergeCell ref="A70:D73"/>
    <mergeCell ref="E70:BB73"/>
    <mergeCell ref="A74:D76"/>
    <mergeCell ref="E74:BB76"/>
    <mergeCell ref="A77:D80"/>
    <mergeCell ref="E77:BB80"/>
  </mergeCells>
  <pageMargins left="0.984251968503937" right="0.590551181102362" top="0.590551181102362" bottom="0.590551181102362" header="0.31496062992126" footer="0.31496062992126"/>
  <pageSetup paperSize="9" orientation="portrait" horizontalDpi="200" verticalDpi="300"/>
  <headerFooter>
    <oddHeader>&amp;R第1页，共1页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85"/>
  <sheetViews>
    <sheetView workbookViewId="0">
      <selection activeCell="N48" sqref="N48:Q49"/>
    </sheetView>
  </sheetViews>
  <sheetFormatPr defaultColWidth="1.62962962962963" defaultRowHeight="9.95" customHeight="1"/>
  <cols>
    <col min="7" max="7" width="1.37962962962963" customWidth="1"/>
    <col min="40" max="40" width="1.12962962962963" customWidth="1"/>
    <col min="41" max="41" width="1.25" customWidth="1"/>
  </cols>
  <sheetData>
    <row r="1" customHeight="1" spans="1:54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3"/>
      <c r="BB1" s="63"/>
    </row>
    <row r="2" customHeight="1" spans="1:54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  <c r="AZ2" s="63"/>
      <c r="BA2" s="63"/>
      <c r="BB2" s="63"/>
    </row>
    <row r="3" ht="6.75" customHeight="1" spans="1:54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</row>
    <row r="4" customHeight="1" spans="1:54">
      <c r="A4" s="64" t="s">
        <v>1</v>
      </c>
      <c r="H4" s="65" t="s">
        <v>2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4" t="s">
        <v>3</v>
      </c>
      <c r="AI4" s="64"/>
      <c r="AJ4" s="64"/>
      <c r="AK4" s="64"/>
      <c r="AL4" s="64"/>
      <c r="AM4" s="64"/>
      <c r="AN4" s="64"/>
      <c r="AO4" s="64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</row>
    <row r="5" s="61" customFormat="1" ht="6.75" customHeight="1" spans="1:54">
      <c r="A5"/>
      <c r="B5"/>
      <c r="C5"/>
      <c r="D5"/>
      <c r="E5"/>
      <c r="F5"/>
      <c r="G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4"/>
      <c r="AI5" s="64"/>
      <c r="AJ5" s="64"/>
      <c r="AK5" s="64"/>
      <c r="AL5" s="64"/>
      <c r="AM5" s="64"/>
      <c r="AN5" s="64"/>
      <c r="AO5" s="64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</row>
    <row r="6" s="61" customFormat="1" ht="1.5" customHeight="1" spans="1:54">
      <c r="A6" s="66"/>
      <c r="B6" s="66"/>
      <c r="C6" s="66"/>
      <c r="D6" s="66"/>
      <c r="E6" s="66"/>
      <c r="F6" s="66"/>
      <c r="G6" s="66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94"/>
      <c r="AI6" s="94"/>
      <c r="AJ6" s="94"/>
      <c r="AK6" s="94"/>
      <c r="AL6" s="94"/>
      <c r="AM6" s="94"/>
      <c r="AN6" s="94"/>
      <c r="AO6" s="94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</row>
    <row r="7" customHeight="1" spans="1:54">
      <c r="A7" s="68" t="s">
        <v>4</v>
      </c>
      <c r="B7" s="69"/>
      <c r="C7" s="69"/>
      <c r="D7" s="69"/>
      <c r="E7" s="69"/>
      <c r="F7" s="69"/>
      <c r="G7" s="69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69" t="s">
        <v>6</v>
      </c>
      <c r="AI7" s="69"/>
      <c r="AJ7" s="69"/>
      <c r="AK7" s="69"/>
      <c r="AL7" s="69"/>
      <c r="AM7" s="69"/>
      <c r="AN7" s="69"/>
      <c r="AO7" s="69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100"/>
    </row>
    <row r="8" customHeight="1" spans="1:54">
      <c r="A8" s="71"/>
      <c r="B8" s="72"/>
      <c r="C8" s="72"/>
      <c r="D8" s="72"/>
      <c r="E8" s="72"/>
      <c r="F8" s="72"/>
      <c r="G8" s="72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2"/>
      <c r="AI8" s="72"/>
      <c r="AJ8" s="72"/>
      <c r="AK8" s="72"/>
      <c r="AL8" s="72"/>
      <c r="AM8" s="72"/>
      <c r="AN8" s="72"/>
      <c r="AO8" s="72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101"/>
    </row>
    <row r="9" customHeight="1" spans="1:54">
      <c r="A9" s="71" t="s">
        <v>7</v>
      </c>
      <c r="B9" s="72"/>
      <c r="C9" s="72"/>
      <c r="D9" s="72"/>
      <c r="E9" s="72"/>
      <c r="F9" s="72"/>
      <c r="G9" s="72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2" t="s">
        <v>9</v>
      </c>
      <c r="AI9" s="72"/>
      <c r="AJ9" s="72"/>
      <c r="AK9" s="72"/>
      <c r="AL9" s="72"/>
      <c r="AM9" s="72"/>
      <c r="AN9" s="72"/>
      <c r="AO9" s="72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101"/>
    </row>
    <row r="10" customHeight="1" spans="1:54">
      <c r="A10" s="71"/>
      <c r="B10" s="72"/>
      <c r="C10" s="72"/>
      <c r="D10" s="72"/>
      <c r="E10" s="72"/>
      <c r="F10" s="72"/>
      <c r="G10" s="72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2"/>
      <c r="AI10" s="72"/>
      <c r="AJ10" s="72"/>
      <c r="AK10" s="72"/>
      <c r="AL10" s="72"/>
      <c r="AM10" s="72"/>
      <c r="AN10" s="72"/>
      <c r="AO10" s="72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101"/>
    </row>
    <row r="11" customHeight="1" spans="1:54">
      <c r="A11" s="71" t="s">
        <v>10</v>
      </c>
      <c r="B11" s="72"/>
      <c r="C11" s="72"/>
      <c r="D11" s="72"/>
      <c r="E11" s="72"/>
      <c r="F11" s="72"/>
      <c r="G11" s="72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2" t="s">
        <v>12</v>
      </c>
      <c r="AI11" s="72"/>
      <c r="AJ11" s="72"/>
      <c r="AK11" s="72"/>
      <c r="AL11" s="72"/>
      <c r="AM11" s="72"/>
      <c r="AN11" s="72"/>
      <c r="AO11" s="72"/>
      <c r="AP11" s="73"/>
      <c r="AQ11" s="73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101"/>
    </row>
    <row r="12" customHeight="1" spans="1:54">
      <c r="A12" s="71"/>
      <c r="B12" s="72"/>
      <c r="C12" s="72"/>
      <c r="D12" s="72"/>
      <c r="E12" s="72"/>
      <c r="F12" s="72"/>
      <c r="G12" s="72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2"/>
      <c r="AI12" s="72"/>
      <c r="AJ12" s="72"/>
      <c r="AK12" s="72"/>
      <c r="AL12" s="72"/>
      <c r="AM12" s="72"/>
      <c r="AN12" s="72"/>
      <c r="AO12" s="72"/>
      <c r="AP12" s="73"/>
      <c r="AQ12" s="73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101"/>
    </row>
    <row r="13" customHeight="1" spans="1:54">
      <c r="A13" s="71" t="s">
        <v>13</v>
      </c>
      <c r="B13" s="72"/>
      <c r="C13" s="72"/>
      <c r="D13" s="72"/>
      <c r="E13" s="72"/>
      <c r="F13" s="72"/>
      <c r="G13" s="72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2" t="s">
        <v>15</v>
      </c>
      <c r="AI13" s="72"/>
      <c r="AJ13" s="72"/>
      <c r="AK13" s="72"/>
      <c r="AL13" s="72"/>
      <c r="AM13" s="72"/>
      <c r="AN13" s="72"/>
      <c r="AO13" s="72"/>
      <c r="AP13" s="73" t="s">
        <v>16</v>
      </c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101"/>
    </row>
    <row r="14" customHeight="1" spans="1:54">
      <c r="A14" s="71"/>
      <c r="B14" s="72"/>
      <c r="C14" s="72"/>
      <c r="D14" s="72"/>
      <c r="E14" s="72"/>
      <c r="F14" s="72"/>
      <c r="G14" s="72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2"/>
      <c r="AI14" s="72"/>
      <c r="AJ14" s="72"/>
      <c r="AK14" s="72"/>
      <c r="AL14" s="72"/>
      <c r="AM14" s="72"/>
      <c r="AN14" s="72"/>
      <c r="AO14" s="72"/>
      <c r="AP14" s="73"/>
      <c r="AQ14" s="73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101"/>
    </row>
    <row r="15" customHeight="1" spans="1:54">
      <c r="A15" s="71" t="s">
        <v>17</v>
      </c>
      <c r="B15" s="72"/>
      <c r="C15" s="72"/>
      <c r="D15" s="72"/>
      <c r="E15" s="72"/>
      <c r="F15" s="72"/>
      <c r="G15" s="72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2" t="s">
        <v>19</v>
      </c>
      <c r="AI15" s="72"/>
      <c r="AJ15" s="72"/>
      <c r="AK15" s="72"/>
      <c r="AL15" s="72"/>
      <c r="AM15" s="72"/>
      <c r="AN15" s="72"/>
      <c r="AO15" s="72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101"/>
    </row>
    <row r="16" customHeight="1" spans="1:54">
      <c r="A16" s="71"/>
      <c r="B16" s="72"/>
      <c r="C16" s="72"/>
      <c r="D16" s="72"/>
      <c r="E16" s="72"/>
      <c r="F16" s="72"/>
      <c r="G16" s="72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2"/>
      <c r="AI16" s="72"/>
      <c r="AJ16" s="72"/>
      <c r="AK16" s="72"/>
      <c r="AL16" s="72"/>
      <c r="AM16" s="72"/>
      <c r="AN16" s="72"/>
      <c r="AO16" s="72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101"/>
    </row>
    <row r="17" customHeight="1" spans="1:54">
      <c r="A17" s="71" t="s">
        <v>21</v>
      </c>
      <c r="B17" s="72"/>
      <c r="C17" s="72"/>
      <c r="D17" s="72"/>
      <c r="E17" s="72"/>
      <c r="F17" s="72"/>
      <c r="G17" s="72"/>
      <c r="H17" s="73" t="s">
        <v>22</v>
      </c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2" t="s">
        <v>23</v>
      </c>
      <c r="AI17" s="72"/>
      <c r="AJ17" s="72"/>
      <c r="AK17" s="72"/>
      <c r="AL17" s="72"/>
      <c r="AM17" s="72"/>
      <c r="AN17" s="72"/>
      <c r="AO17" s="72"/>
      <c r="AP17" s="98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101"/>
    </row>
    <row r="18" customHeight="1" spans="1:54">
      <c r="A18" s="71"/>
      <c r="B18" s="72"/>
      <c r="C18" s="72"/>
      <c r="D18" s="72"/>
      <c r="E18" s="72"/>
      <c r="F18" s="72"/>
      <c r="G18" s="72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2"/>
      <c r="AI18" s="72"/>
      <c r="AJ18" s="72"/>
      <c r="AK18" s="72"/>
      <c r="AL18" s="72"/>
      <c r="AM18" s="72"/>
      <c r="AN18" s="72"/>
      <c r="AO18" s="72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101"/>
    </row>
    <row r="19" customHeight="1" spans="1:54">
      <c r="A19" s="71" t="s">
        <v>24</v>
      </c>
      <c r="B19" s="72"/>
      <c r="C19" s="72"/>
      <c r="D19" s="72"/>
      <c r="E19" s="72"/>
      <c r="F19" s="72"/>
      <c r="G19" s="72"/>
      <c r="H19" s="74" t="s">
        <v>25</v>
      </c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2" t="s">
        <v>26</v>
      </c>
      <c r="AI19" s="72"/>
      <c r="AJ19" s="72"/>
      <c r="AK19" s="72"/>
      <c r="AL19" s="72"/>
      <c r="AM19" s="72"/>
      <c r="AN19" s="72"/>
      <c r="AO19" s="72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101"/>
    </row>
    <row r="20" customHeight="1" spans="1:54">
      <c r="A20" s="71"/>
      <c r="B20" s="72"/>
      <c r="C20" s="72"/>
      <c r="D20" s="72"/>
      <c r="E20" s="72"/>
      <c r="F20" s="72"/>
      <c r="G20" s="72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2"/>
      <c r="AI20" s="72"/>
      <c r="AJ20" s="72"/>
      <c r="AK20" s="72"/>
      <c r="AL20" s="72"/>
      <c r="AM20" s="72"/>
      <c r="AN20" s="72"/>
      <c r="AO20" s="72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101"/>
    </row>
    <row r="21" customHeight="1" spans="1:54">
      <c r="A21" s="75" t="s">
        <v>28</v>
      </c>
      <c r="B21" s="76"/>
      <c r="C21" s="76"/>
      <c r="D21" s="76"/>
      <c r="E21" s="76"/>
      <c r="F21" s="76"/>
      <c r="G21" s="76"/>
      <c r="H21" s="73" t="s">
        <v>29</v>
      </c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2" t="s">
        <v>30</v>
      </c>
      <c r="AI21" s="72"/>
      <c r="AJ21" s="72"/>
      <c r="AK21" s="72"/>
      <c r="AL21" s="72"/>
      <c r="AM21" s="72"/>
      <c r="AN21" s="72"/>
      <c r="AO21" s="72"/>
      <c r="AP21" s="73" t="s">
        <v>31</v>
      </c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101"/>
    </row>
    <row r="22" ht="9.75" customHeight="1" spans="1:54">
      <c r="A22" s="75"/>
      <c r="B22" s="76"/>
      <c r="C22" s="76"/>
      <c r="D22" s="76"/>
      <c r="E22" s="76"/>
      <c r="F22" s="76"/>
      <c r="G22" s="76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2"/>
      <c r="AI22" s="72"/>
      <c r="AJ22" s="72"/>
      <c r="AK22" s="72"/>
      <c r="AL22" s="72"/>
      <c r="AM22" s="72"/>
      <c r="AN22" s="72"/>
      <c r="AO22" s="72"/>
      <c r="AP22" s="73"/>
      <c r="AQ22" s="73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101"/>
    </row>
    <row r="23" ht="4.5" customHeight="1" spans="1:54">
      <c r="A23" s="77"/>
      <c r="B23" s="78"/>
      <c r="C23" s="78"/>
      <c r="D23" s="78"/>
      <c r="E23" s="78"/>
      <c r="F23" s="78"/>
      <c r="G23" s="78"/>
      <c r="H23" s="79"/>
      <c r="I23" s="79"/>
      <c r="J23" s="79"/>
      <c r="K23" s="79"/>
      <c r="L23" s="79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95"/>
      <c r="AI23" s="95"/>
      <c r="AJ23" s="95"/>
      <c r="AK23" s="95"/>
      <c r="AL23" s="95"/>
      <c r="AM23" s="95"/>
      <c r="AN23" s="95"/>
      <c r="AO23" s="95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102"/>
    </row>
    <row r="24" customHeight="1" spans="1:54">
      <c r="A24" s="80" t="s">
        <v>32</v>
      </c>
      <c r="B24" s="81"/>
      <c r="C24" s="81"/>
      <c r="D24" s="81"/>
      <c r="E24" s="81"/>
      <c r="F24" s="81"/>
      <c r="G24" s="81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99" t="s">
        <v>34</v>
      </c>
      <c r="AQ24" s="99"/>
      <c r="AR24" s="99"/>
      <c r="AS24" s="99"/>
      <c r="AT24" s="99"/>
      <c r="AU24" s="99"/>
      <c r="AV24" s="82"/>
      <c r="AW24" s="82"/>
      <c r="AX24" s="82"/>
      <c r="AY24" s="82"/>
      <c r="AZ24" s="82"/>
      <c r="BA24" s="82"/>
      <c r="BB24" s="103"/>
    </row>
    <row r="25" customHeight="1" spans="1:54">
      <c r="A25" s="83"/>
      <c r="B25" s="84"/>
      <c r="C25" s="84"/>
      <c r="D25" s="84"/>
      <c r="E25" s="84"/>
      <c r="F25" s="84"/>
      <c r="G25" s="84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72"/>
      <c r="AQ25" s="72"/>
      <c r="AR25" s="72"/>
      <c r="AS25" s="72"/>
      <c r="AT25" s="72"/>
      <c r="AU25" s="72"/>
      <c r="AV25" s="85"/>
      <c r="AW25" s="85"/>
      <c r="AX25" s="85"/>
      <c r="AY25" s="85"/>
      <c r="AZ25" s="85"/>
      <c r="BA25" s="85"/>
      <c r="BB25" s="104"/>
    </row>
    <row r="26" customHeight="1" spans="1:54">
      <c r="A26" s="71" t="s">
        <v>36</v>
      </c>
      <c r="B26" s="72"/>
      <c r="C26" s="72"/>
      <c r="D26" s="72"/>
      <c r="E26" s="72"/>
      <c r="F26" s="72"/>
      <c r="G26" s="72"/>
      <c r="H26" s="72" t="s">
        <v>37</v>
      </c>
      <c r="I26" s="72"/>
      <c r="J26" s="72"/>
      <c r="K26" s="72"/>
      <c r="L26" s="72"/>
      <c r="M26" s="72"/>
      <c r="N26" s="72" t="s">
        <v>79</v>
      </c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 t="s">
        <v>39</v>
      </c>
      <c r="AQ26" s="72"/>
      <c r="AR26" s="72"/>
      <c r="AS26" s="72"/>
      <c r="AT26" s="72"/>
      <c r="AU26" s="72"/>
      <c r="AV26" s="72" t="s">
        <v>40</v>
      </c>
      <c r="AW26" s="72"/>
      <c r="AX26" s="72"/>
      <c r="AY26" s="72"/>
      <c r="AZ26" s="72"/>
      <c r="BA26" s="72"/>
      <c r="BB26" s="105"/>
    </row>
    <row r="27" customHeight="1" spans="1:54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105"/>
    </row>
    <row r="28" customHeight="1" spans="1:54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>
        <v>1</v>
      </c>
      <c r="O28" s="72"/>
      <c r="P28" s="72"/>
      <c r="Q28" s="72"/>
      <c r="R28" s="72">
        <v>2</v>
      </c>
      <c r="S28" s="72"/>
      <c r="T28" s="72"/>
      <c r="U28" s="72"/>
      <c r="V28" s="72">
        <v>3</v>
      </c>
      <c r="W28" s="72"/>
      <c r="X28" s="72"/>
      <c r="Y28" s="72"/>
      <c r="Z28" s="72">
        <v>4</v>
      </c>
      <c r="AA28" s="72"/>
      <c r="AB28" s="72"/>
      <c r="AC28" s="72"/>
      <c r="AD28" s="72">
        <v>5</v>
      </c>
      <c r="AE28" s="72"/>
      <c r="AF28" s="72"/>
      <c r="AG28" s="72"/>
      <c r="AH28" s="72">
        <v>6</v>
      </c>
      <c r="AI28" s="72"/>
      <c r="AJ28" s="72"/>
      <c r="AK28" s="72"/>
      <c r="AL28" s="72" t="s">
        <v>41</v>
      </c>
      <c r="AM28" s="72"/>
      <c r="AN28" s="72"/>
      <c r="AO28" s="72"/>
      <c r="AP28" s="72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105"/>
    </row>
    <row r="29" customHeight="1" spans="1:54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105"/>
    </row>
    <row r="30" ht="9" customHeight="1" spans="1:54">
      <c r="A30" s="86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85"/>
      <c r="AE30" s="85"/>
      <c r="AF30" s="85"/>
      <c r="AG30" s="85"/>
      <c r="AH30" s="85"/>
      <c r="AI30" s="85"/>
      <c r="AJ30" s="85"/>
      <c r="AK30" s="85"/>
      <c r="AL30" s="93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104"/>
    </row>
    <row r="31" ht="9" customHeight="1" spans="1:54">
      <c r="A31" s="86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104"/>
    </row>
    <row r="32" ht="9" customHeight="1" spans="1:54">
      <c r="A32" s="87"/>
      <c r="B32" s="88"/>
      <c r="C32" s="88"/>
      <c r="D32" s="88"/>
      <c r="E32" s="88"/>
      <c r="F32" s="88"/>
      <c r="G32" s="89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104"/>
    </row>
    <row r="33" ht="9" customHeight="1" spans="1:54">
      <c r="A33" s="90"/>
      <c r="B33" s="91"/>
      <c r="C33" s="91"/>
      <c r="D33" s="91"/>
      <c r="E33" s="91"/>
      <c r="F33" s="91"/>
      <c r="G33" s="92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104"/>
    </row>
    <row r="34" ht="9" customHeight="1" spans="1:54">
      <c r="A34" s="87"/>
      <c r="B34" s="88"/>
      <c r="C34" s="88"/>
      <c r="D34" s="88"/>
      <c r="E34" s="88"/>
      <c r="F34" s="88"/>
      <c r="G34" s="89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104"/>
    </row>
    <row r="35" ht="9" customHeight="1" spans="1:54">
      <c r="A35" s="90"/>
      <c r="B35" s="91"/>
      <c r="C35" s="91"/>
      <c r="D35" s="91"/>
      <c r="E35" s="91"/>
      <c r="F35" s="91"/>
      <c r="G35" s="92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104"/>
    </row>
    <row r="36" ht="9" customHeight="1" spans="1:54">
      <c r="A36" s="87"/>
      <c r="B36" s="88"/>
      <c r="C36" s="88"/>
      <c r="D36" s="88"/>
      <c r="E36" s="88"/>
      <c r="F36" s="88"/>
      <c r="G36" s="89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104"/>
    </row>
    <row r="37" ht="9" customHeight="1" spans="1:54">
      <c r="A37" s="90"/>
      <c r="B37" s="91"/>
      <c r="C37" s="91"/>
      <c r="D37" s="91"/>
      <c r="E37" s="91"/>
      <c r="F37" s="91"/>
      <c r="G37" s="92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104"/>
    </row>
    <row r="38" ht="9" customHeight="1" spans="1:54">
      <c r="A38" s="87"/>
      <c r="B38" s="88"/>
      <c r="C38" s="88"/>
      <c r="D38" s="88"/>
      <c r="E38" s="88"/>
      <c r="F38" s="88"/>
      <c r="G38" s="89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104"/>
    </row>
    <row r="39" ht="9" customHeight="1" spans="1:54">
      <c r="A39" s="90"/>
      <c r="B39" s="91"/>
      <c r="C39" s="91"/>
      <c r="D39" s="91"/>
      <c r="E39" s="91"/>
      <c r="F39" s="91"/>
      <c r="G39" s="92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104"/>
    </row>
    <row r="40" ht="9" customHeight="1" spans="1:54">
      <c r="A40" s="87"/>
      <c r="B40" s="88"/>
      <c r="C40" s="88"/>
      <c r="D40" s="88"/>
      <c r="E40" s="88"/>
      <c r="F40" s="88"/>
      <c r="G40" s="89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104"/>
    </row>
    <row r="41" ht="9" customHeight="1" spans="1:54">
      <c r="A41" s="90"/>
      <c r="B41" s="91"/>
      <c r="C41" s="91"/>
      <c r="D41" s="91"/>
      <c r="E41" s="91"/>
      <c r="F41" s="91"/>
      <c r="G41" s="92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104"/>
    </row>
    <row r="42" ht="9" customHeight="1" spans="1:54">
      <c r="A42" s="87"/>
      <c r="B42" s="88"/>
      <c r="C42" s="88"/>
      <c r="D42" s="88"/>
      <c r="E42" s="88"/>
      <c r="F42" s="88"/>
      <c r="G42" s="89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104"/>
    </row>
    <row r="43" ht="9" customHeight="1" spans="1:54">
      <c r="A43" s="90"/>
      <c r="B43" s="91"/>
      <c r="C43" s="91"/>
      <c r="D43" s="91"/>
      <c r="E43" s="91"/>
      <c r="F43" s="91"/>
      <c r="G43" s="92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104"/>
    </row>
    <row r="44" ht="9" customHeight="1" spans="1:54">
      <c r="A44" s="87" t="s">
        <v>42</v>
      </c>
      <c r="B44" s="88"/>
      <c r="C44" s="88"/>
      <c r="D44" s="88"/>
      <c r="E44" s="88"/>
      <c r="F44" s="88"/>
      <c r="G44" s="89"/>
      <c r="H44" s="85" t="s">
        <v>42</v>
      </c>
      <c r="I44" s="85"/>
      <c r="J44" s="85"/>
      <c r="K44" s="85"/>
      <c r="L44" s="85"/>
      <c r="M44" s="85"/>
      <c r="N44" s="85" t="s">
        <v>42</v>
      </c>
      <c r="O44" s="85"/>
      <c r="P44" s="85"/>
      <c r="Q44" s="85"/>
      <c r="R44" s="85" t="s">
        <v>42</v>
      </c>
      <c r="S44" s="85"/>
      <c r="T44" s="85"/>
      <c r="U44" s="85"/>
      <c r="V44" s="85" t="s">
        <v>42</v>
      </c>
      <c r="W44" s="85"/>
      <c r="X44" s="85"/>
      <c r="Y44" s="85"/>
      <c r="Z44" s="85" t="s">
        <v>42</v>
      </c>
      <c r="AA44" s="85"/>
      <c r="AB44" s="85"/>
      <c r="AC44" s="85"/>
      <c r="AD44" s="85" t="s">
        <v>42</v>
      </c>
      <c r="AE44" s="85"/>
      <c r="AF44" s="85"/>
      <c r="AG44" s="85"/>
      <c r="AH44" s="85" t="s">
        <v>42</v>
      </c>
      <c r="AI44" s="85"/>
      <c r="AJ44" s="85"/>
      <c r="AK44" s="85"/>
      <c r="AL44" s="85" t="s">
        <v>42</v>
      </c>
      <c r="AM44" s="85"/>
      <c r="AN44" s="85"/>
      <c r="AO44" s="85"/>
      <c r="AP44" s="85" t="s">
        <v>42</v>
      </c>
      <c r="AQ44" s="85"/>
      <c r="AR44" s="85"/>
      <c r="AS44" s="85"/>
      <c r="AT44" s="85"/>
      <c r="AU44" s="85"/>
      <c r="AV44" s="85" t="s">
        <v>42</v>
      </c>
      <c r="AW44" s="85"/>
      <c r="AX44" s="85"/>
      <c r="AY44" s="85"/>
      <c r="AZ44" s="85"/>
      <c r="BA44" s="85"/>
      <c r="BB44" s="104"/>
    </row>
    <row r="45" ht="9" customHeight="1" spans="1:54">
      <c r="A45" s="90"/>
      <c r="B45" s="91"/>
      <c r="C45" s="91"/>
      <c r="D45" s="91"/>
      <c r="E45" s="91"/>
      <c r="F45" s="91"/>
      <c r="G45" s="92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104"/>
    </row>
    <row r="46" ht="9" customHeight="1" spans="1:54">
      <c r="A46" s="87" t="s">
        <v>42</v>
      </c>
      <c r="B46" s="88"/>
      <c r="C46" s="88"/>
      <c r="D46" s="88"/>
      <c r="E46" s="88"/>
      <c r="F46" s="88"/>
      <c r="G46" s="89"/>
      <c r="H46" s="85" t="s">
        <v>42</v>
      </c>
      <c r="I46" s="85"/>
      <c r="J46" s="85"/>
      <c r="K46" s="85"/>
      <c r="L46" s="85"/>
      <c r="M46" s="85"/>
      <c r="N46" s="85" t="s">
        <v>42</v>
      </c>
      <c r="O46" s="85"/>
      <c r="P46" s="85"/>
      <c r="Q46" s="85"/>
      <c r="R46" s="85" t="s">
        <v>42</v>
      </c>
      <c r="S46" s="85"/>
      <c r="T46" s="85"/>
      <c r="U46" s="85"/>
      <c r="V46" s="85" t="s">
        <v>42</v>
      </c>
      <c r="W46" s="85"/>
      <c r="X46" s="85"/>
      <c r="Y46" s="85"/>
      <c r="Z46" s="85" t="s">
        <v>42</v>
      </c>
      <c r="AA46" s="85"/>
      <c r="AB46" s="85"/>
      <c r="AC46" s="85"/>
      <c r="AD46" s="85" t="s">
        <v>42</v>
      </c>
      <c r="AE46" s="85"/>
      <c r="AF46" s="85"/>
      <c r="AG46" s="85"/>
      <c r="AH46" s="85" t="s">
        <v>42</v>
      </c>
      <c r="AI46" s="85"/>
      <c r="AJ46" s="85"/>
      <c r="AK46" s="85"/>
      <c r="AL46" s="85" t="s">
        <v>42</v>
      </c>
      <c r="AM46" s="85"/>
      <c r="AN46" s="85"/>
      <c r="AO46" s="85"/>
      <c r="AP46" s="85" t="s">
        <v>42</v>
      </c>
      <c r="AQ46" s="85"/>
      <c r="AR46" s="85"/>
      <c r="AS46" s="85"/>
      <c r="AT46" s="85"/>
      <c r="AU46" s="85"/>
      <c r="AV46" s="85" t="s">
        <v>42</v>
      </c>
      <c r="AW46" s="85"/>
      <c r="AX46" s="85"/>
      <c r="AY46" s="85"/>
      <c r="AZ46" s="85"/>
      <c r="BA46" s="85"/>
      <c r="BB46" s="104"/>
    </row>
    <row r="47" ht="9" customHeight="1" spans="1:54">
      <c r="A47" s="90"/>
      <c r="B47" s="91"/>
      <c r="C47" s="91"/>
      <c r="D47" s="91"/>
      <c r="E47" s="91"/>
      <c r="F47" s="91"/>
      <c r="G47" s="92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104"/>
    </row>
    <row r="48" ht="9" customHeight="1" spans="1:54">
      <c r="A48" s="87" t="s">
        <v>42</v>
      </c>
      <c r="B48" s="88"/>
      <c r="C48" s="88"/>
      <c r="D48" s="88"/>
      <c r="E48" s="88"/>
      <c r="F48" s="88"/>
      <c r="G48" s="89"/>
      <c r="H48" s="85" t="s">
        <v>42</v>
      </c>
      <c r="I48" s="85"/>
      <c r="J48" s="85"/>
      <c r="K48" s="85"/>
      <c r="L48" s="85"/>
      <c r="M48" s="85"/>
      <c r="N48" s="85" t="s">
        <v>42</v>
      </c>
      <c r="O48" s="85"/>
      <c r="P48" s="85"/>
      <c r="Q48" s="85"/>
      <c r="R48" s="85" t="s">
        <v>42</v>
      </c>
      <c r="S48" s="85"/>
      <c r="T48" s="85"/>
      <c r="U48" s="85"/>
      <c r="V48" s="85" t="s">
        <v>42</v>
      </c>
      <c r="W48" s="85"/>
      <c r="X48" s="85"/>
      <c r="Y48" s="85"/>
      <c r="Z48" s="85" t="s">
        <v>42</v>
      </c>
      <c r="AA48" s="85"/>
      <c r="AB48" s="85"/>
      <c r="AC48" s="85"/>
      <c r="AD48" s="85" t="s">
        <v>42</v>
      </c>
      <c r="AE48" s="85"/>
      <c r="AF48" s="85"/>
      <c r="AG48" s="85"/>
      <c r="AH48" s="85" t="s">
        <v>42</v>
      </c>
      <c r="AI48" s="85"/>
      <c r="AJ48" s="85"/>
      <c r="AK48" s="85"/>
      <c r="AL48" s="85" t="s">
        <v>42</v>
      </c>
      <c r="AM48" s="85"/>
      <c r="AN48" s="85"/>
      <c r="AO48" s="85"/>
      <c r="AP48" s="85" t="s">
        <v>42</v>
      </c>
      <c r="AQ48" s="85"/>
      <c r="AR48" s="85"/>
      <c r="AS48" s="85"/>
      <c r="AT48" s="85"/>
      <c r="AU48" s="85"/>
      <c r="AV48" s="85" t="s">
        <v>42</v>
      </c>
      <c r="AW48" s="85"/>
      <c r="AX48" s="85"/>
      <c r="AY48" s="85"/>
      <c r="AZ48" s="85"/>
      <c r="BA48" s="85"/>
      <c r="BB48" s="104"/>
    </row>
    <row r="49" ht="9" customHeight="1" spans="1:54">
      <c r="A49" s="90"/>
      <c r="B49" s="91"/>
      <c r="C49" s="91"/>
      <c r="D49" s="91"/>
      <c r="E49" s="91"/>
      <c r="F49" s="91"/>
      <c r="G49" s="92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104"/>
    </row>
    <row r="50" ht="9" customHeight="1" spans="1:54">
      <c r="A50" s="87" t="s">
        <v>42</v>
      </c>
      <c r="B50" s="88"/>
      <c r="C50" s="88"/>
      <c r="D50" s="88"/>
      <c r="E50" s="88"/>
      <c r="F50" s="88"/>
      <c r="G50" s="89"/>
      <c r="H50" s="85" t="s">
        <v>42</v>
      </c>
      <c r="I50" s="85"/>
      <c r="J50" s="85"/>
      <c r="K50" s="85"/>
      <c r="L50" s="85"/>
      <c r="M50" s="85"/>
      <c r="N50" s="85" t="s">
        <v>42</v>
      </c>
      <c r="O50" s="85"/>
      <c r="P50" s="85"/>
      <c r="Q50" s="85"/>
      <c r="R50" s="85" t="s">
        <v>42</v>
      </c>
      <c r="S50" s="85"/>
      <c r="T50" s="85"/>
      <c r="U50" s="85"/>
      <c r="V50" s="85" t="s">
        <v>42</v>
      </c>
      <c r="W50" s="85"/>
      <c r="X50" s="85"/>
      <c r="Y50" s="85"/>
      <c r="Z50" s="85" t="s">
        <v>42</v>
      </c>
      <c r="AA50" s="85"/>
      <c r="AB50" s="85"/>
      <c r="AC50" s="85"/>
      <c r="AD50" s="85" t="s">
        <v>42</v>
      </c>
      <c r="AE50" s="85"/>
      <c r="AF50" s="85"/>
      <c r="AG50" s="85"/>
      <c r="AH50" s="85" t="s">
        <v>42</v>
      </c>
      <c r="AI50" s="85"/>
      <c r="AJ50" s="85"/>
      <c r="AK50" s="85"/>
      <c r="AL50" s="85" t="s">
        <v>42</v>
      </c>
      <c r="AM50" s="85"/>
      <c r="AN50" s="85"/>
      <c r="AO50" s="85"/>
      <c r="AP50" s="85" t="s">
        <v>42</v>
      </c>
      <c r="AQ50" s="85"/>
      <c r="AR50" s="85"/>
      <c r="AS50" s="85"/>
      <c r="AT50" s="85"/>
      <c r="AU50" s="85"/>
      <c r="AV50" s="85" t="s">
        <v>42</v>
      </c>
      <c r="AW50" s="85"/>
      <c r="AX50" s="85"/>
      <c r="AY50" s="85"/>
      <c r="AZ50" s="85"/>
      <c r="BA50" s="85"/>
      <c r="BB50" s="104"/>
    </row>
    <row r="51" ht="9" customHeight="1" spans="1:54">
      <c r="A51" s="90"/>
      <c r="B51" s="91"/>
      <c r="C51" s="91"/>
      <c r="D51" s="91"/>
      <c r="E51" s="91"/>
      <c r="F51" s="91"/>
      <c r="G51" s="92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104"/>
    </row>
    <row r="52" ht="9" customHeight="1" spans="1:54">
      <c r="A52" s="87" t="s">
        <v>42</v>
      </c>
      <c r="B52" s="88"/>
      <c r="C52" s="88"/>
      <c r="D52" s="88"/>
      <c r="E52" s="88"/>
      <c r="F52" s="88"/>
      <c r="G52" s="89"/>
      <c r="H52" s="85" t="s">
        <v>42</v>
      </c>
      <c r="I52" s="85"/>
      <c r="J52" s="85"/>
      <c r="K52" s="85"/>
      <c r="L52" s="85"/>
      <c r="M52" s="85"/>
      <c r="N52" s="85" t="s">
        <v>42</v>
      </c>
      <c r="O52" s="85"/>
      <c r="P52" s="85"/>
      <c r="Q52" s="85"/>
      <c r="R52" s="85" t="s">
        <v>42</v>
      </c>
      <c r="S52" s="85"/>
      <c r="T52" s="85"/>
      <c r="U52" s="85"/>
      <c r="V52" s="85" t="s">
        <v>42</v>
      </c>
      <c r="W52" s="85"/>
      <c r="X52" s="85"/>
      <c r="Y52" s="85"/>
      <c r="Z52" s="85" t="s">
        <v>42</v>
      </c>
      <c r="AA52" s="85"/>
      <c r="AB52" s="85"/>
      <c r="AC52" s="85"/>
      <c r="AD52" s="85" t="s">
        <v>42</v>
      </c>
      <c r="AE52" s="85"/>
      <c r="AF52" s="85"/>
      <c r="AG52" s="85"/>
      <c r="AH52" s="85" t="s">
        <v>42</v>
      </c>
      <c r="AI52" s="85"/>
      <c r="AJ52" s="85"/>
      <c r="AK52" s="85"/>
      <c r="AL52" s="85" t="s">
        <v>42</v>
      </c>
      <c r="AM52" s="85"/>
      <c r="AN52" s="85"/>
      <c r="AO52" s="85"/>
      <c r="AP52" s="85" t="s">
        <v>42</v>
      </c>
      <c r="AQ52" s="85"/>
      <c r="AR52" s="85"/>
      <c r="AS52" s="85"/>
      <c r="AT52" s="85"/>
      <c r="AU52" s="85"/>
      <c r="AV52" s="85" t="s">
        <v>42</v>
      </c>
      <c r="AW52" s="85"/>
      <c r="AX52" s="85"/>
      <c r="AY52" s="85"/>
      <c r="AZ52" s="85"/>
      <c r="BA52" s="85"/>
      <c r="BB52" s="104"/>
    </row>
    <row r="53" ht="9" customHeight="1" spans="1:54">
      <c r="A53" s="90"/>
      <c r="B53" s="91"/>
      <c r="C53" s="91"/>
      <c r="D53" s="91"/>
      <c r="E53" s="91"/>
      <c r="F53" s="91"/>
      <c r="G53" s="92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104"/>
    </row>
    <row r="54" ht="9" customHeight="1" spans="1:54">
      <c r="A54" s="87" t="s">
        <v>42</v>
      </c>
      <c r="B54" s="88"/>
      <c r="C54" s="88"/>
      <c r="D54" s="88"/>
      <c r="E54" s="88"/>
      <c r="F54" s="88"/>
      <c r="G54" s="89"/>
      <c r="H54" s="85" t="s">
        <v>42</v>
      </c>
      <c r="I54" s="85"/>
      <c r="J54" s="85"/>
      <c r="K54" s="85"/>
      <c r="L54" s="85"/>
      <c r="M54" s="85"/>
      <c r="N54" s="85" t="s">
        <v>42</v>
      </c>
      <c r="O54" s="85"/>
      <c r="P54" s="85"/>
      <c r="Q54" s="85"/>
      <c r="R54" s="85" t="s">
        <v>42</v>
      </c>
      <c r="S54" s="85"/>
      <c r="T54" s="85"/>
      <c r="U54" s="85"/>
      <c r="V54" s="85" t="s">
        <v>42</v>
      </c>
      <c r="W54" s="85"/>
      <c r="X54" s="85"/>
      <c r="Y54" s="85"/>
      <c r="Z54" s="85" t="s">
        <v>42</v>
      </c>
      <c r="AA54" s="85"/>
      <c r="AB54" s="85"/>
      <c r="AC54" s="85"/>
      <c r="AD54" s="85" t="s">
        <v>42</v>
      </c>
      <c r="AE54" s="85"/>
      <c r="AF54" s="85"/>
      <c r="AG54" s="85"/>
      <c r="AH54" s="85" t="s">
        <v>42</v>
      </c>
      <c r="AI54" s="85"/>
      <c r="AJ54" s="85"/>
      <c r="AK54" s="85"/>
      <c r="AL54" s="85" t="s">
        <v>42</v>
      </c>
      <c r="AM54" s="85"/>
      <c r="AN54" s="85"/>
      <c r="AO54" s="85"/>
      <c r="AP54" s="85" t="s">
        <v>42</v>
      </c>
      <c r="AQ54" s="85"/>
      <c r="AR54" s="85"/>
      <c r="AS54" s="85"/>
      <c r="AT54" s="85"/>
      <c r="AU54" s="85"/>
      <c r="AV54" s="85" t="s">
        <v>42</v>
      </c>
      <c r="AW54" s="85"/>
      <c r="AX54" s="85"/>
      <c r="AY54" s="85"/>
      <c r="AZ54" s="85"/>
      <c r="BA54" s="85"/>
      <c r="BB54" s="104"/>
    </row>
    <row r="55" ht="9" customHeight="1" spans="1:54">
      <c r="A55" s="90"/>
      <c r="B55" s="91"/>
      <c r="C55" s="91"/>
      <c r="D55" s="91"/>
      <c r="E55" s="91"/>
      <c r="F55" s="91"/>
      <c r="G55" s="92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104"/>
    </row>
    <row r="56" ht="9" customHeight="1" spans="1:54">
      <c r="A56" s="87" t="s">
        <v>42</v>
      </c>
      <c r="B56" s="88"/>
      <c r="C56" s="88"/>
      <c r="D56" s="88"/>
      <c r="E56" s="88"/>
      <c r="F56" s="88"/>
      <c r="G56" s="89"/>
      <c r="H56" s="85" t="s">
        <v>42</v>
      </c>
      <c r="I56" s="85"/>
      <c r="J56" s="85"/>
      <c r="K56" s="85"/>
      <c r="L56" s="85"/>
      <c r="M56" s="85"/>
      <c r="N56" s="85" t="s">
        <v>42</v>
      </c>
      <c r="O56" s="85"/>
      <c r="P56" s="85"/>
      <c r="Q56" s="85"/>
      <c r="R56" s="85" t="s">
        <v>42</v>
      </c>
      <c r="S56" s="85"/>
      <c r="T56" s="85"/>
      <c r="U56" s="85"/>
      <c r="V56" s="85" t="s">
        <v>42</v>
      </c>
      <c r="W56" s="85"/>
      <c r="X56" s="85"/>
      <c r="Y56" s="85"/>
      <c r="Z56" s="85" t="s">
        <v>42</v>
      </c>
      <c r="AA56" s="85"/>
      <c r="AB56" s="85"/>
      <c r="AC56" s="85"/>
      <c r="AD56" s="85" t="s">
        <v>42</v>
      </c>
      <c r="AE56" s="85"/>
      <c r="AF56" s="85"/>
      <c r="AG56" s="85"/>
      <c r="AH56" s="85" t="s">
        <v>42</v>
      </c>
      <c r="AI56" s="85"/>
      <c r="AJ56" s="85"/>
      <c r="AK56" s="85"/>
      <c r="AL56" s="85" t="s">
        <v>42</v>
      </c>
      <c r="AM56" s="85"/>
      <c r="AN56" s="85"/>
      <c r="AO56" s="85"/>
      <c r="AP56" s="85" t="s">
        <v>42</v>
      </c>
      <c r="AQ56" s="85"/>
      <c r="AR56" s="85"/>
      <c r="AS56" s="85"/>
      <c r="AT56" s="85"/>
      <c r="AU56" s="85"/>
      <c r="AV56" s="85" t="s">
        <v>42</v>
      </c>
      <c r="AW56" s="85"/>
      <c r="AX56" s="85"/>
      <c r="AY56" s="85"/>
      <c r="AZ56" s="85"/>
      <c r="BA56" s="85"/>
      <c r="BB56" s="104"/>
    </row>
    <row r="57" ht="9" customHeight="1" spans="1:54">
      <c r="A57" s="90"/>
      <c r="B57" s="91"/>
      <c r="C57" s="91"/>
      <c r="D57" s="91"/>
      <c r="E57" s="91"/>
      <c r="F57" s="91"/>
      <c r="G57" s="92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104"/>
    </row>
    <row r="58" ht="9" customHeight="1" spans="1:54">
      <c r="A58" s="87" t="s">
        <v>42</v>
      </c>
      <c r="B58" s="88"/>
      <c r="C58" s="88"/>
      <c r="D58" s="88"/>
      <c r="E58" s="88"/>
      <c r="F58" s="88"/>
      <c r="G58" s="89"/>
      <c r="H58" s="85" t="s">
        <v>42</v>
      </c>
      <c r="I58" s="85"/>
      <c r="J58" s="85"/>
      <c r="K58" s="85"/>
      <c r="L58" s="85"/>
      <c r="M58" s="85"/>
      <c r="N58" s="85" t="s">
        <v>42</v>
      </c>
      <c r="O58" s="85"/>
      <c r="P58" s="85"/>
      <c r="Q58" s="85"/>
      <c r="R58" s="85" t="s">
        <v>42</v>
      </c>
      <c r="S58" s="85"/>
      <c r="T58" s="85"/>
      <c r="U58" s="85"/>
      <c r="V58" s="85" t="s">
        <v>42</v>
      </c>
      <c r="W58" s="85"/>
      <c r="X58" s="85"/>
      <c r="Y58" s="85"/>
      <c r="Z58" s="85" t="s">
        <v>42</v>
      </c>
      <c r="AA58" s="85"/>
      <c r="AB58" s="85"/>
      <c r="AC58" s="85"/>
      <c r="AD58" s="85" t="s">
        <v>42</v>
      </c>
      <c r="AE58" s="85"/>
      <c r="AF58" s="85"/>
      <c r="AG58" s="85"/>
      <c r="AH58" s="85" t="s">
        <v>42</v>
      </c>
      <c r="AI58" s="85"/>
      <c r="AJ58" s="85"/>
      <c r="AK58" s="85"/>
      <c r="AL58" s="85" t="s">
        <v>42</v>
      </c>
      <c r="AM58" s="85"/>
      <c r="AN58" s="85"/>
      <c r="AO58" s="85"/>
      <c r="AP58" s="85" t="s">
        <v>42</v>
      </c>
      <c r="AQ58" s="85"/>
      <c r="AR58" s="85"/>
      <c r="AS58" s="85"/>
      <c r="AT58" s="85"/>
      <c r="AU58" s="85"/>
      <c r="AV58" s="85" t="s">
        <v>42</v>
      </c>
      <c r="AW58" s="85"/>
      <c r="AX58" s="85"/>
      <c r="AY58" s="85"/>
      <c r="AZ58" s="85"/>
      <c r="BA58" s="85"/>
      <c r="BB58" s="104"/>
    </row>
    <row r="59" ht="9" customHeight="1" spans="1:54">
      <c r="A59" s="90"/>
      <c r="B59" s="91"/>
      <c r="C59" s="91"/>
      <c r="D59" s="91"/>
      <c r="E59" s="91"/>
      <c r="F59" s="91"/>
      <c r="G59" s="92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104"/>
    </row>
    <row r="60" ht="9" customHeight="1" spans="1:54">
      <c r="A60" s="87" t="s">
        <v>42</v>
      </c>
      <c r="B60" s="88"/>
      <c r="C60" s="88"/>
      <c r="D60" s="88"/>
      <c r="E60" s="88"/>
      <c r="F60" s="88"/>
      <c r="G60" s="89"/>
      <c r="H60" s="85" t="s">
        <v>42</v>
      </c>
      <c r="I60" s="85"/>
      <c r="J60" s="85"/>
      <c r="K60" s="85"/>
      <c r="L60" s="85"/>
      <c r="M60" s="85"/>
      <c r="N60" s="85" t="s">
        <v>42</v>
      </c>
      <c r="O60" s="85"/>
      <c r="P60" s="85"/>
      <c r="Q60" s="85"/>
      <c r="R60" s="85" t="s">
        <v>42</v>
      </c>
      <c r="S60" s="85"/>
      <c r="T60" s="85"/>
      <c r="U60" s="85"/>
      <c r="V60" s="85" t="s">
        <v>42</v>
      </c>
      <c r="W60" s="85"/>
      <c r="X60" s="85"/>
      <c r="Y60" s="85"/>
      <c r="Z60" s="85" t="s">
        <v>42</v>
      </c>
      <c r="AA60" s="85"/>
      <c r="AB60" s="85"/>
      <c r="AC60" s="85"/>
      <c r="AD60" s="85" t="s">
        <v>42</v>
      </c>
      <c r="AE60" s="85"/>
      <c r="AF60" s="85"/>
      <c r="AG60" s="85"/>
      <c r="AH60" s="85" t="s">
        <v>42</v>
      </c>
      <c r="AI60" s="85"/>
      <c r="AJ60" s="85"/>
      <c r="AK60" s="85"/>
      <c r="AL60" s="85" t="s">
        <v>42</v>
      </c>
      <c r="AM60" s="85"/>
      <c r="AN60" s="85"/>
      <c r="AO60" s="85"/>
      <c r="AP60" s="85" t="s">
        <v>42</v>
      </c>
      <c r="AQ60" s="85"/>
      <c r="AR60" s="85"/>
      <c r="AS60" s="85"/>
      <c r="AT60" s="85"/>
      <c r="AU60" s="85"/>
      <c r="AV60" s="85" t="s">
        <v>42</v>
      </c>
      <c r="AW60" s="85"/>
      <c r="AX60" s="85"/>
      <c r="AY60" s="85"/>
      <c r="AZ60" s="85"/>
      <c r="BA60" s="85"/>
      <c r="BB60" s="104"/>
    </row>
    <row r="61" ht="9" customHeight="1" spans="1:54">
      <c r="A61" s="90"/>
      <c r="B61" s="91"/>
      <c r="C61" s="91"/>
      <c r="D61" s="91"/>
      <c r="E61" s="91"/>
      <c r="F61" s="91"/>
      <c r="G61" s="92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104"/>
    </row>
    <row r="62" ht="9" customHeight="1" spans="1:54">
      <c r="A62" s="87" t="s">
        <v>42</v>
      </c>
      <c r="B62" s="88"/>
      <c r="C62" s="88"/>
      <c r="D62" s="88"/>
      <c r="E62" s="88"/>
      <c r="F62" s="88"/>
      <c r="G62" s="89"/>
      <c r="H62" s="85" t="s">
        <v>42</v>
      </c>
      <c r="I62" s="85"/>
      <c r="J62" s="85"/>
      <c r="K62" s="85"/>
      <c r="L62" s="85"/>
      <c r="M62" s="85"/>
      <c r="N62" s="85" t="s">
        <v>42</v>
      </c>
      <c r="O62" s="85"/>
      <c r="P62" s="85"/>
      <c r="Q62" s="85"/>
      <c r="R62" s="85" t="s">
        <v>42</v>
      </c>
      <c r="S62" s="85"/>
      <c r="T62" s="85"/>
      <c r="U62" s="85"/>
      <c r="V62" s="85" t="s">
        <v>42</v>
      </c>
      <c r="W62" s="85"/>
      <c r="X62" s="85"/>
      <c r="Y62" s="85"/>
      <c r="Z62" s="85" t="s">
        <v>42</v>
      </c>
      <c r="AA62" s="85"/>
      <c r="AB62" s="85"/>
      <c r="AC62" s="85"/>
      <c r="AD62" s="85" t="s">
        <v>42</v>
      </c>
      <c r="AE62" s="85"/>
      <c r="AF62" s="85"/>
      <c r="AG62" s="85"/>
      <c r="AH62" s="85" t="s">
        <v>42</v>
      </c>
      <c r="AI62" s="85"/>
      <c r="AJ62" s="85"/>
      <c r="AK62" s="85"/>
      <c r="AL62" s="85" t="s">
        <v>42</v>
      </c>
      <c r="AM62" s="85"/>
      <c r="AN62" s="85"/>
      <c r="AO62" s="85"/>
      <c r="AP62" s="85" t="s">
        <v>42</v>
      </c>
      <c r="AQ62" s="85"/>
      <c r="AR62" s="85"/>
      <c r="AS62" s="85"/>
      <c r="AT62" s="85"/>
      <c r="AU62" s="85"/>
      <c r="AV62" s="85" t="s">
        <v>42</v>
      </c>
      <c r="AW62" s="85"/>
      <c r="AX62" s="85"/>
      <c r="AY62" s="85"/>
      <c r="AZ62" s="85"/>
      <c r="BA62" s="85"/>
      <c r="BB62" s="104"/>
    </row>
    <row r="63" ht="9" customHeight="1" spans="1:54">
      <c r="A63" s="90"/>
      <c r="B63" s="91"/>
      <c r="C63" s="91"/>
      <c r="D63" s="91"/>
      <c r="E63" s="91"/>
      <c r="F63" s="91"/>
      <c r="G63" s="92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104"/>
    </row>
    <row r="64" ht="9" customHeight="1" spans="1:54">
      <c r="A64" s="87" t="s">
        <v>42</v>
      </c>
      <c r="B64" s="88"/>
      <c r="C64" s="88"/>
      <c r="D64" s="88"/>
      <c r="E64" s="88"/>
      <c r="F64" s="88"/>
      <c r="G64" s="89"/>
      <c r="H64" s="85" t="s">
        <v>42</v>
      </c>
      <c r="I64" s="85"/>
      <c r="J64" s="85"/>
      <c r="K64" s="85"/>
      <c r="L64" s="85"/>
      <c r="M64" s="85"/>
      <c r="N64" s="85" t="s">
        <v>42</v>
      </c>
      <c r="O64" s="85"/>
      <c r="P64" s="85"/>
      <c r="Q64" s="85"/>
      <c r="R64" s="85" t="s">
        <v>42</v>
      </c>
      <c r="S64" s="85"/>
      <c r="T64" s="85"/>
      <c r="U64" s="85"/>
      <c r="V64" s="85" t="s">
        <v>42</v>
      </c>
      <c r="W64" s="85"/>
      <c r="X64" s="85"/>
      <c r="Y64" s="85"/>
      <c r="Z64" s="85" t="s">
        <v>42</v>
      </c>
      <c r="AA64" s="85"/>
      <c r="AB64" s="85"/>
      <c r="AC64" s="85"/>
      <c r="AD64" s="85" t="s">
        <v>42</v>
      </c>
      <c r="AE64" s="85"/>
      <c r="AF64" s="85"/>
      <c r="AG64" s="85"/>
      <c r="AH64" s="85" t="s">
        <v>42</v>
      </c>
      <c r="AI64" s="85"/>
      <c r="AJ64" s="85"/>
      <c r="AK64" s="85"/>
      <c r="AL64" s="85" t="s">
        <v>42</v>
      </c>
      <c r="AM64" s="85"/>
      <c r="AN64" s="85"/>
      <c r="AO64" s="85"/>
      <c r="AP64" s="85" t="s">
        <v>42</v>
      </c>
      <c r="AQ64" s="85"/>
      <c r="AR64" s="85"/>
      <c r="AS64" s="85"/>
      <c r="AT64" s="85"/>
      <c r="AU64" s="85"/>
      <c r="AV64" s="85" t="s">
        <v>42</v>
      </c>
      <c r="AW64" s="85"/>
      <c r="AX64" s="85"/>
      <c r="AY64" s="85"/>
      <c r="AZ64" s="85"/>
      <c r="BA64" s="85"/>
      <c r="BB64" s="104"/>
    </row>
    <row r="65" ht="9" customHeight="1" spans="1:54">
      <c r="A65" s="90"/>
      <c r="B65" s="91"/>
      <c r="C65" s="91"/>
      <c r="D65" s="91"/>
      <c r="E65" s="91"/>
      <c r="F65" s="91"/>
      <c r="G65" s="92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104"/>
    </row>
    <row r="66" ht="9" customHeight="1" spans="1:54">
      <c r="A66" s="87" t="s">
        <v>42</v>
      </c>
      <c r="B66" s="88"/>
      <c r="C66" s="88"/>
      <c r="D66" s="88"/>
      <c r="E66" s="88"/>
      <c r="F66" s="88"/>
      <c r="G66" s="89"/>
      <c r="H66" s="85" t="s">
        <v>42</v>
      </c>
      <c r="I66" s="85"/>
      <c r="J66" s="85"/>
      <c r="K66" s="85"/>
      <c r="L66" s="85"/>
      <c r="M66" s="85"/>
      <c r="N66" s="85" t="s">
        <v>42</v>
      </c>
      <c r="O66" s="85"/>
      <c r="P66" s="85"/>
      <c r="Q66" s="85"/>
      <c r="R66" s="85" t="s">
        <v>42</v>
      </c>
      <c r="S66" s="85"/>
      <c r="T66" s="85"/>
      <c r="U66" s="85"/>
      <c r="V66" s="85" t="s">
        <v>42</v>
      </c>
      <c r="W66" s="85"/>
      <c r="X66" s="85"/>
      <c r="Y66" s="85"/>
      <c r="Z66" s="85" t="s">
        <v>42</v>
      </c>
      <c r="AA66" s="85"/>
      <c r="AB66" s="85"/>
      <c r="AC66" s="85"/>
      <c r="AD66" s="85" t="s">
        <v>42</v>
      </c>
      <c r="AE66" s="85"/>
      <c r="AF66" s="85"/>
      <c r="AG66" s="85"/>
      <c r="AH66" s="85" t="s">
        <v>42</v>
      </c>
      <c r="AI66" s="85"/>
      <c r="AJ66" s="85"/>
      <c r="AK66" s="85"/>
      <c r="AL66" s="85" t="s">
        <v>42</v>
      </c>
      <c r="AM66" s="85"/>
      <c r="AN66" s="85"/>
      <c r="AO66" s="85"/>
      <c r="AP66" s="85" t="s">
        <v>42</v>
      </c>
      <c r="AQ66" s="85"/>
      <c r="AR66" s="85"/>
      <c r="AS66" s="85"/>
      <c r="AT66" s="85"/>
      <c r="AU66" s="85"/>
      <c r="AV66" s="85" t="s">
        <v>42</v>
      </c>
      <c r="AW66" s="85"/>
      <c r="AX66" s="85"/>
      <c r="AY66" s="85"/>
      <c r="AZ66" s="85"/>
      <c r="BA66" s="85"/>
      <c r="BB66" s="104"/>
    </row>
    <row r="67" ht="9" customHeight="1" spans="1:54">
      <c r="A67" s="90"/>
      <c r="B67" s="91"/>
      <c r="C67" s="91"/>
      <c r="D67" s="91"/>
      <c r="E67" s="91"/>
      <c r="F67" s="91"/>
      <c r="G67" s="92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104"/>
    </row>
    <row r="68" ht="9" customHeight="1" spans="1:54">
      <c r="A68" s="87" t="s">
        <v>42</v>
      </c>
      <c r="B68" s="88"/>
      <c r="C68" s="88"/>
      <c r="D68" s="88"/>
      <c r="E68" s="88"/>
      <c r="F68" s="88"/>
      <c r="G68" s="89"/>
      <c r="H68" s="106" t="s">
        <v>42</v>
      </c>
      <c r="I68" s="88"/>
      <c r="J68" s="88"/>
      <c r="K68" s="88"/>
      <c r="L68" s="88"/>
      <c r="M68" s="89"/>
      <c r="N68" s="106" t="s">
        <v>42</v>
      </c>
      <c r="O68" s="88"/>
      <c r="P68" s="88"/>
      <c r="Q68" s="89"/>
      <c r="R68" s="106" t="s">
        <v>42</v>
      </c>
      <c r="S68" s="88"/>
      <c r="T68" s="88"/>
      <c r="U68" s="89"/>
      <c r="V68" s="106" t="s">
        <v>42</v>
      </c>
      <c r="W68" s="88"/>
      <c r="X68" s="88"/>
      <c r="Y68" s="89"/>
      <c r="Z68" s="106" t="s">
        <v>42</v>
      </c>
      <c r="AA68" s="88"/>
      <c r="AB68" s="88"/>
      <c r="AC68" s="89"/>
      <c r="AD68" s="106" t="s">
        <v>42</v>
      </c>
      <c r="AE68" s="88"/>
      <c r="AF68" s="88"/>
      <c r="AG68" s="89"/>
      <c r="AH68" s="106" t="s">
        <v>42</v>
      </c>
      <c r="AI68" s="88"/>
      <c r="AJ68" s="88"/>
      <c r="AK68" s="89"/>
      <c r="AL68" s="106" t="s">
        <v>42</v>
      </c>
      <c r="AM68" s="88"/>
      <c r="AN68" s="88"/>
      <c r="AO68" s="89"/>
      <c r="AP68" s="106" t="s">
        <v>42</v>
      </c>
      <c r="AQ68" s="88"/>
      <c r="AR68" s="88"/>
      <c r="AS68" s="88"/>
      <c r="AT68" s="88"/>
      <c r="AU68" s="89"/>
      <c r="AV68" s="106" t="s">
        <v>42</v>
      </c>
      <c r="AW68" s="88"/>
      <c r="AX68" s="88"/>
      <c r="AY68" s="88"/>
      <c r="AZ68" s="88"/>
      <c r="BA68" s="88"/>
      <c r="BB68" s="126"/>
    </row>
    <row r="69" ht="9" customHeight="1" spans="1:54">
      <c r="A69" s="90"/>
      <c r="B69" s="91"/>
      <c r="C69" s="91"/>
      <c r="D69" s="91"/>
      <c r="E69" s="91"/>
      <c r="F69" s="91"/>
      <c r="G69" s="92"/>
      <c r="H69" s="107"/>
      <c r="I69" s="91"/>
      <c r="J69" s="91"/>
      <c r="K69" s="91"/>
      <c r="L69" s="91"/>
      <c r="M69" s="92"/>
      <c r="N69" s="107"/>
      <c r="O69" s="91"/>
      <c r="P69" s="91"/>
      <c r="Q69" s="92"/>
      <c r="R69" s="107"/>
      <c r="S69" s="91"/>
      <c r="T69" s="91"/>
      <c r="U69" s="92"/>
      <c r="V69" s="107"/>
      <c r="W69" s="91"/>
      <c r="X69" s="91"/>
      <c r="Y69" s="92"/>
      <c r="Z69" s="107"/>
      <c r="AA69" s="91"/>
      <c r="AB69" s="91"/>
      <c r="AC69" s="92"/>
      <c r="AD69" s="107"/>
      <c r="AE69" s="91"/>
      <c r="AF69" s="91"/>
      <c r="AG69" s="92"/>
      <c r="AH69" s="107"/>
      <c r="AI69" s="91"/>
      <c r="AJ69" s="91"/>
      <c r="AK69" s="92"/>
      <c r="AL69" s="107"/>
      <c r="AM69" s="91"/>
      <c r="AN69" s="91"/>
      <c r="AO69" s="92"/>
      <c r="AP69" s="107"/>
      <c r="AQ69" s="91"/>
      <c r="AR69" s="91"/>
      <c r="AS69" s="91"/>
      <c r="AT69" s="91"/>
      <c r="AU69" s="92"/>
      <c r="AV69" s="107"/>
      <c r="AW69" s="91"/>
      <c r="AX69" s="91"/>
      <c r="AY69" s="91"/>
      <c r="AZ69" s="91"/>
      <c r="BA69" s="91"/>
      <c r="BB69" s="127"/>
    </row>
    <row r="70" ht="9" customHeight="1" spans="1:54">
      <c r="A70" s="75" t="s">
        <v>44</v>
      </c>
      <c r="B70" s="72"/>
      <c r="C70" s="72"/>
      <c r="D70" s="72"/>
      <c r="E70" s="108" t="s">
        <v>45</v>
      </c>
      <c r="F70" s="109"/>
      <c r="G70" s="109"/>
      <c r="H70" s="109"/>
      <c r="I70" s="109"/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28"/>
    </row>
    <row r="71" ht="9" customHeight="1" spans="1:54">
      <c r="A71" s="71"/>
      <c r="B71" s="72"/>
      <c r="C71" s="72"/>
      <c r="D71" s="72"/>
      <c r="E71" s="110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  <c r="AS71" s="111"/>
      <c r="AT71" s="111"/>
      <c r="AU71" s="111"/>
      <c r="AV71" s="111"/>
      <c r="AW71" s="111"/>
      <c r="AX71" s="111"/>
      <c r="AY71" s="111"/>
      <c r="AZ71" s="111"/>
      <c r="BA71" s="111"/>
      <c r="BB71" s="129"/>
    </row>
    <row r="72" ht="7.5" customHeight="1" spans="1:54">
      <c r="A72" s="71"/>
      <c r="B72" s="72"/>
      <c r="C72" s="72"/>
      <c r="D72" s="72"/>
      <c r="E72" s="110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  <c r="AS72" s="111"/>
      <c r="AT72" s="111"/>
      <c r="AU72" s="111"/>
      <c r="AV72" s="111"/>
      <c r="AW72" s="111"/>
      <c r="AX72" s="111"/>
      <c r="AY72" s="111"/>
      <c r="AZ72" s="111"/>
      <c r="BA72" s="111"/>
      <c r="BB72" s="129"/>
    </row>
    <row r="73" ht="4.5" hidden="1" customHeight="1" spans="1:54">
      <c r="A73" s="71"/>
      <c r="B73" s="72"/>
      <c r="C73" s="72"/>
      <c r="D73" s="72"/>
      <c r="E73" s="112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  <c r="AM73" s="113"/>
      <c r="AN73" s="113"/>
      <c r="AO73" s="113"/>
      <c r="AP73" s="113"/>
      <c r="AQ73" s="113"/>
      <c r="AR73" s="113"/>
      <c r="AS73" s="113"/>
      <c r="AT73" s="113"/>
      <c r="AU73" s="113"/>
      <c r="AV73" s="113"/>
      <c r="AW73" s="113"/>
      <c r="AX73" s="113"/>
      <c r="AY73" s="113"/>
      <c r="AZ73" s="113"/>
      <c r="BA73" s="113"/>
      <c r="BB73" s="130"/>
    </row>
    <row r="74" ht="9" customHeight="1" spans="1:54">
      <c r="A74" s="71" t="s">
        <v>40</v>
      </c>
      <c r="B74" s="72"/>
      <c r="C74" s="72"/>
      <c r="D74" s="72"/>
      <c r="E74" s="114" t="s">
        <v>46</v>
      </c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4"/>
      <c r="AV74" s="114"/>
      <c r="AW74" s="114"/>
      <c r="AX74" s="114"/>
      <c r="AY74" s="114"/>
      <c r="AZ74" s="114"/>
      <c r="BA74" s="114"/>
      <c r="BB74" s="131"/>
    </row>
    <row r="75" ht="9" customHeight="1" spans="1:54">
      <c r="A75" s="71"/>
      <c r="B75" s="72"/>
      <c r="C75" s="72"/>
      <c r="D75" s="72"/>
      <c r="E75" s="114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114"/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4"/>
      <c r="AV75" s="114"/>
      <c r="AW75" s="114"/>
      <c r="AX75" s="114"/>
      <c r="AY75" s="114"/>
      <c r="AZ75" s="114"/>
      <c r="BA75" s="114"/>
      <c r="BB75" s="131"/>
    </row>
    <row r="76" ht="4.5" hidden="1" customHeight="1" spans="1:54">
      <c r="A76" s="71"/>
      <c r="B76" s="72"/>
      <c r="C76" s="72"/>
      <c r="D76" s="72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4"/>
      <c r="AV76" s="114"/>
      <c r="AW76" s="114"/>
      <c r="AX76" s="114"/>
      <c r="AY76" s="114"/>
      <c r="AZ76" s="114"/>
      <c r="BA76" s="114"/>
      <c r="BB76" s="131"/>
    </row>
    <row r="77" ht="9" customHeight="1" spans="1:54">
      <c r="A77" s="71" t="s">
        <v>47</v>
      </c>
      <c r="B77" s="72"/>
      <c r="C77" s="72"/>
      <c r="D77" s="72"/>
      <c r="E77" s="115" t="s">
        <v>48</v>
      </c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32"/>
    </row>
    <row r="78" ht="9" customHeight="1" spans="1:54">
      <c r="A78" s="71"/>
      <c r="B78" s="72"/>
      <c r="C78" s="72"/>
      <c r="D78" s="72"/>
      <c r="E78" s="117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8"/>
      <c r="AI78" s="118"/>
      <c r="AJ78" s="118"/>
      <c r="AK78" s="118"/>
      <c r="AL78" s="118"/>
      <c r="AM78" s="118"/>
      <c r="AN78" s="118"/>
      <c r="AO78" s="118"/>
      <c r="AP78" s="118"/>
      <c r="AQ78" s="118"/>
      <c r="AR78" s="118"/>
      <c r="AS78" s="118"/>
      <c r="AT78" s="118"/>
      <c r="AU78" s="118"/>
      <c r="AV78" s="118"/>
      <c r="AW78" s="118"/>
      <c r="AX78" s="118"/>
      <c r="AY78" s="118"/>
      <c r="AZ78" s="118"/>
      <c r="BA78" s="118"/>
      <c r="BB78" s="133"/>
    </row>
    <row r="79" ht="9" customHeight="1" spans="1:54">
      <c r="A79" s="71"/>
      <c r="B79" s="72"/>
      <c r="C79" s="72"/>
      <c r="D79" s="72"/>
      <c r="E79" s="117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8"/>
      <c r="AI79" s="118"/>
      <c r="AJ79" s="118"/>
      <c r="AK79" s="118"/>
      <c r="AL79" s="118"/>
      <c r="AM79" s="118"/>
      <c r="AN79" s="118"/>
      <c r="AO79" s="118"/>
      <c r="AP79" s="118"/>
      <c r="AQ79" s="118"/>
      <c r="AR79" s="118"/>
      <c r="AS79" s="118"/>
      <c r="AT79" s="118"/>
      <c r="AU79" s="118"/>
      <c r="AV79" s="118"/>
      <c r="AW79" s="118"/>
      <c r="AX79" s="118"/>
      <c r="AY79" s="118"/>
      <c r="AZ79" s="118"/>
      <c r="BA79" s="118"/>
      <c r="BB79" s="133"/>
    </row>
    <row r="80" ht="9" customHeight="1" spans="1:54">
      <c r="A80" s="71"/>
      <c r="B80" s="72"/>
      <c r="C80" s="72"/>
      <c r="D80" s="72"/>
      <c r="E80" s="119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  <c r="AL80" s="120"/>
      <c r="AM80" s="120"/>
      <c r="AN80" s="120"/>
      <c r="AO80" s="120"/>
      <c r="AP80" s="120"/>
      <c r="AQ80" s="120"/>
      <c r="AR80" s="120"/>
      <c r="AS80" s="120"/>
      <c r="AT80" s="120"/>
      <c r="AU80" s="120"/>
      <c r="AV80" s="120"/>
      <c r="AW80" s="120"/>
      <c r="AX80" s="120"/>
      <c r="AY80" s="120"/>
      <c r="AZ80" s="120"/>
      <c r="BA80" s="120"/>
      <c r="BB80" s="134"/>
    </row>
    <row r="81" ht="9" customHeight="1" spans="1:54">
      <c r="A81" s="121" t="s">
        <v>49</v>
      </c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4"/>
      <c r="AV81" s="114"/>
      <c r="AW81" s="114"/>
      <c r="AX81" s="114"/>
      <c r="AY81" s="114"/>
      <c r="AZ81" s="114"/>
      <c r="BA81" s="114"/>
      <c r="BB81" s="131"/>
    </row>
    <row r="82" ht="9" customHeight="1" spans="1:54">
      <c r="A82" s="122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3"/>
      <c r="AF82" s="123"/>
      <c r="AG82" s="123"/>
      <c r="AH82" s="123"/>
      <c r="AI82" s="123"/>
      <c r="AJ82" s="123"/>
      <c r="AK82" s="123"/>
      <c r="AL82" s="123"/>
      <c r="AM82" s="123"/>
      <c r="AN82" s="123"/>
      <c r="AO82" s="123"/>
      <c r="AP82" s="123"/>
      <c r="AQ82" s="123"/>
      <c r="AR82" s="123"/>
      <c r="AS82" s="123"/>
      <c r="AT82" s="123"/>
      <c r="AU82" s="123"/>
      <c r="AV82" s="123"/>
      <c r="AW82" s="123"/>
      <c r="AX82" s="123"/>
      <c r="AY82" s="123"/>
      <c r="AZ82" s="123"/>
      <c r="BA82" s="123"/>
      <c r="BB82" s="135"/>
    </row>
    <row r="83" customHeight="1" spans="1:54">
      <c r="A83" s="124"/>
      <c r="B83" s="124"/>
      <c r="C83" s="124"/>
      <c r="D83" s="124"/>
      <c r="E83" s="124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</row>
    <row r="84" ht="7.5" customHeight="1" spans="1:54">
      <c r="A84" s="64" t="s">
        <v>50</v>
      </c>
      <c r="B84" s="64"/>
      <c r="C84" s="64"/>
      <c r="D84" s="64"/>
      <c r="E84" s="124"/>
      <c r="F84" s="124"/>
      <c r="G84" s="124"/>
      <c r="H84" s="124"/>
      <c r="I84" s="124"/>
      <c r="J84" s="124"/>
      <c r="K84" s="124"/>
      <c r="L84" s="64" t="s">
        <v>51</v>
      </c>
      <c r="M84" s="64"/>
      <c r="N84" s="64"/>
      <c r="O84" s="64"/>
      <c r="P84" s="64"/>
      <c r="Q84" s="124"/>
      <c r="R84" s="124"/>
      <c r="S84" s="124"/>
      <c r="T84" s="124"/>
      <c r="U84" s="124"/>
      <c r="V84" s="124"/>
      <c r="W84" s="124"/>
      <c r="X84" s="64" t="s">
        <v>52</v>
      </c>
      <c r="Y84" s="64"/>
      <c r="Z84" s="64"/>
      <c r="AA84" s="64"/>
      <c r="AB84" s="64"/>
      <c r="AC84" s="124"/>
      <c r="AD84" s="124"/>
      <c r="AE84" s="124"/>
      <c r="AF84" s="124"/>
      <c r="AG84" s="124"/>
      <c r="AH84" s="124"/>
      <c r="AI84" s="124"/>
      <c r="AJ84" s="125" t="s">
        <v>53</v>
      </c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</row>
    <row r="85" ht="9" customHeight="1" spans="1:54">
      <c r="A85" s="64"/>
      <c r="B85" s="64"/>
      <c r="C85" s="64"/>
      <c r="D85" s="64"/>
      <c r="E85" s="124"/>
      <c r="F85" s="124"/>
      <c r="G85" s="124"/>
      <c r="H85" s="124"/>
      <c r="I85" s="124"/>
      <c r="J85" s="124"/>
      <c r="K85" s="124"/>
      <c r="L85" s="64"/>
      <c r="M85" s="64"/>
      <c r="N85" s="64"/>
      <c r="O85" s="64"/>
      <c r="P85" s="64"/>
      <c r="Q85" s="124"/>
      <c r="R85" s="124"/>
      <c r="S85" s="124"/>
      <c r="T85" s="124"/>
      <c r="U85" s="124"/>
      <c r="V85" s="124"/>
      <c r="W85" s="124"/>
      <c r="X85" s="64"/>
      <c r="Y85" s="64"/>
      <c r="Z85" s="64"/>
      <c r="AA85" s="64"/>
      <c r="AB85" s="64"/>
      <c r="AC85" s="124"/>
      <c r="AD85" s="124"/>
      <c r="AE85" s="124"/>
      <c r="AF85" s="124"/>
      <c r="AG85" s="124"/>
      <c r="AH85" s="124"/>
      <c r="AI85" s="124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</row>
  </sheetData>
  <mergeCells count="284">
    <mergeCell ref="A9:G10"/>
    <mergeCell ref="H9:AG10"/>
    <mergeCell ref="AH9:AO10"/>
    <mergeCell ref="AP9:BB10"/>
    <mergeCell ref="A11:G12"/>
    <mergeCell ref="H11:AG12"/>
    <mergeCell ref="AH11:AO12"/>
    <mergeCell ref="AP11:BB12"/>
    <mergeCell ref="A1:BB3"/>
    <mergeCell ref="A4:G6"/>
    <mergeCell ref="H4:AG6"/>
    <mergeCell ref="AH4:AO6"/>
    <mergeCell ref="AP4:BB6"/>
    <mergeCell ref="A7:G8"/>
    <mergeCell ref="H7:AG8"/>
    <mergeCell ref="AH7:AO8"/>
    <mergeCell ref="AP7:BB8"/>
    <mergeCell ref="A17:G18"/>
    <mergeCell ref="H17:AG18"/>
    <mergeCell ref="AH17:AO18"/>
    <mergeCell ref="AP17:BB18"/>
    <mergeCell ref="A19:G20"/>
    <mergeCell ref="H19:AG20"/>
    <mergeCell ref="AH19:AO20"/>
    <mergeCell ref="AP19:BB20"/>
    <mergeCell ref="A13:G14"/>
    <mergeCell ref="H13:AG14"/>
    <mergeCell ref="AH13:AO14"/>
    <mergeCell ref="AP13:BB14"/>
    <mergeCell ref="A15:G16"/>
    <mergeCell ref="H15:AG16"/>
    <mergeCell ref="AH15:AO16"/>
    <mergeCell ref="AP15:BB16"/>
    <mergeCell ref="A21:G23"/>
    <mergeCell ref="H21:AG23"/>
    <mergeCell ref="AH21:AO23"/>
    <mergeCell ref="AP21:BB23"/>
    <mergeCell ref="A24:G25"/>
    <mergeCell ref="H24:AO25"/>
    <mergeCell ref="AP24:AU25"/>
    <mergeCell ref="AV24:BB25"/>
    <mergeCell ref="N28:Q29"/>
    <mergeCell ref="R28:U29"/>
    <mergeCell ref="V28:Y29"/>
    <mergeCell ref="Z28:AC29"/>
    <mergeCell ref="AD28:AG29"/>
    <mergeCell ref="AH28:AK29"/>
    <mergeCell ref="AL28:AO29"/>
    <mergeCell ref="A26:G29"/>
    <mergeCell ref="H26:M29"/>
    <mergeCell ref="N26:AO27"/>
    <mergeCell ref="N30:Q31"/>
    <mergeCell ref="R30:U31"/>
    <mergeCell ref="V30:Y31"/>
    <mergeCell ref="Z30:AC31"/>
    <mergeCell ref="AD30:AG31"/>
    <mergeCell ref="AH30:AK31"/>
    <mergeCell ref="AL30:AO31"/>
    <mergeCell ref="AP26:AU29"/>
    <mergeCell ref="AV26:BB29"/>
    <mergeCell ref="AP30:AU31"/>
    <mergeCell ref="AV30:BB31"/>
    <mergeCell ref="A32:G33"/>
    <mergeCell ref="H32:M33"/>
    <mergeCell ref="N32:Q33"/>
    <mergeCell ref="R32:U33"/>
    <mergeCell ref="V32:Y33"/>
    <mergeCell ref="Z32:AC33"/>
    <mergeCell ref="AD32:AG33"/>
    <mergeCell ref="AH32:AK33"/>
    <mergeCell ref="AL32:AO33"/>
    <mergeCell ref="A30:G31"/>
    <mergeCell ref="H30:M31"/>
    <mergeCell ref="A36:G37"/>
    <mergeCell ref="H36:M37"/>
    <mergeCell ref="N36:Q37"/>
    <mergeCell ref="R36:U37"/>
    <mergeCell ref="V36:Y37"/>
    <mergeCell ref="Z36:AC37"/>
    <mergeCell ref="AD36:AG37"/>
    <mergeCell ref="AH36:AK37"/>
    <mergeCell ref="AL36:AO37"/>
    <mergeCell ref="AP32:AU33"/>
    <mergeCell ref="AV32:BB33"/>
    <mergeCell ref="A34:G35"/>
    <mergeCell ref="H34:M35"/>
    <mergeCell ref="N34:Q35"/>
    <mergeCell ref="R34:U35"/>
    <mergeCell ref="V34:Y35"/>
    <mergeCell ref="Z34:AC35"/>
    <mergeCell ref="AD34:AG35"/>
    <mergeCell ref="AH34:AK35"/>
    <mergeCell ref="AL34:AO35"/>
    <mergeCell ref="AP36:AU37"/>
    <mergeCell ref="AV36:BB37"/>
    <mergeCell ref="AP34:AU35"/>
    <mergeCell ref="AV34:BB35"/>
    <mergeCell ref="A40:G41"/>
    <mergeCell ref="H40:M41"/>
    <mergeCell ref="N40:Q41"/>
    <mergeCell ref="R40:U41"/>
    <mergeCell ref="V40:Y41"/>
    <mergeCell ref="Z40:AC41"/>
    <mergeCell ref="AD40:AG41"/>
    <mergeCell ref="AH40:AK41"/>
    <mergeCell ref="AL40:AO41"/>
    <mergeCell ref="A38:G39"/>
    <mergeCell ref="H38:M39"/>
    <mergeCell ref="N38:Q39"/>
    <mergeCell ref="R38:U39"/>
    <mergeCell ref="V38:Y39"/>
    <mergeCell ref="Z38:AC39"/>
    <mergeCell ref="AD38:AG39"/>
    <mergeCell ref="AH38:AK39"/>
    <mergeCell ref="AL38:AO39"/>
    <mergeCell ref="AP40:AU41"/>
    <mergeCell ref="AV40:BB41"/>
    <mergeCell ref="AP38:AU39"/>
    <mergeCell ref="AV38:BB39"/>
    <mergeCell ref="A44:G45"/>
    <mergeCell ref="H44:M45"/>
    <mergeCell ref="N44:Q45"/>
    <mergeCell ref="R44:U45"/>
    <mergeCell ref="V44:Y45"/>
    <mergeCell ref="Z44:AC45"/>
    <mergeCell ref="AD44:AG45"/>
    <mergeCell ref="AH44:AK45"/>
    <mergeCell ref="AL44:AO45"/>
    <mergeCell ref="A42:G43"/>
    <mergeCell ref="H42:M43"/>
    <mergeCell ref="N42:Q43"/>
    <mergeCell ref="R42:U43"/>
    <mergeCell ref="V42:Y43"/>
    <mergeCell ref="Z42:AC43"/>
    <mergeCell ref="AD42:AG43"/>
    <mergeCell ref="AH42:AK43"/>
    <mergeCell ref="AL42:AO43"/>
    <mergeCell ref="AP44:AU45"/>
    <mergeCell ref="AV44:BB45"/>
    <mergeCell ref="AP42:AU43"/>
    <mergeCell ref="AV42:BB43"/>
    <mergeCell ref="A48:G49"/>
    <mergeCell ref="H48:M49"/>
    <mergeCell ref="N48:Q49"/>
    <mergeCell ref="R48:U49"/>
    <mergeCell ref="V48:Y49"/>
    <mergeCell ref="Z48:AC49"/>
    <mergeCell ref="AD48:AG49"/>
    <mergeCell ref="AH48:AK49"/>
    <mergeCell ref="AL48:AO49"/>
    <mergeCell ref="A46:G47"/>
    <mergeCell ref="H46:M47"/>
    <mergeCell ref="N46:Q47"/>
    <mergeCell ref="R46:U47"/>
    <mergeCell ref="V46:Y47"/>
    <mergeCell ref="Z46:AC47"/>
    <mergeCell ref="AD46:AG47"/>
    <mergeCell ref="AH46:AK47"/>
    <mergeCell ref="AL46:AO47"/>
    <mergeCell ref="AP48:AU49"/>
    <mergeCell ref="AV48:BB49"/>
    <mergeCell ref="AP46:AU47"/>
    <mergeCell ref="AV46:BB47"/>
    <mergeCell ref="A52:G53"/>
    <mergeCell ref="H52:M53"/>
    <mergeCell ref="N52:Q53"/>
    <mergeCell ref="R52:U53"/>
    <mergeCell ref="V52:Y53"/>
    <mergeCell ref="Z52:AC53"/>
    <mergeCell ref="AD52:AG53"/>
    <mergeCell ref="AH52:AK53"/>
    <mergeCell ref="AL52:AO53"/>
    <mergeCell ref="A50:G51"/>
    <mergeCell ref="H50:M51"/>
    <mergeCell ref="N50:Q51"/>
    <mergeCell ref="R50:U51"/>
    <mergeCell ref="V50:Y51"/>
    <mergeCell ref="Z50:AC51"/>
    <mergeCell ref="AD50:AG51"/>
    <mergeCell ref="AH50:AK51"/>
    <mergeCell ref="AL50:AO51"/>
    <mergeCell ref="AP52:AU53"/>
    <mergeCell ref="AV52:BB53"/>
    <mergeCell ref="AP50:AU51"/>
    <mergeCell ref="AV50:BB51"/>
    <mergeCell ref="A56:G57"/>
    <mergeCell ref="H56:M57"/>
    <mergeCell ref="N56:Q57"/>
    <mergeCell ref="R56:U57"/>
    <mergeCell ref="V56:Y57"/>
    <mergeCell ref="Z56:AC57"/>
    <mergeCell ref="AD56:AG57"/>
    <mergeCell ref="AH56:AK57"/>
    <mergeCell ref="AL56:AO57"/>
    <mergeCell ref="A54:G55"/>
    <mergeCell ref="H54:M55"/>
    <mergeCell ref="N54:Q55"/>
    <mergeCell ref="R54:U55"/>
    <mergeCell ref="V54:Y55"/>
    <mergeCell ref="Z54:AC55"/>
    <mergeCell ref="AD54:AG55"/>
    <mergeCell ref="AH54:AK55"/>
    <mergeCell ref="AL54:AO55"/>
    <mergeCell ref="AP56:AU57"/>
    <mergeCell ref="AV56:BB57"/>
    <mergeCell ref="AP54:AU55"/>
    <mergeCell ref="AV54:BB55"/>
    <mergeCell ref="A60:G61"/>
    <mergeCell ref="H60:M61"/>
    <mergeCell ref="N60:Q61"/>
    <mergeCell ref="R60:U61"/>
    <mergeCell ref="V60:Y61"/>
    <mergeCell ref="Z60:AC61"/>
    <mergeCell ref="AD60:AG61"/>
    <mergeCell ref="AH60:AK61"/>
    <mergeCell ref="AL60:AO61"/>
    <mergeCell ref="A58:G59"/>
    <mergeCell ref="H58:M59"/>
    <mergeCell ref="N58:Q59"/>
    <mergeCell ref="R58:U59"/>
    <mergeCell ref="V58:Y59"/>
    <mergeCell ref="Z58:AC59"/>
    <mergeCell ref="AD58:AG59"/>
    <mergeCell ref="AH58:AK59"/>
    <mergeCell ref="AL58:AO59"/>
    <mergeCell ref="AP60:AU61"/>
    <mergeCell ref="AV60:BB61"/>
    <mergeCell ref="AP58:AU59"/>
    <mergeCell ref="AV58:BB59"/>
    <mergeCell ref="A64:G65"/>
    <mergeCell ref="H64:M65"/>
    <mergeCell ref="N64:Q65"/>
    <mergeCell ref="R64:U65"/>
    <mergeCell ref="V64:Y65"/>
    <mergeCell ref="Z64:AC65"/>
    <mergeCell ref="AD64:AG65"/>
    <mergeCell ref="AH64:AK65"/>
    <mergeCell ref="AL64:AO65"/>
    <mergeCell ref="A62:G63"/>
    <mergeCell ref="H62:M63"/>
    <mergeCell ref="N62:Q63"/>
    <mergeCell ref="R62:U63"/>
    <mergeCell ref="V62:Y63"/>
    <mergeCell ref="Z62:AC63"/>
    <mergeCell ref="AD62:AG63"/>
    <mergeCell ref="AH62:AK63"/>
    <mergeCell ref="AL62:AO63"/>
    <mergeCell ref="AP64:AU65"/>
    <mergeCell ref="AV64:BB65"/>
    <mergeCell ref="AP62:AU63"/>
    <mergeCell ref="AV62:BB63"/>
    <mergeCell ref="A68:G69"/>
    <mergeCell ref="H68:M69"/>
    <mergeCell ref="N68:Q69"/>
    <mergeCell ref="R68:U69"/>
    <mergeCell ref="V68:Y69"/>
    <mergeCell ref="Z68:AC69"/>
    <mergeCell ref="AD68:AG69"/>
    <mergeCell ref="AH68:AK69"/>
    <mergeCell ref="AL68:AO69"/>
    <mergeCell ref="A66:G67"/>
    <mergeCell ref="H66:M67"/>
    <mergeCell ref="N66:Q67"/>
    <mergeCell ref="R66:U67"/>
    <mergeCell ref="V66:Y67"/>
    <mergeCell ref="Z66:AC67"/>
    <mergeCell ref="AD66:AG67"/>
    <mergeCell ref="AH66:AK67"/>
    <mergeCell ref="AL66:AO67"/>
    <mergeCell ref="AP68:AU69"/>
    <mergeCell ref="AV68:BB69"/>
    <mergeCell ref="AP66:AU67"/>
    <mergeCell ref="AV66:BB67"/>
    <mergeCell ref="A81:BB82"/>
    <mergeCell ref="A84:D85"/>
    <mergeCell ref="L84:P85"/>
    <mergeCell ref="X84:AB85"/>
    <mergeCell ref="AJ84:BB85"/>
    <mergeCell ref="A70:D73"/>
    <mergeCell ref="E70:BB73"/>
    <mergeCell ref="A74:D76"/>
    <mergeCell ref="E74:BB76"/>
    <mergeCell ref="A77:D80"/>
    <mergeCell ref="E77:BB80"/>
  </mergeCells>
  <pageMargins left="0.984251968503937" right="0.590551181102362" top="0.590551181102362" bottom="0.590551181102362" header="0.31496062992126" footer="0.31496062992126"/>
  <pageSetup paperSize="9" orientation="portrait" horizontalDpi="200" verticalDpi="300"/>
  <headerFooter>
    <oddHeader>&amp;R第1页，共1页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selection activeCell="X26" sqref="X26"/>
    </sheetView>
  </sheetViews>
  <sheetFormatPr defaultColWidth="9" defaultRowHeight="14.4"/>
  <cols>
    <col min="1" max="1" width="6.37962962962963" style="5" customWidth="1"/>
    <col min="2" max="2" width="5.25" style="5" customWidth="1"/>
    <col min="3" max="3" width="1.75" style="5" customWidth="1"/>
    <col min="4" max="4" width="10.5" style="5" customWidth="1"/>
    <col min="5" max="5" width="5.62962962962963" style="5" customWidth="1"/>
    <col min="6" max="6" width="5.37962962962963" style="5" customWidth="1"/>
    <col min="7" max="8" width="5" style="5" customWidth="1"/>
    <col min="9" max="9" width="5.62962962962963" style="5" customWidth="1"/>
    <col min="10" max="10" width="5.5" style="5" customWidth="1"/>
    <col min="11" max="11" width="2.5" style="5" customWidth="1"/>
    <col min="12" max="12" width="4.12962962962963" style="5" customWidth="1"/>
    <col min="13" max="13" width="2.25" style="5" customWidth="1"/>
    <col min="14" max="14" width="0.75" style="5" customWidth="1"/>
    <col min="15" max="15" width="2" style="5" customWidth="1"/>
    <col min="16" max="16" width="0.75" style="5" customWidth="1"/>
    <col min="17" max="17" width="2.25" style="5" customWidth="1"/>
    <col min="18" max="18" width="1.37962962962963" style="5" customWidth="1"/>
    <col min="19" max="19" width="1.75" style="5" customWidth="1"/>
    <col min="20" max="20" width="2.5" style="5" customWidth="1"/>
    <col min="21" max="21" width="0.75" style="5" customWidth="1"/>
    <col min="22" max="22" width="3.62962962962963" style="5" customWidth="1"/>
    <col min="23" max="23" width="10.3796296296296" style="5" customWidth="1"/>
    <col min="24" max="16384" width="9" style="5"/>
  </cols>
  <sheetData>
    <row r="1" ht="14.25" customHeight="1" spans="1:2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43" t="s">
        <v>54</v>
      </c>
      <c r="N1" s="40" t="s">
        <v>55</v>
      </c>
      <c r="O1" s="40"/>
      <c r="P1" s="143" t="s">
        <v>56</v>
      </c>
      <c r="Q1" s="39"/>
      <c r="R1" s="39"/>
      <c r="S1" s="39"/>
      <c r="T1" s="40" t="s">
        <v>55</v>
      </c>
      <c r="U1" s="40"/>
      <c r="V1" s="46" t="s">
        <v>57</v>
      </c>
    </row>
    <row r="2" ht="18" customHeight="1" spans="1:2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6.1" customHeight="1" spans="1:22">
      <c r="A3" s="8" t="s">
        <v>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7.25" customHeight="1" spans="1:22">
      <c r="A4" s="144" t="s">
        <v>1</v>
      </c>
      <c r="B4" s="9"/>
      <c r="C4" s="9"/>
      <c r="D4" s="10"/>
      <c r="E4" s="10"/>
      <c r="F4" s="10"/>
      <c r="G4" s="10"/>
      <c r="H4" s="10"/>
      <c r="I4" s="41" t="s">
        <v>61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27.75" customHeight="1" spans="1:22">
      <c r="A5" s="145" t="s">
        <v>10</v>
      </c>
      <c r="B5" s="12"/>
      <c r="C5" s="12"/>
      <c r="D5" s="13"/>
      <c r="E5" s="13"/>
      <c r="F5" s="13"/>
      <c r="G5" s="13"/>
      <c r="H5" s="13"/>
      <c r="I5" s="42" t="s">
        <v>62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7"/>
    </row>
    <row r="6" ht="26.1" customHeight="1" spans="1:22">
      <c r="A6" s="146" t="s">
        <v>15</v>
      </c>
      <c r="B6" s="15"/>
      <c r="C6" s="15"/>
      <c r="D6" s="54"/>
      <c r="E6" s="54"/>
      <c r="F6" s="54"/>
      <c r="G6" s="54"/>
      <c r="H6" s="54"/>
      <c r="I6" s="25" t="s">
        <v>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48"/>
    </row>
    <row r="7" ht="26.1" customHeight="1" spans="1:22">
      <c r="A7" s="14" t="s">
        <v>21</v>
      </c>
      <c r="B7" s="15"/>
      <c r="C7" s="15"/>
      <c r="D7" s="54"/>
      <c r="E7" s="54"/>
      <c r="F7" s="54"/>
      <c r="G7" s="54"/>
      <c r="H7" s="54"/>
      <c r="I7" s="25" t="s">
        <v>30</v>
      </c>
      <c r="J7" s="25"/>
      <c r="K7" s="25"/>
      <c r="L7" s="25" t="s">
        <v>31</v>
      </c>
      <c r="M7" s="25"/>
      <c r="N7" s="25"/>
      <c r="O7" s="25"/>
      <c r="P7" s="25"/>
      <c r="Q7" s="25"/>
      <c r="R7" s="25"/>
      <c r="S7" s="25"/>
      <c r="T7" s="25"/>
      <c r="U7" s="25"/>
      <c r="V7" s="48"/>
    </row>
    <row r="8" ht="26.1" customHeight="1" spans="1:22">
      <c r="A8" s="146" t="s">
        <v>63</v>
      </c>
      <c r="B8" s="15"/>
      <c r="C8" s="15"/>
      <c r="D8" s="55"/>
      <c r="E8" s="56"/>
      <c r="F8" s="56"/>
      <c r="G8" s="56"/>
      <c r="H8" s="57"/>
      <c r="I8" s="25" t="s">
        <v>64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48"/>
    </row>
    <row r="9" ht="25.7" customHeight="1" spans="1:22">
      <c r="A9" s="147" t="s">
        <v>28</v>
      </c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9"/>
    </row>
    <row r="10" ht="24" customHeight="1" spans="1:22">
      <c r="A10" s="20" t="s">
        <v>32</v>
      </c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43" t="s">
        <v>34</v>
      </c>
      <c r="N10" s="43"/>
      <c r="O10" s="43"/>
      <c r="P10" s="43"/>
      <c r="Q10" s="43"/>
      <c r="R10" s="43"/>
      <c r="S10" s="59"/>
      <c r="T10" s="59"/>
      <c r="U10" s="59"/>
      <c r="V10" s="60"/>
    </row>
    <row r="11" ht="24" customHeight="1" spans="1:22">
      <c r="A11" s="14" t="s">
        <v>66</v>
      </c>
      <c r="B11" s="23"/>
      <c r="C11" s="23"/>
      <c r="D11" s="24" t="s">
        <v>37</v>
      </c>
      <c r="E11" s="25" t="s">
        <v>67</v>
      </c>
      <c r="F11" s="25"/>
      <c r="G11" s="25"/>
      <c r="H11" s="25"/>
      <c r="I11" s="25"/>
      <c r="J11" s="25"/>
      <c r="K11" s="25" t="s">
        <v>68</v>
      </c>
      <c r="L11" s="25"/>
      <c r="M11" s="25" t="s">
        <v>39</v>
      </c>
      <c r="N11" s="25"/>
      <c r="O11" s="25"/>
      <c r="P11" s="25"/>
      <c r="Q11" s="25"/>
      <c r="R11" s="25"/>
      <c r="S11" s="25" t="s">
        <v>40</v>
      </c>
      <c r="T11" s="25"/>
      <c r="U11" s="25"/>
      <c r="V11" s="48"/>
    </row>
    <row r="12" ht="24" customHeight="1" spans="1:22">
      <c r="A12" s="14"/>
      <c r="B12" s="23"/>
      <c r="C12" s="23"/>
      <c r="D12" s="28"/>
      <c r="E12" s="58"/>
      <c r="F12" s="58"/>
      <c r="G12" s="58"/>
      <c r="H12" s="58"/>
      <c r="I12" s="58"/>
      <c r="J12" s="58"/>
      <c r="K12" s="58"/>
      <c r="L12" s="58"/>
      <c r="M12" s="25"/>
      <c r="N12" s="25"/>
      <c r="O12" s="25"/>
      <c r="P12" s="25"/>
      <c r="Q12" s="25"/>
      <c r="R12" s="25"/>
      <c r="S12" s="25"/>
      <c r="T12" s="25"/>
      <c r="U12" s="25"/>
      <c r="V12" s="48"/>
    </row>
    <row r="13" ht="24" customHeight="1" spans="1:22">
      <c r="A13" s="14"/>
      <c r="B13" s="23"/>
      <c r="C13" s="23"/>
      <c r="D13" s="28"/>
      <c r="E13" s="58"/>
      <c r="F13" s="58"/>
      <c r="G13" s="58"/>
      <c r="H13" s="58"/>
      <c r="I13" s="58"/>
      <c r="J13" s="58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48"/>
    </row>
    <row r="14" ht="24" customHeight="1" spans="1:22">
      <c r="A14" s="14"/>
      <c r="B14" s="23"/>
      <c r="C14" s="23"/>
      <c r="D14" s="28"/>
      <c r="E14" s="58"/>
      <c r="F14" s="58"/>
      <c r="G14" s="58"/>
      <c r="H14" s="58"/>
      <c r="I14" s="58"/>
      <c r="J14" s="58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48"/>
    </row>
    <row r="15" ht="24" customHeight="1" spans="1:22">
      <c r="A15" s="14"/>
      <c r="B15" s="23"/>
      <c r="C15" s="23"/>
      <c r="D15" s="28"/>
      <c r="E15" s="58"/>
      <c r="F15" s="58"/>
      <c r="G15" s="58"/>
      <c r="H15" s="58"/>
      <c r="I15" s="58"/>
      <c r="J15" s="58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48"/>
    </row>
    <row r="16" ht="24" customHeight="1" spans="1:22">
      <c r="A16" s="14"/>
      <c r="B16" s="23"/>
      <c r="C16" s="23"/>
      <c r="D16" s="28"/>
      <c r="E16" s="58"/>
      <c r="F16" s="58"/>
      <c r="G16" s="58"/>
      <c r="H16" s="58"/>
      <c r="I16" s="58"/>
      <c r="J16" s="58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48"/>
    </row>
    <row r="17" ht="24" customHeight="1" spans="1:22">
      <c r="A17" s="14"/>
      <c r="B17" s="23"/>
      <c r="C17" s="23"/>
      <c r="D17" s="28"/>
      <c r="E17" s="58"/>
      <c r="F17" s="58"/>
      <c r="G17" s="58"/>
      <c r="H17" s="58"/>
      <c r="I17" s="58"/>
      <c r="J17" s="58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48"/>
    </row>
    <row r="18" ht="24" customHeight="1" spans="1:22">
      <c r="A18" s="14"/>
      <c r="B18" s="23"/>
      <c r="C18" s="23"/>
      <c r="D18" s="28"/>
      <c r="E18" s="58"/>
      <c r="F18" s="58"/>
      <c r="G18" s="58"/>
      <c r="H18" s="58"/>
      <c r="I18" s="58"/>
      <c r="J18" s="58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48"/>
    </row>
    <row r="19" ht="24" customHeight="1" spans="1:22">
      <c r="A19" s="14"/>
      <c r="B19" s="23"/>
      <c r="C19" s="23"/>
      <c r="D19" s="28"/>
      <c r="E19" s="58"/>
      <c r="F19" s="58"/>
      <c r="G19" s="58"/>
      <c r="H19" s="58"/>
      <c r="I19" s="58"/>
      <c r="J19" s="58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48"/>
    </row>
    <row r="20" ht="24" customHeight="1" spans="1:22">
      <c r="A20" s="14"/>
      <c r="B20" s="23"/>
      <c r="C20" s="23"/>
      <c r="D20" s="28"/>
      <c r="E20" s="58"/>
      <c r="F20" s="58"/>
      <c r="G20" s="58"/>
      <c r="H20" s="58"/>
      <c r="I20" s="58"/>
      <c r="J20" s="58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48"/>
    </row>
    <row r="21" ht="24" customHeight="1" spans="1:22">
      <c r="A21" s="14"/>
      <c r="B21" s="23"/>
      <c r="C21" s="23"/>
      <c r="D21" s="28"/>
      <c r="E21" s="58"/>
      <c r="F21" s="58"/>
      <c r="G21" s="58"/>
      <c r="H21" s="58"/>
      <c r="I21" s="58"/>
      <c r="J21" s="58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48"/>
    </row>
    <row r="22" ht="24" customHeight="1" spans="1:22">
      <c r="A22" s="14"/>
      <c r="B22" s="23"/>
      <c r="C22" s="23"/>
      <c r="D22" s="28"/>
      <c r="E22" s="58"/>
      <c r="F22" s="58"/>
      <c r="G22" s="58"/>
      <c r="H22" s="58"/>
      <c r="I22" s="58"/>
      <c r="J22" s="58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48"/>
    </row>
    <row r="23" ht="24" customHeight="1" spans="1:22">
      <c r="A23" s="14"/>
      <c r="B23" s="23"/>
      <c r="C23" s="23"/>
      <c r="D23" s="28"/>
      <c r="E23" s="58"/>
      <c r="F23" s="58"/>
      <c r="G23" s="58"/>
      <c r="H23" s="58"/>
      <c r="I23" s="58"/>
      <c r="J23" s="58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48"/>
    </row>
    <row r="24" ht="24" customHeight="1" spans="1:22">
      <c r="A24" s="14"/>
      <c r="B24" s="23"/>
      <c r="C24" s="23"/>
      <c r="D24" s="28"/>
      <c r="E24" s="58"/>
      <c r="F24" s="58"/>
      <c r="G24" s="58"/>
      <c r="H24" s="58"/>
      <c r="I24" s="58"/>
      <c r="J24" s="58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48"/>
    </row>
    <row r="25" ht="24" customHeight="1" spans="1:22">
      <c r="A25" s="14"/>
      <c r="B25" s="23"/>
      <c r="C25" s="23"/>
      <c r="D25" s="28"/>
      <c r="E25" s="58"/>
      <c r="F25" s="58"/>
      <c r="G25" s="58"/>
      <c r="H25" s="58"/>
      <c r="I25" s="58"/>
      <c r="J25" s="58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48"/>
    </row>
    <row r="26" ht="24" customHeight="1" spans="1:22">
      <c r="A26" s="14"/>
      <c r="B26" s="23"/>
      <c r="C26" s="23"/>
      <c r="D26" s="28"/>
      <c r="E26" s="58"/>
      <c r="F26" s="58"/>
      <c r="G26" s="58"/>
      <c r="H26" s="58"/>
      <c r="I26" s="58"/>
      <c r="J26" s="58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48"/>
    </row>
    <row r="27" ht="24" customHeight="1" spans="1:22">
      <c r="A27" s="14"/>
      <c r="B27" s="23"/>
      <c r="C27" s="23"/>
      <c r="D27" s="28"/>
      <c r="E27" s="58"/>
      <c r="F27" s="58"/>
      <c r="G27" s="58"/>
      <c r="H27" s="58"/>
      <c r="I27" s="58"/>
      <c r="J27" s="58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48"/>
    </row>
    <row r="28" ht="24" customHeight="1" spans="1:22">
      <c r="A28" s="14"/>
      <c r="B28" s="23"/>
      <c r="C28" s="23"/>
      <c r="D28" s="28"/>
      <c r="E28" s="58"/>
      <c r="F28" s="58"/>
      <c r="G28" s="58"/>
      <c r="H28" s="58"/>
      <c r="I28" s="58"/>
      <c r="J28" s="58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48"/>
    </row>
    <row r="29" ht="17.25" customHeight="1" spans="1:22">
      <c r="A29" s="148" t="s">
        <v>69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52"/>
    </row>
    <row r="30" ht="39" customHeight="1" spans="1:2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3"/>
    </row>
    <row r="31" ht="27.75" customHeight="1" spans="1:22">
      <c r="A31" s="34" t="s">
        <v>50</v>
      </c>
      <c r="B31" s="149" t="s">
        <v>70</v>
      </c>
      <c r="C31" s="35"/>
      <c r="D31" s="35"/>
      <c r="E31" s="150" t="s">
        <v>71</v>
      </c>
      <c r="F31" s="37"/>
      <c r="G31" s="149" t="s">
        <v>70</v>
      </c>
      <c r="H31" s="38"/>
      <c r="I31" s="38"/>
      <c r="J31" s="36" t="s">
        <v>72</v>
      </c>
      <c r="K31" s="36"/>
      <c r="L31" s="151" t="s">
        <v>70</v>
      </c>
      <c r="M31" s="44"/>
      <c r="N31" s="44"/>
      <c r="O31" s="152" t="s">
        <v>73</v>
      </c>
      <c r="P31" s="45"/>
      <c r="Q31" s="151" t="s">
        <v>70</v>
      </c>
      <c r="R31" s="152" t="s">
        <v>74</v>
      </c>
      <c r="S31" s="45"/>
      <c r="T31" s="44"/>
      <c r="U31" s="152" t="s">
        <v>75</v>
      </c>
      <c r="V31" s="45"/>
    </row>
    <row r="32" ht="34.5" customHeight="1"/>
  </sheetData>
  <mergeCells count="113">
    <mergeCell ref="A1:L1"/>
    <mergeCell ref="N1:O1"/>
    <mergeCell ref="P1:S1"/>
    <mergeCell ref="T1:U1"/>
    <mergeCell ref="A2:V2"/>
    <mergeCell ref="A3:V3"/>
    <mergeCell ref="A4:C4"/>
    <mergeCell ref="D4:H4"/>
    <mergeCell ref="I4:K4"/>
    <mergeCell ref="L4:V4"/>
    <mergeCell ref="A5:C5"/>
    <mergeCell ref="D5:H5"/>
    <mergeCell ref="I5:K5"/>
    <mergeCell ref="L5:V5"/>
    <mergeCell ref="A6:C6"/>
    <mergeCell ref="D6:H6"/>
    <mergeCell ref="I6:K6"/>
    <mergeCell ref="L6:V6"/>
    <mergeCell ref="A7:C7"/>
    <mergeCell ref="D7:H7"/>
    <mergeCell ref="I7:K7"/>
    <mergeCell ref="L7:V7"/>
    <mergeCell ref="A8:C8"/>
    <mergeCell ref="D8:H8"/>
    <mergeCell ref="I8:K8"/>
    <mergeCell ref="L8:V8"/>
    <mergeCell ref="A9:C9"/>
    <mergeCell ref="D9:V9"/>
    <mergeCell ref="A10:C10"/>
    <mergeCell ref="D10:L10"/>
    <mergeCell ref="M10:R10"/>
    <mergeCell ref="S10:V10"/>
    <mergeCell ref="A11:C11"/>
    <mergeCell ref="E11:J11"/>
    <mergeCell ref="K11:L11"/>
    <mergeCell ref="M11:R11"/>
    <mergeCell ref="S11:V11"/>
    <mergeCell ref="A12:C12"/>
    <mergeCell ref="K12:L12"/>
    <mergeCell ref="M12:R12"/>
    <mergeCell ref="S12:V12"/>
    <mergeCell ref="A13:C13"/>
    <mergeCell ref="K13:L13"/>
    <mergeCell ref="M13:R13"/>
    <mergeCell ref="S13:V13"/>
    <mergeCell ref="A14:C14"/>
    <mergeCell ref="K14:L14"/>
    <mergeCell ref="M14:R14"/>
    <mergeCell ref="S14:V14"/>
    <mergeCell ref="A15:C15"/>
    <mergeCell ref="K15:L15"/>
    <mergeCell ref="M15:R15"/>
    <mergeCell ref="S15:V15"/>
    <mergeCell ref="A16:C16"/>
    <mergeCell ref="K16:L16"/>
    <mergeCell ref="M16:R16"/>
    <mergeCell ref="S16:V16"/>
    <mergeCell ref="A17:C17"/>
    <mergeCell ref="K17:L17"/>
    <mergeCell ref="M17:R17"/>
    <mergeCell ref="S17:V17"/>
    <mergeCell ref="A18:C18"/>
    <mergeCell ref="K18:L18"/>
    <mergeCell ref="M18:R18"/>
    <mergeCell ref="S18:V18"/>
    <mergeCell ref="A19:C19"/>
    <mergeCell ref="K19:L19"/>
    <mergeCell ref="M19:R19"/>
    <mergeCell ref="S19:V19"/>
    <mergeCell ref="A20:C20"/>
    <mergeCell ref="K20:L20"/>
    <mergeCell ref="M20:R20"/>
    <mergeCell ref="S20:V20"/>
    <mergeCell ref="A21:C21"/>
    <mergeCell ref="K21:L21"/>
    <mergeCell ref="M21:R21"/>
    <mergeCell ref="S21:V21"/>
    <mergeCell ref="A22:C22"/>
    <mergeCell ref="K22:L22"/>
    <mergeCell ref="M22:R22"/>
    <mergeCell ref="S22:V22"/>
    <mergeCell ref="A23:C23"/>
    <mergeCell ref="K23:L23"/>
    <mergeCell ref="M23:R23"/>
    <mergeCell ref="S23:V23"/>
    <mergeCell ref="A24:C24"/>
    <mergeCell ref="K24:L24"/>
    <mergeCell ref="M24:R24"/>
    <mergeCell ref="S24:V24"/>
    <mergeCell ref="A25:C25"/>
    <mergeCell ref="K25:L25"/>
    <mergeCell ref="M25:R25"/>
    <mergeCell ref="S25:V25"/>
    <mergeCell ref="A26:C26"/>
    <mergeCell ref="K26:L26"/>
    <mergeCell ref="M26:R26"/>
    <mergeCell ref="S26:V26"/>
    <mergeCell ref="A27:C27"/>
    <mergeCell ref="K27:L27"/>
    <mergeCell ref="M27:R27"/>
    <mergeCell ref="S27:V27"/>
    <mergeCell ref="A28:C28"/>
    <mergeCell ref="K28:L28"/>
    <mergeCell ref="M28:R28"/>
    <mergeCell ref="S28:V28"/>
    <mergeCell ref="B31:D31"/>
    <mergeCell ref="E31:F31"/>
    <mergeCell ref="J31:K31"/>
    <mergeCell ref="L31:N31"/>
    <mergeCell ref="O31:P31"/>
    <mergeCell ref="R31:S31"/>
    <mergeCell ref="U31:V31"/>
    <mergeCell ref="A29:V30"/>
  </mergeCells>
  <pageMargins left="0.984251968503937" right="0.590551181102362" top="0.590551181102362" bottom="0.590551181102362" header="0" footer="0"/>
  <pageSetup paperSize="9" orientation="portrait"/>
  <headerFooter alignWithMargins="0"/>
  <rowBreaks count="1" manualBreakCount="1">
    <brk id="32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workbookViewId="0">
      <selection activeCell="K19" sqref="K19:L19"/>
    </sheetView>
  </sheetViews>
  <sheetFormatPr defaultColWidth="9" defaultRowHeight="14.4"/>
  <cols>
    <col min="1" max="1" width="6.37962962962963" style="5" customWidth="1"/>
    <col min="2" max="2" width="5.25" style="5" customWidth="1"/>
    <col min="3" max="3" width="1.75" style="5" customWidth="1"/>
    <col min="4" max="4" width="10.5" style="5" customWidth="1"/>
    <col min="5" max="5" width="5.62962962962963" style="5" customWidth="1"/>
    <col min="6" max="6" width="5.5" style="5" customWidth="1"/>
    <col min="7" max="8" width="5" style="5" customWidth="1"/>
    <col min="9" max="9" width="5.62962962962963" style="5" customWidth="1"/>
    <col min="10" max="10" width="5.5" style="5" customWidth="1"/>
    <col min="11" max="11" width="2.5" style="5" customWidth="1"/>
    <col min="12" max="12" width="4.12962962962963" style="5" customWidth="1"/>
    <col min="13" max="13" width="2.25" style="5" customWidth="1"/>
    <col min="14" max="14" width="0.75" style="5" customWidth="1"/>
    <col min="15" max="15" width="2" style="5" customWidth="1"/>
    <col min="16" max="16" width="0.75" style="5" customWidth="1"/>
    <col min="17" max="17" width="2.25" style="5" customWidth="1"/>
    <col min="18" max="18" width="1.37962962962963" style="5" customWidth="1"/>
    <col min="19" max="19" width="1.75" style="5" customWidth="1"/>
    <col min="20" max="20" width="2.5" style="5" customWidth="1"/>
    <col min="21" max="21" width="0.75" style="5" customWidth="1"/>
    <col min="22" max="22" width="3.62962962962963" style="5" customWidth="1"/>
    <col min="23" max="23" width="10.3796296296296" style="5" customWidth="1"/>
    <col min="24" max="16384" width="9" style="5"/>
  </cols>
  <sheetData>
    <row r="1" ht="14.25" customHeight="1" spans="1:2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43" t="s">
        <v>54</v>
      </c>
      <c r="N1" s="40" t="s">
        <v>55</v>
      </c>
      <c r="O1" s="40"/>
      <c r="P1" s="143" t="s">
        <v>56</v>
      </c>
      <c r="Q1" s="39"/>
      <c r="R1" s="39"/>
      <c r="S1" s="39"/>
      <c r="T1" s="40" t="s">
        <v>55</v>
      </c>
      <c r="U1" s="40"/>
      <c r="V1" s="46" t="s">
        <v>57</v>
      </c>
    </row>
    <row r="2" ht="18" customHeight="1" spans="1:2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6.1" customHeight="1" spans="1:22">
      <c r="A3" s="8" t="s">
        <v>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7.25" customHeight="1" spans="1:22">
      <c r="A4" s="144" t="s">
        <v>1</v>
      </c>
      <c r="B4" s="9"/>
      <c r="C4" s="9"/>
      <c r="D4" s="10"/>
      <c r="E4" s="10"/>
      <c r="F4" s="10"/>
      <c r="G4" s="10"/>
      <c r="H4" s="10"/>
      <c r="I4" s="41" t="s">
        <v>61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27.75" customHeight="1" spans="1:22">
      <c r="A5" s="145" t="s">
        <v>10</v>
      </c>
      <c r="B5" s="12"/>
      <c r="C5" s="12"/>
      <c r="D5" s="13"/>
      <c r="E5" s="13"/>
      <c r="F5" s="13"/>
      <c r="G5" s="13"/>
      <c r="H5" s="13"/>
      <c r="I5" s="42" t="s">
        <v>62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7"/>
    </row>
    <row r="6" ht="26.1" customHeight="1" spans="1:22">
      <c r="A6" s="146" t="s">
        <v>15</v>
      </c>
      <c r="B6" s="15"/>
      <c r="C6" s="15"/>
      <c r="D6" s="16"/>
      <c r="E6" s="16"/>
      <c r="F6" s="16"/>
      <c r="G6" s="16"/>
      <c r="H6" s="16"/>
      <c r="I6" s="25" t="s">
        <v>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48"/>
    </row>
    <row r="7" ht="26.1" customHeight="1" spans="1:22">
      <c r="A7" s="146" t="s">
        <v>21</v>
      </c>
      <c r="B7" s="15"/>
      <c r="C7" s="15"/>
      <c r="D7" s="16"/>
      <c r="E7" s="16"/>
      <c r="F7" s="16"/>
      <c r="G7" s="16"/>
      <c r="H7" s="16"/>
      <c r="I7" s="25" t="s">
        <v>30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48"/>
    </row>
    <row r="8" ht="26.1" customHeight="1" spans="1:22">
      <c r="A8" s="146" t="s">
        <v>63</v>
      </c>
      <c r="B8" s="15"/>
      <c r="C8" s="15"/>
      <c r="D8" s="16" t="s">
        <v>70</v>
      </c>
      <c r="E8" s="16"/>
      <c r="F8" s="16"/>
      <c r="G8" s="16"/>
      <c r="H8" s="16"/>
      <c r="I8" s="25" t="s">
        <v>64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48"/>
    </row>
    <row r="9" ht="25.7" customHeight="1" spans="1:22">
      <c r="A9" s="147" t="s">
        <v>28</v>
      </c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9"/>
    </row>
    <row r="10" ht="24" customHeight="1" spans="1:22">
      <c r="A10" s="20" t="s">
        <v>32</v>
      </c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43" t="s">
        <v>34</v>
      </c>
      <c r="N10" s="43"/>
      <c r="O10" s="43"/>
      <c r="P10" s="43"/>
      <c r="Q10" s="43"/>
      <c r="R10" s="43"/>
      <c r="S10" s="43"/>
      <c r="T10" s="43"/>
      <c r="U10" s="43"/>
      <c r="V10" s="50"/>
    </row>
    <row r="11" ht="24" customHeight="1" spans="1:22">
      <c r="A11" s="14" t="s">
        <v>66</v>
      </c>
      <c r="B11" s="23"/>
      <c r="C11" s="23"/>
      <c r="D11" s="24" t="s">
        <v>37</v>
      </c>
      <c r="E11" s="25" t="s">
        <v>80</v>
      </c>
      <c r="F11" s="25"/>
      <c r="G11" s="25"/>
      <c r="H11" s="25"/>
      <c r="I11" s="25"/>
      <c r="J11" s="25"/>
      <c r="K11" s="25" t="s">
        <v>68</v>
      </c>
      <c r="L11" s="25"/>
      <c r="M11" s="25" t="s">
        <v>39</v>
      </c>
      <c r="N11" s="25"/>
      <c r="O11" s="25"/>
      <c r="P11" s="25"/>
      <c r="Q11" s="25"/>
      <c r="R11" s="25"/>
      <c r="S11" s="25" t="s">
        <v>40</v>
      </c>
      <c r="T11" s="25"/>
      <c r="U11" s="25"/>
      <c r="V11" s="48"/>
    </row>
    <row r="12" ht="24" customHeight="1" spans="1:22">
      <c r="A12" s="26">
        <f>记录夹片公式!A2</f>
        <v>1</v>
      </c>
      <c r="B12" s="27"/>
      <c r="C12" s="27"/>
      <c r="D12" s="28" t="s">
        <v>31</v>
      </c>
      <c r="E12" s="29">
        <f ca="1">记录夹片公式!B2</f>
        <v>61</v>
      </c>
      <c r="F12" s="29">
        <f ca="1">记录夹片公式!C2</f>
        <v>62.5</v>
      </c>
      <c r="G12" s="29">
        <f ca="1">记录夹片公式!D2</f>
        <v>57.5</v>
      </c>
      <c r="H12" s="29">
        <f ca="1">记录夹片公式!E2</f>
        <v>60</v>
      </c>
      <c r="I12" s="29">
        <f ca="1">记录夹片公式!F2</f>
        <v>58</v>
      </c>
      <c r="J12" s="29" t="str">
        <f>记录夹片公式!G2</f>
        <v>/</v>
      </c>
      <c r="K12" s="29">
        <f ca="1">AVERAGE(F12:I12)</f>
        <v>59.5</v>
      </c>
      <c r="L12" s="29"/>
      <c r="M12" s="29" t="s">
        <v>43</v>
      </c>
      <c r="N12" s="29"/>
      <c r="O12" s="29"/>
      <c r="P12" s="29"/>
      <c r="Q12" s="29"/>
      <c r="R12" s="29"/>
      <c r="S12" s="29" t="s">
        <v>42</v>
      </c>
      <c r="T12" s="29"/>
      <c r="U12" s="29"/>
      <c r="V12" s="51"/>
    </row>
    <row r="13" ht="24" customHeight="1" spans="1:22">
      <c r="A13" s="26">
        <f>记录夹片公式!A4</f>
        <v>2</v>
      </c>
      <c r="B13" s="27"/>
      <c r="C13" s="27"/>
      <c r="D13" s="28" t="s">
        <v>31</v>
      </c>
      <c r="E13" s="29">
        <f ca="1">记录夹片公式!B4</f>
        <v>64</v>
      </c>
      <c r="F13" s="29">
        <f ca="1">记录夹片公式!C4</f>
        <v>62</v>
      </c>
      <c r="G13" s="29">
        <f ca="1">记录夹片公式!D4</f>
        <v>63</v>
      </c>
      <c r="H13" s="29">
        <f ca="1">记录夹片公式!E4</f>
        <v>57.5</v>
      </c>
      <c r="I13" s="29">
        <f ca="1">记录夹片公式!F4</f>
        <v>58</v>
      </c>
      <c r="J13" s="29" t="str">
        <f>记录夹片公式!G4</f>
        <v>/</v>
      </c>
      <c r="K13" s="29">
        <f ca="1" t="shared" ref="K13:K28" si="0">AVERAGE(F13:I13)</f>
        <v>60.125</v>
      </c>
      <c r="L13" s="29"/>
      <c r="M13" s="29" t="s">
        <v>43</v>
      </c>
      <c r="N13" s="29"/>
      <c r="O13" s="29"/>
      <c r="P13" s="29"/>
      <c r="Q13" s="29"/>
      <c r="R13" s="29"/>
      <c r="S13" s="29" t="s">
        <v>42</v>
      </c>
      <c r="T13" s="29"/>
      <c r="U13" s="29"/>
      <c r="V13" s="51"/>
    </row>
    <row r="14" ht="24" customHeight="1" spans="1:22">
      <c r="A14" s="26">
        <f>记录夹片公式!A6</f>
        <v>3</v>
      </c>
      <c r="B14" s="27"/>
      <c r="C14" s="27"/>
      <c r="D14" s="28" t="s">
        <v>31</v>
      </c>
      <c r="E14" s="29">
        <f ca="1">记录夹片公式!B6</f>
        <v>61.5</v>
      </c>
      <c r="F14" s="29">
        <f ca="1">记录夹片公式!C6</f>
        <v>59</v>
      </c>
      <c r="G14" s="29">
        <f ca="1">记录夹片公式!D6</f>
        <v>62.5</v>
      </c>
      <c r="H14" s="29">
        <f ca="1">记录夹片公式!E6</f>
        <v>58.5</v>
      </c>
      <c r="I14" s="29">
        <f ca="1">记录夹片公式!F6</f>
        <v>63.5</v>
      </c>
      <c r="J14" s="29" t="str">
        <f>记录夹片公式!G6</f>
        <v>/</v>
      </c>
      <c r="K14" s="29">
        <f ca="1" t="shared" si="0"/>
        <v>60.875</v>
      </c>
      <c r="L14" s="29"/>
      <c r="M14" s="29" t="s">
        <v>43</v>
      </c>
      <c r="N14" s="29"/>
      <c r="O14" s="29"/>
      <c r="P14" s="29"/>
      <c r="Q14" s="29"/>
      <c r="R14" s="29"/>
      <c r="S14" s="29" t="s">
        <v>42</v>
      </c>
      <c r="T14" s="29"/>
      <c r="U14" s="29"/>
      <c r="V14" s="51"/>
    </row>
    <row r="15" ht="24" customHeight="1" spans="1:22">
      <c r="A15" s="26">
        <f>记录夹片公式!A8</f>
        <v>4</v>
      </c>
      <c r="B15" s="27"/>
      <c r="C15" s="27"/>
      <c r="D15" s="28" t="s">
        <v>31</v>
      </c>
      <c r="E15" s="29">
        <f ca="1">记录夹片公式!B8</f>
        <v>57</v>
      </c>
      <c r="F15" s="29">
        <f ca="1">记录夹片公式!C8</f>
        <v>62.5</v>
      </c>
      <c r="G15" s="29">
        <f ca="1">记录夹片公式!D8</f>
        <v>62</v>
      </c>
      <c r="H15" s="29">
        <f ca="1">记录夹片公式!E8</f>
        <v>59.5</v>
      </c>
      <c r="I15" s="29">
        <f ca="1">记录夹片公式!F8</f>
        <v>59.5</v>
      </c>
      <c r="J15" s="29" t="str">
        <f>记录夹片公式!G8</f>
        <v>/</v>
      </c>
      <c r="K15" s="29">
        <f ca="1" t="shared" si="0"/>
        <v>60.875</v>
      </c>
      <c r="L15" s="29"/>
      <c r="M15" s="29" t="s">
        <v>43</v>
      </c>
      <c r="N15" s="29"/>
      <c r="O15" s="29"/>
      <c r="P15" s="29"/>
      <c r="Q15" s="29"/>
      <c r="R15" s="29"/>
      <c r="S15" s="29" t="s">
        <v>42</v>
      </c>
      <c r="T15" s="29"/>
      <c r="U15" s="29"/>
      <c r="V15" s="51"/>
    </row>
    <row r="16" ht="24" customHeight="1" spans="1:22">
      <c r="A16" s="26">
        <f>记录夹片公式!A10</f>
        <v>5</v>
      </c>
      <c r="B16" s="27"/>
      <c r="C16" s="27"/>
      <c r="D16" s="28" t="s">
        <v>31</v>
      </c>
      <c r="E16" s="29">
        <f ca="1">记录夹片公式!B10</f>
        <v>63</v>
      </c>
      <c r="F16" s="29">
        <f ca="1">记录夹片公式!C10</f>
        <v>57.5</v>
      </c>
      <c r="G16" s="29">
        <f ca="1">记录夹片公式!D10</f>
        <v>60</v>
      </c>
      <c r="H16" s="29">
        <f ca="1">记录夹片公式!E10</f>
        <v>63.5</v>
      </c>
      <c r="I16" s="29">
        <f ca="1">记录夹片公式!F10</f>
        <v>61</v>
      </c>
      <c r="J16" s="29" t="str">
        <f>记录夹片公式!G10</f>
        <v>/</v>
      </c>
      <c r="K16" s="29">
        <f ca="1" t="shared" si="0"/>
        <v>60.5</v>
      </c>
      <c r="L16" s="29"/>
      <c r="M16" s="29" t="s">
        <v>43</v>
      </c>
      <c r="N16" s="29"/>
      <c r="O16" s="29"/>
      <c r="P16" s="29"/>
      <c r="Q16" s="29"/>
      <c r="R16" s="29"/>
      <c r="S16" s="29" t="s">
        <v>42</v>
      </c>
      <c r="T16" s="29"/>
      <c r="U16" s="29"/>
      <c r="V16" s="51"/>
    </row>
    <row r="17" ht="24" customHeight="1" spans="1:22">
      <c r="A17" s="26">
        <f>记录夹片公式!A12</f>
        <v>6</v>
      </c>
      <c r="B17" s="27"/>
      <c r="C17" s="27"/>
      <c r="D17" s="28" t="s">
        <v>31</v>
      </c>
      <c r="E17" s="29">
        <f ca="1">记录夹片公式!B12</f>
        <v>58</v>
      </c>
      <c r="F17" s="29">
        <f ca="1">记录夹片公式!C12</f>
        <v>63</v>
      </c>
      <c r="G17" s="29">
        <f ca="1">记录夹片公式!D12</f>
        <v>60.5</v>
      </c>
      <c r="H17" s="29">
        <f ca="1">记录夹片公式!E12</f>
        <v>63.5</v>
      </c>
      <c r="I17" s="29">
        <f ca="1">记录夹片公式!F12</f>
        <v>60.5</v>
      </c>
      <c r="J17" s="29" t="str">
        <f>记录夹片公式!G12</f>
        <v>/</v>
      </c>
      <c r="K17" s="29">
        <f ca="1" t="shared" si="0"/>
        <v>61.875</v>
      </c>
      <c r="L17" s="29"/>
      <c r="M17" s="29" t="s">
        <v>43</v>
      </c>
      <c r="N17" s="29"/>
      <c r="O17" s="29"/>
      <c r="P17" s="29"/>
      <c r="Q17" s="29"/>
      <c r="R17" s="29"/>
      <c r="S17" s="29" t="s">
        <v>42</v>
      </c>
      <c r="T17" s="29"/>
      <c r="U17" s="29"/>
      <c r="V17" s="51"/>
    </row>
    <row r="18" ht="24" customHeight="1" spans="1:22">
      <c r="A18" s="26">
        <f>记录夹片公式!A14</f>
        <v>7</v>
      </c>
      <c r="B18" s="27"/>
      <c r="C18" s="27"/>
      <c r="D18" s="28" t="s">
        <v>31</v>
      </c>
      <c r="E18" s="29">
        <f ca="1">记录夹片公式!B14</f>
        <v>60</v>
      </c>
      <c r="F18" s="29">
        <f ca="1">记录夹片公式!C14</f>
        <v>60.5</v>
      </c>
      <c r="G18" s="29">
        <f ca="1">记录夹片公式!D14</f>
        <v>58</v>
      </c>
      <c r="H18" s="29">
        <f ca="1">记录夹片公式!E14</f>
        <v>61</v>
      </c>
      <c r="I18" s="29">
        <f ca="1">记录夹片公式!F14</f>
        <v>57</v>
      </c>
      <c r="J18" s="29" t="str">
        <f>记录夹片公式!G14</f>
        <v>/</v>
      </c>
      <c r="K18" s="29">
        <f ca="1" t="shared" si="0"/>
        <v>59.125</v>
      </c>
      <c r="L18" s="29"/>
      <c r="M18" s="29" t="s">
        <v>43</v>
      </c>
      <c r="N18" s="29"/>
      <c r="O18" s="29"/>
      <c r="P18" s="29"/>
      <c r="Q18" s="29"/>
      <c r="R18" s="29"/>
      <c r="S18" s="29" t="s">
        <v>42</v>
      </c>
      <c r="T18" s="29"/>
      <c r="U18" s="29"/>
      <c r="V18" s="51"/>
    </row>
    <row r="19" ht="24" customHeight="1" spans="1:22">
      <c r="A19" s="26">
        <f>记录夹片公式!A16</f>
        <v>8</v>
      </c>
      <c r="B19" s="27"/>
      <c r="C19" s="27"/>
      <c r="D19" s="28" t="s">
        <v>31</v>
      </c>
      <c r="E19" s="29">
        <f ca="1">记录夹片公式!B16</f>
        <v>63</v>
      </c>
      <c r="F19" s="29">
        <f ca="1">记录夹片公式!C16</f>
        <v>59.5</v>
      </c>
      <c r="G19" s="29">
        <f ca="1">记录夹片公式!D16</f>
        <v>63</v>
      </c>
      <c r="H19" s="29">
        <f ca="1">记录夹片公式!E16</f>
        <v>57.5</v>
      </c>
      <c r="I19" s="29">
        <f ca="1">记录夹片公式!F16</f>
        <v>64</v>
      </c>
      <c r="J19" s="29" t="str">
        <f>记录夹片公式!G16</f>
        <v>/</v>
      </c>
      <c r="K19" s="29">
        <f ca="1" t="shared" si="0"/>
        <v>61</v>
      </c>
      <c r="L19" s="29"/>
      <c r="M19" s="29" t="s">
        <v>43</v>
      </c>
      <c r="N19" s="29"/>
      <c r="O19" s="29"/>
      <c r="P19" s="29"/>
      <c r="Q19" s="29"/>
      <c r="R19" s="29"/>
      <c r="S19" s="29" t="s">
        <v>42</v>
      </c>
      <c r="T19" s="29"/>
      <c r="U19" s="29"/>
      <c r="V19" s="51"/>
    </row>
    <row r="20" ht="24" customHeight="1" spans="1:22">
      <c r="A20" s="26">
        <f>记录夹片公式!A18</f>
        <v>9</v>
      </c>
      <c r="B20" s="27"/>
      <c r="C20" s="27"/>
      <c r="D20" s="28" t="s">
        <v>31</v>
      </c>
      <c r="E20" s="29">
        <f ca="1">记录夹片公式!B18</f>
        <v>59</v>
      </c>
      <c r="F20" s="29">
        <f ca="1">记录夹片公式!C18</f>
        <v>61.5</v>
      </c>
      <c r="G20" s="29">
        <f ca="1">记录夹片公式!D18</f>
        <v>62.5</v>
      </c>
      <c r="H20" s="29">
        <f ca="1">记录夹片公式!E18</f>
        <v>57.5</v>
      </c>
      <c r="I20" s="29">
        <f ca="1">记录夹片公式!F18</f>
        <v>63</v>
      </c>
      <c r="J20" s="29" t="str">
        <f>记录夹片公式!G18</f>
        <v>/</v>
      </c>
      <c r="K20" s="29">
        <f ca="1" t="shared" si="0"/>
        <v>61.125</v>
      </c>
      <c r="L20" s="29"/>
      <c r="M20" s="29" t="s">
        <v>43</v>
      </c>
      <c r="N20" s="29"/>
      <c r="O20" s="29"/>
      <c r="P20" s="29"/>
      <c r="Q20" s="29"/>
      <c r="R20" s="29"/>
      <c r="S20" s="29" t="s">
        <v>42</v>
      </c>
      <c r="T20" s="29"/>
      <c r="U20" s="29"/>
      <c r="V20" s="51"/>
    </row>
    <row r="21" ht="24" customHeight="1" spans="1:22">
      <c r="A21" s="26">
        <f>记录夹片公式!A20</f>
        <v>10</v>
      </c>
      <c r="B21" s="27"/>
      <c r="C21" s="27"/>
      <c r="D21" s="28" t="s">
        <v>31</v>
      </c>
      <c r="E21" s="29">
        <f ca="1">记录夹片公式!B20</f>
        <v>61.5</v>
      </c>
      <c r="F21" s="29">
        <f ca="1">记录夹片公式!C20</f>
        <v>63.5</v>
      </c>
      <c r="G21" s="29">
        <f ca="1">记录夹片公式!D20</f>
        <v>57.5</v>
      </c>
      <c r="H21" s="29">
        <f ca="1">记录夹片公式!E20</f>
        <v>62</v>
      </c>
      <c r="I21" s="29">
        <f ca="1">记录夹片公式!F20</f>
        <v>61</v>
      </c>
      <c r="J21" s="29" t="str">
        <f>记录夹片公式!G20</f>
        <v>/</v>
      </c>
      <c r="K21" s="29">
        <f ca="1" t="shared" si="0"/>
        <v>61</v>
      </c>
      <c r="L21" s="29"/>
      <c r="M21" s="29" t="s">
        <v>43</v>
      </c>
      <c r="N21" s="29"/>
      <c r="O21" s="29"/>
      <c r="P21" s="29"/>
      <c r="Q21" s="29"/>
      <c r="R21" s="29"/>
      <c r="S21" s="29" t="s">
        <v>42</v>
      </c>
      <c r="T21" s="29"/>
      <c r="U21" s="29"/>
      <c r="V21" s="51"/>
    </row>
    <row r="22" ht="24" customHeight="1" spans="1:22">
      <c r="A22" s="26">
        <f>记录夹片公式!A22</f>
        <v>11</v>
      </c>
      <c r="B22" s="27"/>
      <c r="C22" s="27"/>
      <c r="D22" s="28" t="s">
        <v>31</v>
      </c>
      <c r="E22" s="29">
        <f ca="1">记录夹片公式!B22</f>
        <v>62</v>
      </c>
      <c r="F22" s="29">
        <f ca="1">记录夹片公式!C22</f>
        <v>61</v>
      </c>
      <c r="G22" s="29">
        <f ca="1">记录夹片公式!D22</f>
        <v>63</v>
      </c>
      <c r="H22" s="29">
        <f ca="1">记录夹片公式!E22</f>
        <v>60.5</v>
      </c>
      <c r="I22" s="29">
        <f ca="1">记录夹片公式!F22</f>
        <v>57</v>
      </c>
      <c r="J22" s="29" t="str">
        <f>记录夹片公式!G22</f>
        <v>/</v>
      </c>
      <c r="K22" s="29">
        <f ca="1" t="shared" si="0"/>
        <v>60.375</v>
      </c>
      <c r="L22" s="29"/>
      <c r="M22" s="29" t="s">
        <v>43</v>
      </c>
      <c r="N22" s="29"/>
      <c r="O22" s="29"/>
      <c r="P22" s="29"/>
      <c r="Q22" s="29"/>
      <c r="R22" s="29"/>
      <c r="S22" s="29" t="s">
        <v>42</v>
      </c>
      <c r="T22" s="29"/>
      <c r="U22" s="29"/>
      <c r="V22" s="51"/>
    </row>
    <row r="23" ht="24" customHeight="1" spans="1:22">
      <c r="A23" s="26">
        <f>记录夹片公式!A24</f>
        <v>12</v>
      </c>
      <c r="B23" s="27"/>
      <c r="C23" s="27"/>
      <c r="D23" s="28" t="s">
        <v>31</v>
      </c>
      <c r="E23" s="29">
        <f ca="1">记录夹片公式!B24</f>
        <v>62.5</v>
      </c>
      <c r="F23" s="29">
        <f ca="1">记录夹片公式!C24</f>
        <v>61.5</v>
      </c>
      <c r="G23" s="29">
        <f ca="1">记录夹片公式!D24</f>
        <v>63.5</v>
      </c>
      <c r="H23" s="29">
        <f ca="1">记录夹片公式!E24</f>
        <v>61.5</v>
      </c>
      <c r="I23" s="29">
        <f ca="1">记录夹片公式!F24</f>
        <v>61.5</v>
      </c>
      <c r="J23" s="29" t="str">
        <f>记录夹片公式!G24</f>
        <v>/</v>
      </c>
      <c r="K23" s="29">
        <f ca="1" t="shared" si="0"/>
        <v>62</v>
      </c>
      <c r="L23" s="29"/>
      <c r="M23" s="29" t="s">
        <v>43</v>
      </c>
      <c r="N23" s="29"/>
      <c r="O23" s="29"/>
      <c r="P23" s="29"/>
      <c r="Q23" s="29"/>
      <c r="R23" s="29"/>
      <c r="S23" s="29" t="s">
        <v>42</v>
      </c>
      <c r="T23" s="29"/>
      <c r="U23" s="29"/>
      <c r="V23" s="51"/>
    </row>
    <row r="24" ht="24" customHeight="1" spans="1:22">
      <c r="A24" s="26">
        <f>记录夹片公式!A26</f>
        <v>13</v>
      </c>
      <c r="B24" s="27"/>
      <c r="C24" s="27"/>
      <c r="D24" s="28" t="s">
        <v>31</v>
      </c>
      <c r="E24" s="29">
        <f ca="1">记录夹片公式!B26</f>
        <v>60</v>
      </c>
      <c r="F24" s="29">
        <f ca="1">记录夹片公式!C26</f>
        <v>61.5</v>
      </c>
      <c r="G24" s="29">
        <f ca="1">记录夹片公式!D26</f>
        <v>63.5</v>
      </c>
      <c r="H24" s="29">
        <f ca="1">记录夹片公式!E26</f>
        <v>57.5</v>
      </c>
      <c r="I24" s="29">
        <f ca="1">记录夹片公式!F26</f>
        <v>62.5</v>
      </c>
      <c r="J24" s="29" t="str">
        <f>记录夹片公式!G26</f>
        <v>/</v>
      </c>
      <c r="K24" s="29">
        <f ca="1" t="shared" si="0"/>
        <v>61.25</v>
      </c>
      <c r="L24" s="29"/>
      <c r="M24" s="29" t="s">
        <v>43</v>
      </c>
      <c r="N24" s="29"/>
      <c r="O24" s="29"/>
      <c r="P24" s="29"/>
      <c r="Q24" s="29"/>
      <c r="R24" s="29"/>
      <c r="S24" s="29" t="s">
        <v>42</v>
      </c>
      <c r="T24" s="29"/>
      <c r="U24" s="29"/>
      <c r="V24" s="51"/>
    </row>
    <row r="25" ht="24" customHeight="1" spans="1:22">
      <c r="A25" s="26">
        <f>记录夹片公式!A28</f>
        <v>14</v>
      </c>
      <c r="B25" s="27"/>
      <c r="C25" s="27"/>
      <c r="D25" s="28" t="s">
        <v>31</v>
      </c>
      <c r="E25" s="29">
        <f ca="1">记录夹片公式!B28</f>
        <v>63.5</v>
      </c>
      <c r="F25" s="29">
        <f ca="1">记录夹片公式!C28</f>
        <v>63.5</v>
      </c>
      <c r="G25" s="29">
        <f ca="1">记录夹片公式!D28</f>
        <v>63.5</v>
      </c>
      <c r="H25" s="29">
        <f ca="1">记录夹片公式!E28</f>
        <v>61</v>
      </c>
      <c r="I25" s="29">
        <f ca="1">记录夹片公式!F28</f>
        <v>62</v>
      </c>
      <c r="J25" s="29" t="str">
        <f>记录夹片公式!G28</f>
        <v>/</v>
      </c>
      <c r="K25" s="29">
        <f ca="1" t="shared" si="0"/>
        <v>62.5</v>
      </c>
      <c r="L25" s="29"/>
      <c r="M25" s="29" t="s">
        <v>43</v>
      </c>
      <c r="N25" s="29"/>
      <c r="O25" s="29"/>
      <c r="P25" s="29"/>
      <c r="Q25" s="29"/>
      <c r="R25" s="29"/>
      <c r="S25" s="29" t="s">
        <v>42</v>
      </c>
      <c r="T25" s="29"/>
      <c r="U25" s="29"/>
      <c r="V25" s="51"/>
    </row>
    <row r="26" ht="24" customHeight="1" spans="1:22">
      <c r="A26" s="26">
        <f>记录夹片公式!A30</f>
        <v>15</v>
      </c>
      <c r="B26" s="27"/>
      <c r="C26" s="27"/>
      <c r="D26" s="28" t="s">
        <v>31</v>
      </c>
      <c r="E26" s="29">
        <f ca="1">记录夹片公式!B30</f>
        <v>59.5</v>
      </c>
      <c r="F26" s="29">
        <f ca="1">记录夹片公式!C30</f>
        <v>58</v>
      </c>
      <c r="G26" s="29">
        <f ca="1">记录夹片公式!D30</f>
        <v>60</v>
      </c>
      <c r="H26" s="29">
        <f ca="1">记录夹片公式!E30</f>
        <v>59.5</v>
      </c>
      <c r="I26" s="29">
        <f ca="1">记录夹片公式!F30</f>
        <v>59.5</v>
      </c>
      <c r="J26" s="29" t="str">
        <f>记录夹片公式!G30</f>
        <v>/</v>
      </c>
      <c r="K26" s="29">
        <f ca="1" t="shared" si="0"/>
        <v>59.25</v>
      </c>
      <c r="L26" s="29"/>
      <c r="M26" s="29" t="s">
        <v>43</v>
      </c>
      <c r="N26" s="29"/>
      <c r="O26" s="29"/>
      <c r="P26" s="29"/>
      <c r="Q26" s="29"/>
      <c r="R26" s="29"/>
      <c r="S26" s="29" t="s">
        <v>42</v>
      </c>
      <c r="T26" s="29"/>
      <c r="U26" s="29"/>
      <c r="V26" s="51"/>
    </row>
    <row r="27" ht="24" customHeight="1" spans="1:22">
      <c r="A27" s="26">
        <f>记录夹片公式!A32</f>
        <v>16</v>
      </c>
      <c r="B27" s="27"/>
      <c r="C27" s="27"/>
      <c r="D27" s="28" t="s">
        <v>31</v>
      </c>
      <c r="E27" s="29">
        <f ca="1">记录夹片公式!B32</f>
        <v>60.5</v>
      </c>
      <c r="F27" s="29">
        <f ca="1">记录夹片公式!C32</f>
        <v>59.5</v>
      </c>
      <c r="G27" s="29">
        <f ca="1">记录夹片公式!D32</f>
        <v>60</v>
      </c>
      <c r="H27" s="29">
        <f ca="1">记录夹片公式!E32</f>
        <v>59.5</v>
      </c>
      <c r="I27" s="29">
        <f ca="1">记录夹片公式!F32</f>
        <v>57.5</v>
      </c>
      <c r="J27" s="29" t="str">
        <f>记录夹片公式!G32</f>
        <v>/</v>
      </c>
      <c r="K27" s="29">
        <f ca="1" t="shared" si="0"/>
        <v>59.125</v>
      </c>
      <c r="L27" s="29"/>
      <c r="M27" s="29" t="s">
        <v>43</v>
      </c>
      <c r="N27" s="29"/>
      <c r="O27" s="29"/>
      <c r="P27" s="29"/>
      <c r="Q27" s="29"/>
      <c r="R27" s="29"/>
      <c r="S27" s="29" t="s">
        <v>42</v>
      </c>
      <c r="T27" s="29"/>
      <c r="U27" s="29"/>
      <c r="V27" s="51"/>
    </row>
    <row r="28" ht="24" customHeight="1" spans="1:22">
      <c r="A28" s="26">
        <f>记录夹片公式!A34</f>
        <v>17</v>
      </c>
      <c r="B28" s="27"/>
      <c r="C28" s="27"/>
      <c r="D28" s="28" t="s">
        <v>31</v>
      </c>
      <c r="E28" s="29">
        <f ca="1">记录夹片公式!B34</f>
        <v>61</v>
      </c>
      <c r="F28" s="29">
        <f ca="1">记录夹片公式!C34</f>
        <v>63.5</v>
      </c>
      <c r="G28" s="29">
        <f ca="1">记录夹片公式!D34</f>
        <v>59.5</v>
      </c>
      <c r="H28" s="29">
        <f ca="1">记录夹片公式!E34</f>
        <v>63.5</v>
      </c>
      <c r="I28" s="29">
        <f ca="1">记录夹片公式!F34</f>
        <v>57.5</v>
      </c>
      <c r="J28" s="29" t="str">
        <f>记录夹片公式!G34</f>
        <v>/</v>
      </c>
      <c r="K28" s="29">
        <f ca="1" t="shared" si="0"/>
        <v>61</v>
      </c>
      <c r="L28" s="29"/>
      <c r="M28" s="29" t="s">
        <v>43</v>
      </c>
      <c r="N28" s="29"/>
      <c r="O28" s="29"/>
      <c r="P28" s="29"/>
      <c r="Q28" s="29"/>
      <c r="R28" s="29"/>
      <c r="S28" s="29" t="s">
        <v>42</v>
      </c>
      <c r="T28" s="29"/>
      <c r="U28" s="29"/>
      <c r="V28" s="51"/>
    </row>
    <row r="29" ht="17.25" customHeight="1" spans="1:22">
      <c r="A29" s="148" t="s">
        <v>69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52"/>
    </row>
    <row r="30" ht="39" customHeight="1" spans="1:2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3"/>
    </row>
    <row r="31" ht="27.75" customHeight="1" spans="1:22">
      <c r="A31" s="34" t="s">
        <v>50</v>
      </c>
      <c r="B31" s="149" t="s">
        <v>70</v>
      </c>
      <c r="C31" s="35"/>
      <c r="D31" s="35"/>
      <c r="E31" s="150" t="s">
        <v>71</v>
      </c>
      <c r="F31" s="37"/>
      <c r="G31" s="149" t="s">
        <v>70</v>
      </c>
      <c r="H31" s="38"/>
      <c r="I31" s="38"/>
      <c r="J31" s="36" t="s">
        <v>72</v>
      </c>
      <c r="K31" s="36"/>
      <c r="L31" s="151" t="s">
        <v>70</v>
      </c>
      <c r="M31" s="44"/>
      <c r="N31" s="44"/>
      <c r="O31" s="152" t="s">
        <v>73</v>
      </c>
      <c r="P31" s="45"/>
      <c r="Q31" s="151" t="s">
        <v>70</v>
      </c>
      <c r="R31" s="152" t="s">
        <v>74</v>
      </c>
      <c r="S31" s="45"/>
      <c r="T31" s="44"/>
      <c r="U31" s="152" t="s">
        <v>75</v>
      </c>
      <c r="V31" s="45"/>
    </row>
    <row r="32" ht="34.5" customHeight="1"/>
  </sheetData>
  <mergeCells count="113">
    <mergeCell ref="A1:L1"/>
    <mergeCell ref="N1:O1"/>
    <mergeCell ref="P1:S1"/>
    <mergeCell ref="T1:U1"/>
    <mergeCell ref="A2:V2"/>
    <mergeCell ref="A3:V3"/>
    <mergeCell ref="A4:C4"/>
    <mergeCell ref="D4:H4"/>
    <mergeCell ref="I4:K4"/>
    <mergeCell ref="L4:V4"/>
    <mergeCell ref="A5:C5"/>
    <mergeCell ref="D5:H5"/>
    <mergeCell ref="I5:K5"/>
    <mergeCell ref="L5:V5"/>
    <mergeCell ref="A6:C6"/>
    <mergeCell ref="D6:H6"/>
    <mergeCell ref="I6:K6"/>
    <mergeCell ref="L6:V6"/>
    <mergeCell ref="A7:C7"/>
    <mergeCell ref="D7:H7"/>
    <mergeCell ref="I7:K7"/>
    <mergeCell ref="L7:V7"/>
    <mergeCell ref="A8:C8"/>
    <mergeCell ref="D8:H8"/>
    <mergeCell ref="I8:K8"/>
    <mergeCell ref="L8:V8"/>
    <mergeCell ref="A9:C9"/>
    <mergeCell ref="D9:V9"/>
    <mergeCell ref="A10:C10"/>
    <mergeCell ref="D10:L10"/>
    <mergeCell ref="M10:R10"/>
    <mergeCell ref="S10:V10"/>
    <mergeCell ref="A11:C11"/>
    <mergeCell ref="E11:J11"/>
    <mergeCell ref="K11:L11"/>
    <mergeCell ref="M11:R11"/>
    <mergeCell ref="S11:V11"/>
    <mergeCell ref="A12:C12"/>
    <mergeCell ref="K12:L12"/>
    <mergeCell ref="M12:R12"/>
    <mergeCell ref="S12:V12"/>
    <mergeCell ref="A13:C13"/>
    <mergeCell ref="K13:L13"/>
    <mergeCell ref="M13:R13"/>
    <mergeCell ref="S13:V13"/>
    <mergeCell ref="A14:C14"/>
    <mergeCell ref="K14:L14"/>
    <mergeCell ref="M14:R14"/>
    <mergeCell ref="S14:V14"/>
    <mergeCell ref="A15:C15"/>
    <mergeCell ref="K15:L15"/>
    <mergeCell ref="M15:R15"/>
    <mergeCell ref="S15:V15"/>
    <mergeCell ref="A16:C16"/>
    <mergeCell ref="K16:L16"/>
    <mergeCell ref="M16:R16"/>
    <mergeCell ref="S16:V16"/>
    <mergeCell ref="A17:C17"/>
    <mergeCell ref="K17:L17"/>
    <mergeCell ref="M17:R17"/>
    <mergeCell ref="S17:V17"/>
    <mergeCell ref="A18:C18"/>
    <mergeCell ref="K18:L18"/>
    <mergeCell ref="M18:R18"/>
    <mergeCell ref="S18:V18"/>
    <mergeCell ref="A19:C19"/>
    <mergeCell ref="K19:L19"/>
    <mergeCell ref="M19:R19"/>
    <mergeCell ref="S19:V19"/>
    <mergeCell ref="A20:C20"/>
    <mergeCell ref="K20:L20"/>
    <mergeCell ref="M20:R20"/>
    <mergeCell ref="S20:V20"/>
    <mergeCell ref="A21:C21"/>
    <mergeCell ref="K21:L21"/>
    <mergeCell ref="M21:R21"/>
    <mergeCell ref="S21:V21"/>
    <mergeCell ref="A22:C22"/>
    <mergeCell ref="K22:L22"/>
    <mergeCell ref="M22:R22"/>
    <mergeCell ref="S22:V22"/>
    <mergeCell ref="A23:C23"/>
    <mergeCell ref="K23:L23"/>
    <mergeCell ref="M23:R23"/>
    <mergeCell ref="S23:V23"/>
    <mergeCell ref="A24:C24"/>
    <mergeCell ref="K24:L24"/>
    <mergeCell ref="M24:R24"/>
    <mergeCell ref="S24:V24"/>
    <mergeCell ref="A25:C25"/>
    <mergeCell ref="K25:L25"/>
    <mergeCell ref="M25:R25"/>
    <mergeCell ref="S25:V25"/>
    <mergeCell ref="A26:C26"/>
    <mergeCell ref="K26:L26"/>
    <mergeCell ref="M26:R26"/>
    <mergeCell ref="S26:V26"/>
    <mergeCell ref="A27:C27"/>
    <mergeCell ref="K27:L27"/>
    <mergeCell ref="M27:R27"/>
    <mergeCell ref="S27:V27"/>
    <mergeCell ref="A28:C28"/>
    <mergeCell ref="K28:L28"/>
    <mergeCell ref="M28:R28"/>
    <mergeCell ref="S28:V28"/>
    <mergeCell ref="B31:D31"/>
    <mergeCell ref="E31:F31"/>
    <mergeCell ref="J31:K31"/>
    <mergeCell ref="L31:N31"/>
    <mergeCell ref="O31:P31"/>
    <mergeCell ref="R31:S31"/>
    <mergeCell ref="U31:V31"/>
    <mergeCell ref="A29:V30"/>
  </mergeCells>
  <pageMargins left="0.984251968503937" right="0.590551181102362" top="0.590551181102362" bottom="0.590551181102362" header="0" footer="0"/>
  <pageSetup paperSize="9" orientation="portrait"/>
  <headerFooter alignWithMargins="0"/>
  <rowBreaks count="1" manualBreakCount="1">
    <brk id="32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workbookViewId="0">
      <selection activeCell="P19" sqref="P19"/>
    </sheetView>
  </sheetViews>
  <sheetFormatPr defaultColWidth="9" defaultRowHeight="14.4"/>
  <cols>
    <col min="1" max="16384" width="9" style="2"/>
  </cols>
  <sheetData>
    <row r="1" spans="2:11">
      <c r="B1" s="1">
        <f ca="1">ROUND(RAND()*(64-57)+57,1)</f>
        <v>61.1</v>
      </c>
      <c r="C1" s="1">
        <f ca="1" t="shared" ref="C1:F15" si="0">ROUND(RAND()*(64-57)+57,1)</f>
        <v>62.7</v>
      </c>
      <c r="D1" s="1">
        <f ca="1" t="shared" si="0"/>
        <v>57.3</v>
      </c>
      <c r="E1" s="1">
        <f ca="1" t="shared" si="0"/>
        <v>60.2</v>
      </c>
      <c r="F1" s="1">
        <f ca="1" t="shared" si="0"/>
        <v>57.8</v>
      </c>
      <c r="G1" s="1"/>
      <c r="H1" s="1"/>
      <c r="J1" s="2" t="s">
        <v>81</v>
      </c>
      <c r="K1" s="2" t="s">
        <v>82</v>
      </c>
    </row>
    <row r="2" spans="1:13">
      <c r="A2" s="3">
        <v>1</v>
      </c>
      <c r="B2" s="1">
        <f ca="1">ROUND(B1*2,)/2</f>
        <v>61</v>
      </c>
      <c r="C2" s="1">
        <f ca="1">ROUND(C1*2,)/2</f>
        <v>62.5</v>
      </c>
      <c r="D2" s="1">
        <f ca="1">ROUND(D1*2,)/2</f>
        <v>57.5</v>
      </c>
      <c r="E2" s="1">
        <f ca="1">ROUND(E1*2,)/2</f>
        <v>60</v>
      </c>
      <c r="F2" s="1">
        <f ca="1">ROUND(F1*2,)/2</f>
        <v>58</v>
      </c>
      <c r="G2" s="4" t="s">
        <v>42</v>
      </c>
      <c r="H2" s="1"/>
      <c r="I2" s="1">
        <f ca="1">AVERAGE(B2:E2)</f>
        <v>60.25</v>
      </c>
      <c r="J2" s="1">
        <f ca="1">56+FLOOR(RAND()*10,0.5)</f>
        <v>56.5</v>
      </c>
      <c r="K2" s="1"/>
      <c r="L2" s="1">
        <f ca="1">56+FLOOR(RAND()*10,0.5)</f>
        <v>57</v>
      </c>
      <c r="M2" s="1">
        <f ca="1">5+FLOOR(RAND()*2,0.2)</f>
        <v>5.6</v>
      </c>
    </row>
    <row r="3" spans="2:13">
      <c r="B3" s="1">
        <f ca="1" t="shared" ref="B3" si="1">ROUND(RAND()*(64-57)+57,1)</f>
        <v>63.9</v>
      </c>
      <c r="C3" s="1">
        <f ca="1" t="shared" si="0"/>
        <v>61.9</v>
      </c>
      <c r="D3" s="1">
        <f ca="1" t="shared" si="0"/>
        <v>63</v>
      </c>
      <c r="E3" s="1">
        <f ca="1" t="shared" si="0"/>
        <v>57.4</v>
      </c>
      <c r="F3" s="1">
        <f ca="1" t="shared" si="0"/>
        <v>58.2</v>
      </c>
      <c r="G3" s="4" t="s">
        <v>42</v>
      </c>
      <c r="H3" s="1"/>
      <c r="J3" s="1">
        <f ca="1" t="shared" ref="J3:J25" si="2">56+FLOOR(RAND()*10,0.5)</f>
        <v>60.5</v>
      </c>
      <c r="K3" s="1"/>
      <c r="L3" s="1">
        <f ca="1" t="shared" ref="L3:L24" si="3">56+FLOOR(RAND()*10,0.5)</f>
        <v>59</v>
      </c>
      <c r="M3" s="1">
        <f ca="1" t="shared" ref="M3:M24" si="4">5+FLOOR(RAND()*2,0.2)</f>
        <v>6.6</v>
      </c>
    </row>
    <row r="4" spans="1:13">
      <c r="A4" s="3">
        <v>2</v>
      </c>
      <c r="B4" s="1">
        <f ca="1" t="shared" ref="B4" si="5">ROUND(B3*2,)/2</f>
        <v>64</v>
      </c>
      <c r="C4" s="1">
        <f ca="1" t="shared" ref="C4" si="6">ROUND(C3*2,)/2</f>
        <v>62</v>
      </c>
      <c r="D4" s="1">
        <f ca="1" t="shared" ref="D4" si="7">ROUND(D3*2,)/2</f>
        <v>63</v>
      </c>
      <c r="E4" s="1">
        <f ca="1" t="shared" ref="E4" si="8">ROUND(E3*2,)/2</f>
        <v>57.5</v>
      </c>
      <c r="F4" s="1">
        <f ca="1" t="shared" ref="F4" si="9">ROUND(F3*2,)/2</f>
        <v>58</v>
      </c>
      <c r="G4" s="4" t="s">
        <v>42</v>
      </c>
      <c r="H4" s="1"/>
      <c r="I4" s="1">
        <f ca="1">AVERAGE(B4:E4)</f>
        <v>61.625</v>
      </c>
      <c r="J4" s="1">
        <f ca="1" t="shared" si="2"/>
        <v>58</v>
      </c>
      <c r="K4" s="1"/>
      <c r="L4" s="1">
        <f ca="1" t="shared" si="3"/>
        <v>64</v>
      </c>
      <c r="M4" s="1">
        <f ca="1" t="shared" si="4"/>
        <v>6.8</v>
      </c>
    </row>
    <row r="5" spans="2:13">
      <c r="B5" s="1">
        <f ca="1" t="shared" ref="B5" si="10">ROUND(RAND()*(64-57)+57,1)</f>
        <v>61.7</v>
      </c>
      <c r="C5" s="1">
        <f ca="1" t="shared" si="0"/>
        <v>58.9</v>
      </c>
      <c r="D5" s="1">
        <f ca="1" t="shared" si="0"/>
        <v>62.6</v>
      </c>
      <c r="E5" s="1">
        <f ca="1" t="shared" si="0"/>
        <v>58.4</v>
      </c>
      <c r="F5" s="1">
        <f ca="1" t="shared" si="0"/>
        <v>63.7</v>
      </c>
      <c r="G5" s="4" t="s">
        <v>42</v>
      </c>
      <c r="H5" s="1"/>
      <c r="J5" s="1">
        <f ca="1" t="shared" si="2"/>
        <v>56.5</v>
      </c>
      <c r="K5" s="1"/>
      <c r="L5" s="1">
        <f ca="1" t="shared" si="3"/>
        <v>58.5</v>
      </c>
      <c r="M5" s="1">
        <f ca="1" t="shared" si="4"/>
        <v>6.2</v>
      </c>
    </row>
    <row r="6" spans="1:13">
      <c r="A6" s="3">
        <v>3</v>
      </c>
      <c r="B6" s="1">
        <f ca="1" t="shared" ref="B6" si="11">ROUND(B5*2,)/2</f>
        <v>61.5</v>
      </c>
      <c r="C6" s="1">
        <f ca="1" t="shared" ref="C6" si="12">ROUND(C5*2,)/2</f>
        <v>59</v>
      </c>
      <c r="D6" s="1">
        <f ca="1" t="shared" ref="D6" si="13">ROUND(D5*2,)/2</f>
        <v>62.5</v>
      </c>
      <c r="E6" s="1">
        <f ca="1" t="shared" ref="E6" si="14">ROUND(E5*2,)/2</f>
        <v>58.5</v>
      </c>
      <c r="F6" s="1">
        <f ca="1" t="shared" ref="F6" si="15">ROUND(F5*2,)/2</f>
        <v>63.5</v>
      </c>
      <c r="G6" s="4" t="s">
        <v>42</v>
      </c>
      <c r="H6" s="1"/>
      <c r="I6" s="1">
        <f ca="1">AVERAGE(B6:E6)</f>
        <v>60.375</v>
      </c>
      <c r="J6" s="1">
        <f ca="1" t="shared" si="2"/>
        <v>59</v>
      </c>
      <c r="K6" s="1"/>
      <c r="L6" s="1">
        <f ca="1" t="shared" si="3"/>
        <v>65.5</v>
      </c>
      <c r="M6" s="1">
        <f ca="1" t="shared" si="4"/>
        <v>5.8</v>
      </c>
    </row>
    <row r="7" spans="2:13">
      <c r="B7" s="1">
        <f ca="1" t="shared" ref="B7" si="16">ROUND(RAND()*(64-57)+57,1)</f>
        <v>57</v>
      </c>
      <c r="C7" s="1">
        <f ca="1" t="shared" si="0"/>
        <v>62.4</v>
      </c>
      <c r="D7" s="1">
        <f ca="1" t="shared" si="0"/>
        <v>62.1</v>
      </c>
      <c r="E7" s="1">
        <f ca="1" t="shared" si="0"/>
        <v>59.7</v>
      </c>
      <c r="F7" s="1">
        <f ca="1" t="shared" si="0"/>
        <v>59.6</v>
      </c>
      <c r="G7" s="4" t="s">
        <v>42</v>
      </c>
      <c r="H7" s="1"/>
      <c r="J7" s="1">
        <f ca="1" t="shared" si="2"/>
        <v>64</v>
      </c>
      <c r="K7" s="1"/>
      <c r="L7" s="1">
        <f ca="1" t="shared" si="3"/>
        <v>61</v>
      </c>
      <c r="M7" s="1">
        <f ca="1" t="shared" si="4"/>
        <v>5.2</v>
      </c>
    </row>
    <row r="8" s="1" customFormat="1" spans="1:13">
      <c r="A8" s="3">
        <v>4</v>
      </c>
      <c r="B8" s="1">
        <f ca="1" t="shared" ref="B8" si="17">ROUND(B7*2,)/2</f>
        <v>57</v>
      </c>
      <c r="C8" s="1">
        <f ca="1" t="shared" ref="C8" si="18">ROUND(C7*2,)/2</f>
        <v>62.5</v>
      </c>
      <c r="D8" s="1">
        <f ca="1" t="shared" ref="D8" si="19">ROUND(D7*2,)/2</f>
        <v>62</v>
      </c>
      <c r="E8" s="1">
        <f ca="1" t="shared" ref="E8" si="20">ROUND(E7*2,)/2</f>
        <v>59.5</v>
      </c>
      <c r="F8" s="1">
        <f ca="1" t="shared" ref="F8" si="21">ROUND(F7*2,)/2</f>
        <v>59.5</v>
      </c>
      <c r="G8" s="4" t="s">
        <v>42</v>
      </c>
      <c r="I8" s="1">
        <f ca="1">AVERAGE(B8:E8)</f>
        <v>60.25</v>
      </c>
      <c r="J8" s="1">
        <f ca="1" t="shared" si="2"/>
        <v>65</v>
      </c>
      <c r="L8" s="1">
        <f ca="1" t="shared" si="3"/>
        <v>64</v>
      </c>
      <c r="M8" s="1">
        <f ca="1" t="shared" si="4"/>
        <v>6.4</v>
      </c>
    </row>
    <row r="9" spans="2:13">
      <c r="B9" s="1">
        <f ca="1" t="shared" ref="B9" si="22">ROUND(RAND()*(64-57)+57,1)</f>
        <v>62.8</v>
      </c>
      <c r="C9" s="1">
        <f ca="1" t="shared" si="0"/>
        <v>57.6</v>
      </c>
      <c r="D9" s="1">
        <f ca="1" t="shared" si="0"/>
        <v>59.8</v>
      </c>
      <c r="E9" s="1">
        <f ca="1" t="shared" si="0"/>
        <v>63.5</v>
      </c>
      <c r="F9" s="1">
        <f ca="1" t="shared" si="0"/>
        <v>60.9</v>
      </c>
      <c r="G9" s="4" t="s">
        <v>42</v>
      </c>
      <c r="H9" s="1"/>
      <c r="J9" s="1">
        <f ca="1" t="shared" si="2"/>
        <v>64.5</v>
      </c>
      <c r="K9" s="1"/>
      <c r="L9" s="1">
        <f ca="1" t="shared" si="3"/>
        <v>59.5</v>
      </c>
      <c r="M9" s="1">
        <f ca="1" t="shared" si="4"/>
        <v>5.6</v>
      </c>
    </row>
    <row r="10" s="1" customFormat="1" spans="1:13">
      <c r="A10" s="3">
        <v>5</v>
      </c>
      <c r="B10" s="1">
        <f ca="1" t="shared" ref="B10" si="23">ROUND(B9*2,)/2</f>
        <v>63</v>
      </c>
      <c r="C10" s="1">
        <f ca="1" t="shared" ref="C10" si="24">ROUND(C9*2,)/2</f>
        <v>57.5</v>
      </c>
      <c r="D10" s="1">
        <f ca="1" t="shared" ref="D10" si="25">ROUND(D9*2,)/2</f>
        <v>60</v>
      </c>
      <c r="E10" s="1">
        <f ca="1" t="shared" ref="E10" si="26">ROUND(E9*2,)/2</f>
        <v>63.5</v>
      </c>
      <c r="F10" s="1">
        <f ca="1" t="shared" ref="F10" si="27">ROUND(F9*2,)/2</f>
        <v>61</v>
      </c>
      <c r="G10" s="4" t="s">
        <v>42</v>
      </c>
      <c r="I10" s="1">
        <f ca="1">AVERAGE(B10:E10)</f>
        <v>61</v>
      </c>
      <c r="J10" s="1">
        <f ca="1" t="shared" si="2"/>
        <v>57.5</v>
      </c>
      <c r="L10" s="1">
        <f ca="1" t="shared" si="3"/>
        <v>65.5</v>
      </c>
      <c r="M10" s="1">
        <f ca="1" t="shared" si="4"/>
        <v>5.2</v>
      </c>
    </row>
    <row r="11" spans="2:13">
      <c r="B11" s="1">
        <f ca="1" t="shared" ref="B11" si="28">ROUND(RAND()*(64-57)+57,1)</f>
        <v>58</v>
      </c>
      <c r="C11" s="1">
        <f ca="1" t="shared" si="0"/>
        <v>63</v>
      </c>
      <c r="D11" s="1">
        <f ca="1" t="shared" si="0"/>
        <v>60.6</v>
      </c>
      <c r="E11" s="1">
        <f ca="1" t="shared" si="0"/>
        <v>63.6</v>
      </c>
      <c r="F11" s="1">
        <f ca="1" t="shared" si="0"/>
        <v>60.7</v>
      </c>
      <c r="G11" s="4" t="s">
        <v>42</v>
      </c>
      <c r="H11" s="1"/>
      <c r="J11" s="1">
        <f ca="1" t="shared" si="2"/>
        <v>61.5</v>
      </c>
      <c r="K11" s="1"/>
      <c r="L11" s="1">
        <f ca="1" t="shared" si="3"/>
        <v>60.5</v>
      </c>
      <c r="M11" s="1">
        <f ca="1" t="shared" si="4"/>
        <v>6.6</v>
      </c>
    </row>
    <row r="12" s="1" customFormat="1" spans="1:13">
      <c r="A12" s="3">
        <v>6</v>
      </c>
      <c r="B12" s="1">
        <f ca="1" t="shared" ref="B12" si="29">ROUND(B11*2,)/2</f>
        <v>58</v>
      </c>
      <c r="C12" s="1">
        <f ca="1" t="shared" ref="C12" si="30">ROUND(C11*2,)/2</f>
        <v>63</v>
      </c>
      <c r="D12" s="1">
        <f ca="1" t="shared" ref="D12" si="31">ROUND(D11*2,)/2</f>
        <v>60.5</v>
      </c>
      <c r="E12" s="1">
        <f ca="1" t="shared" ref="E12" si="32">ROUND(E11*2,)/2</f>
        <v>63.5</v>
      </c>
      <c r="F12" s="1">
        <f ca="1" t="shared" ref="F12" si="33">ROUND(F11*2,)/2</f>
        <v>60.5</v>
      </c>
      <c r="G12" s="4" t="s">
        <v>42</v>
      </c>
      <c r="I12" s="1">
        <f ca="1">AVERAGE(B12:E12)</f>
        <v>61.25</v>
      </c>
      <c r="J12" s="1">
        <f ca="1" t="shared" si="2"/>
        <v>64.5</v>
      </c>
      <c r="L12" s="1">
        <f ca="1" t="shared" si="3"/>
        <v>64.5</v>
      </c>
      <c r="M12" s="1">
        <f ca="1" t="shared" si="4"/>
        <v>5.6</v>
      </c>
    </row>
    <row r="13" spans="2:13">
      <c r="B13" s="1">
        <f ca="1" t="shared" ref="B13" si="34">ROUND(RAND()*(64-57)+57,1)</f>
        <v>60</v>
      </c>
      <c r="C13" s="1">
        <f ca="1" t="shared" si="0"/>
        <v>60.4</v>
      </c>
      <c r="D13" s="1">
        <f ca="1" t="shared" si="0"/>
        <v>58</v>
      </c>
      <c r="E13" s="1">
        <f ca="1" t="shared" si="0"/>
        <v>60.9</v>
      </c>
      <c r="F13" s="1">
        <f ca="1" t="shared" si="0"/>
        <v>57</v>
      </c>
      <c r="G13" s="4" t="s">
        <v>42</v>
      </c>
      <c r="H13" s="4"/>
      <c r="J13" s="1">
        <f ca="1" t="shared" si="2"/>
        <v>56</v>
      </c>
      <c r="K13" s="1"/>
      <c r="L13" s="1">
        <f ca="1" t="shared" si="3"/>
        <v>65.5</v>
      </c>
      <c r="M13" s="1">
        <f ca="1" t="shared" si="4"/>
        <v>5.4</v>
      </c>
    </row>
    <row r="14" spans="1:13">
      <c r="A14" s="3">
        <v>7</v>
      </c>
      <c r="B14" s="1">
        <f ca="1" t="shared" ref="B14" si="35">ROUND(B13*2,)/2</f>
        <v>60</v>
      </c>
      <c r="C14" s="1">
        <f ca="1" t="shared" ref="C14" si="36">ROUND(C13*2,)/2</f>
        <v>60.5</v>
      </c>
      <c r="D14" s="1">
        <f ca="1" t="shared" ref="D14" si="37">ROUND(D13*2,)/2</f>
        <v>58</v>
      </c>
      <c r="E14" s="1">
        <f ca="1" t="shared" ref="E14" si="38">ROUND(E13*2,)/2</f>
        <v>61</v>
      </c>
      <c r="F14" s="1">
        <f ca="1" t="shared" ref="F14" si="39">ROUND(F13*2,)/2</f>
        <v>57</v>
      </c>
      <c r="G14" s="4" t="s">
        <v>42</v>
      </c>
      <c r="H14" s="4"/>
      <c r="I14" s="1">
        <f ca="1">AVERAGE(B14:E14)</f>
        <v>59.875</v>
      </c>
      <c r="J14" s="1">
        <f ca="1" t="shared" si="2"/>
        <v>63.5</v>
      </c>
      <c r="K14" s="1"/>
      <c r="L14" s="1">
        <f ca="1" t="shared" si="3"/>
        <v>60.5</v>
      </c>
      <c r="M14" s="1">
        <f ca="1" t="shared" si="4"/>
        <v>5.2</v>
      </c>
    </row>
    <row r="15" spans="2:13">
      <c r="B15" s="1">
        <f ca="1" t="shared" ref="B15" si="40">ROUND(RAND()*(64-57)+57,1)</f>
        <v>62.8</v>
      </c>
      <c r="C15" s="1">
        <f ca="1" t="shared" si="0"/>
        <v>59.7</v>
      </c>
      <c r="D15" s="1">
        <f ca="1" t="shared" si="0"/>
        <v>63</v>
      </c>
      <c r="E15" s="1">
        <f ca="1" t="shared" si="0"/>
        <v>57.7</v>
      </c>
      <c r="F15" s="1">
        <f ca="1" t="shared" si="0"/>
        <v>64</v>
      </c>
      <c r="G15" s="4" t="s">
        <v>42</v>
      </c>
      <c r="H15" s="4"/>
      <c r="J15" s="1">
        <f ca="1" t="shared" si="2"/>
        <v>63</v>
      </c>
      <c r="K15" s="1"/>
      <c r="L15" s="1">
        <f ca="1" t="shared" si="3"/>
        <v>60.5</v>
      </c>
      <c r="M15" s="1">
        <f ca="1" t="shared" si="4"/>
        <v>6.8</v>
      </c>
    </row>
    <row r="16" spans="1:13">
      <c r="A16" s="3">
        <v>8</v>
      </c>
      <c r="B16" s="1">
        <f ca="1" t="shared" ref="B16" si="41">ROUND(B15*2,)/2</f>
        <v>63</v>
      </c>
      <c r="C16" s="1">
        <f ca="1" t="shared" ref="C16" si="42">ROUND(C15*2,)/2</f>
        <v>59.5</v>
      </c>
      <c r="D16" s="1">
        <f ca="1" t="shared" ref="D16" si="43">ROUND(D15*2,)/2</f>
        <v>63</v>
      </c>
      <c r="E16" s="1">
        <f ca="1" t="shared" ref="E16" si="44">ROUND(E15*2,)/2</f>
        <v>57.5</v>
      </c>
      <c r="F16" s="1">
        <f ca="1" t="shared" ref="F16" si="45">ROUND(F15*2,)/2</f>
        <v>64</v>
      </c>
      <c r="G16" s="4" t="s">
        <v>42</v>
      </c>
      <c r="H16" s="4"/>
      <c r="I16" s="1">
        <f ca="1">AVERAGE(B16:E16)</f>
        <v>60.75</v>
      </c>
      <c r="J16" s="1">
        <f ca="1" t="shared" si="2"/>
        <v>58.5</v>
      </c>
      <c r="K16" s="1"/>
      <c r="L16" s="1">
        <f ca="1" t="shared" si="3"/>
        <v>61</v>
      </c>
      <c r="M16" s="1">
        <f ca="1" t="shared" si="4"/>
        <v>5.6</v>
      </c>
    </row>
    <row r="17" spans="2:13">
      <c r="B17" s="1">
        <f ca="1" t="shared" ref="B17:F31" si="46">ROUND(RAND()*(64-57)+57,1)</f>
        <v>58.9</v>
      </c>
      <c r="C17" s="1">
        <f ca="1" t="shared" si="46"/>
        <v>61.6</v>
      </c>
      <c r="D17" s="1">
        <f ca="1" t="shared" si="46"/>
        <v>62.5</v>
      </c>
      <c r="E17" s="1">
        <f ca="1" t="shared" si="46"/>
        <v>57.5</v>
      </c>
      <c r="F17" s="1">
        <f ca="1" t="shared" si="46"/>
        <v>63</v>
      </c>
      <c r="G17" s="4" t="s">
        <v>42</v>
      </c>
      <c r="H17" s="4"/>
      <c r="J17" s="1">
        <f ca="1" t="shared" si="2"/>
        <v>63</v>
      </c>
      <c r="K17" s="1"/>
      <c r="L17" s="1">
        <f ca="1" t="shared" si="3"/>
        <v>64</v>
      </c>
      <c r="M17" s="1">
        <f ca="1" t="shared" si="4"/>
        <v>5.6</v>
      </c>
    </row>
    <row r="18" spans="1:13">
      <c r="A18" s="3">
        <v>9</v>
      </c>
      <c r="B18" s="1">
        <f ca="1" t="shared" ref="B18" si="47">ROUND(B17*2,)/2</f>
        <v>59</v>
      </c>
      <c r="C18" s="1">
        <f ca="1" t="shared" ref="C18" si="48">ROUND(C17*2,)/2</f>
        <v>61.5</v>
      </c>
      <c r="D18" s="1">
        <f ca="1" t="shared" ref="D18" si="49">ROUND(D17*2,)/2</f>
        <v>62.5</v>
      </c>
      <c r="E18" s="1">
        <f ca="1" t="shared" ref="E18" si="50">ROUND(E17*2,)/2</f>
        <v>57.5</v>
      </c>
      <c r="F18" s="1">
        <f ca="1" t="shared" ref="F18" si="51">ROUND(F17*2,)/2</f>
        <v>63</v>
      </c>
      <c r="G18" s="4" t="s">
        <v>42</v>
      </c>
      <c r="H18" s="4"/>
      <c r="I18" s="1">
        <f ca="1">AVERAGE(B18:E18)</f>
        <v>60.125</v>
      </c>
      <c r="J18" s="1">
        <f ca="1" t="shared" si="2"/>
        <v>56</v>
      </c>
      <c r="K18" s="1"/>
      <c r="L18" s="1">
        <f ca="1" t="shared" si="3"/>
        <v>57.5</v>
      </c>
      <c r="M18" s="1">
        <f ca="1" t="shared" si="4"/>
        <v>5.8</v>
      </c>
    </row>
    <row r="19" spans="2:13">
      <c r="B19" s="1">
        <f ca="1" t="shared" ref="B19" si="52">ROUND(RAND()*(64-57)+57,1)</f>
        <v>61.3</v>
      </c>
      <c r="C19" s="1">
        <f ca="1" t="shared" si="46"/>
        <v>63.4</v>
      </c>
      <c r="D19" s="1">
        <f ca="1" t="shared" si="46"/>
        <v>57.5</v>
      </c>
      <c r="E19" s="1">
        <f ca="1" t="shared" si="46"/>
        <v>62</v>
      </c>
      <c r="F19" s="1">
        <f ca="1" t="shared" si="46"/>
        <v>61.1</v>
      </c>
      <c r="G19" s="4" t="s">
        <v>42</v>
      </c>
      <c r="H19" s="4"/>
      <c r="J19" s="1">
        <f ca="1" t="shared" si="2"/>
        <v>60.5</v>
      </c>
      <c r="K19" s="1"/>
      <c r="L19" s="1">
        <f ca="1" t="shared" si="3"/>
        <v>61.5</v>
      </c>
      <c r="M19" s="1">
        <f ca="1" t="shared" si="4"/>
        <v>5.6</v>
      </c>
    </row>
    <row r="20" spans="1:13">
      <c r="A20" s="3">
        <v>10</v>
      </c>
      <c r="B20" s="1">
        <f ca="1" t="shared" ref="B20" si="53">ROUND(B19*2,)/2</f>
        <v>61.5</v>
      </c>
      <c r="C20" s="1">
        <f ca="1" t="shared" ref="C20" si="54">ROUND(C19*2,)/2</f>
        <v>63.5</v>
      </c>
      <c r="D20" s="1">
        <f ca="1" t="shared" ref="D20" si="55">ROUND(D19*2,)/2</f>
        <v>57.5</v>
      </c>
      <c r="E20" s="1">
        <f ca="1" t="shared" ref="E20" si="56">ROUND(E19*2,)/2</f>
        <v>62</v>
      </c>
      <c r="F20" s="1">
        <f ca="1" t="shared" ref="F20" si="57">ROUND(F19*2,)/2</f>
        <v>61</v>
      </c>
      <c r="G20" s="4" t="s">
        <v>42</v>
      </c>
      <c r="H20" s="4"/>
      <c r="I20" s="1">
        <f ca="1">AVERAGE(B20:E20)</f>
        <v>61.125</v>
      </c>
      <c r="J20" s="1">
        <f ca="1" t="shared" si="2"/>
        <v>61.5</v>
      </c>
      <c r="K20" s="1"/>
      <c r="L20" s="1">
        <f ca="1" t="shared" si="3"/>
        <v>58.5</v>
      </c>
      <c r="M20" s="1">
        <f ca="1" t="shared" si="4"/>
        <v>5.2</v>
      </c>
    </row>
    <row r="21" spans="2:13">
      <c r="B21" s="1">
        <f ca="1" t="shared" ref="B21" si="58">ROUND(RAND()*(64-57)+57,1)</f>
        <v>61.9</v>
      </c>
      <c r="C21" s="1">
        <f ca="1" t="shared" si="46"/>
        <v>60.9</v>
      </c>
      <c r="D21" s="1">
        <f ca="1" t="shared" si="46"/>
        <v>63.1</v>
      </c>
      <c r="E21" s="1">
        <f ca="1" t="shared" si="46"/>
        <v>60.6</v>
      </c>
      <c r="F21" s="1">
        <f ca="1" t="shared" si="46"/>
        <v>57.2</v>
      </c>
      <c r="G21" s="4" t="s">
        <v>42</v>
      </c>
      <c r="H21" s="4"/>
      <c r="J21" s="1">
        <f ca="1" t="shared" si="2"/>
        <v>57.5</v>
      </c>
      <c r="K21" s="1"/>
      <c r="L21" s="1">
        <f ca="1" t="shared" si="3"/>
        <v>56</v>
      </c>
      <c r="M21" s="1">
        <f ca="1" t="shared" si="4"/>
        <v>5.6</v>
      </c>
    </row>
    <row r="22" spans="1:13">
      <c r="A22" s="3">
        <v>11</v>
      </c>
      <c r="B22" s="1">
        <f ca="1" t="shared" ref="B22" si="59">ROUND(B21*2,)/2</f>
        <v>62</v>
      </c>
      <c r="C22" s="1">
        <f ca="1" t="shared" ref="C22" si="60">ROUND(C21*2,)/2</f>
        <v>61</v>
      </c>
      <c r="D22" s="1">
        <f ca="1" t="shared" ref="D22" si="61">ROUND(D21*2,)/2</f>
        <v>63</v>
      </c>
      <c r="E22" s="1">
        <f ca="1" t="shared" ref="E22" si="62">ROUND(E21*2,)/2</f>
        <v>60.5</v>
      </c>
      <c r="F22" s="1">
        <f ca="1" t="shared" ref="F22" si="63">ROUND(F21*2,)/2</f>
        <v>57</v>
      </c>
      <c r="G22" s="4" t="s">
        <v>42</v>
      </c>
      <c r="H22" s="4"/>
      <c r="I22" s="1">
        <f ca="1">AVERAGE(B22:E22)</f>
        <v>61.625</v>
      </c>
      <c r="J22" s="1">
        <f ca="1" t="shared" si="2"/>
        <v>64</v>
      </c>
      <c r="K22" s="1"/>
      <c r="L22" s="1">
        <f ca="1" t="shared" si="3"/>
        <v>57</v>
      </c>
      <c r="M22" s="1">
        <f ca="1" t="shared" si="4"/>
        <v>5.6</v>
      </c>
    </row>
    <row r="23" spans="2:13">
      <c r="B23" s="1">
        <f ca="1" t="shared" ref="B23" si="64">ROUND(RAND()*(64-57)+57,1)</f>
        <v>62.7</v>
      </c>
      <c r="C23" s="1">
        <f ca="1" t="shared" si="46"/>
        <v>61.7</v>
      </c>
      <c r="D23" s="1">
        <f ca="1" t="shared" si="46"/>
        <v>63.7</v>
      </c>
      <c r="E23" s="1">
        <f ca="1" t="shared" si="46"/>
        <v>61.3</v>
      </c>
      <c r="F23" s="1">
        <f ca="1" t="shared" si="46"/>
        <v>61.6</v>
      </c>
      <c r="G23" s="4" t="s">
        <v>42</v>
      </c>
      <c r="H23" s="4"/>
      <c r="J23" s="1">
        <f ca="1" t="shared" si="2"/>
        <v>59</v>
      </c>
      <c r="K23" s="1"/>
      <c r="L23" s="1">
        <f ca="1" t="shared" si="3"/>
        <v>65</v>
      </c>
      <c r="M23" s="1">
        <f ca="1" t="shared" si="4"/>
        <v>5</v>
      </c>
    </row>
    <row r="24" spans="1:13">
      <c r="A24" s="3">
        <v>12</v>
      </c>
      <c r="B24" s="1">
        <f ca="1" t="shared" ref="B24" si="65">ROUND(B23*2,)/2</f>
        <v>62.5</v>
      </c>
      <c r="C24" s="1">
        <f ca="1" t="shared" ref="C24" si="66">ROUND(C23*2,)/2</f>
        <v>61.5</v>
      </c>
      <c r="D24" s="1">
        <f ca="1" t="shared" ref="D24" si="67">ROUND(D23*2,)/2</f>
        <v>63.5</v>
      </c>
      <c r="E24" s="1">
        <f ca="1" t="shared" ref="E24" si="68">ROUND(E23*2,)/2</f>
        <v>61.5</v>
      </c>
      <c r="F24" s="1">
        <f ca="1" t="shared" ref="F24" si="69">ROUND(F23*2,)/2</f>
        <v>61.5</v>
      </c>
      <c r="G24" s="4" t="s">
        <v>42</v>
      </c>
      <c r="H24" s="4"/>
      <c r="I24" s="1">
        <f ca="1">AVERAGE(B24:E24)</f>
        <v>62.25</v>
      </c>
      <c r="J24" s="1">
        <f ca="1" t="shared" si="2"/>
        <v>56</v>
      </c>
      <c r="K24" s="1"/>
      <c r="L24" s="1">
        <f ca="1" t="shared" si="3"/>
        <v>56</v>
      </c>
      <c r="M24" s="1">
        <f ca="1" t="shared" si="4"/>
        <v>5.4</v>
      </c>
    </row>
    <row r="25" spans="2:10">
      <c r="B25" s="1">
        <f ca="1" t="shared" ref="B25" si="70">ROUND(RAND()*(64-57)+57,1)</f>
        <v>59.8</v>
      </c>
      <c r="C25" s="1">
        <f ca="1" t="shared" si="46"/>
        <v>61.4</v>
      </c>
      <c r="D25" s="1">
        <f ca="1" t="shared" si="46"/>
        <v>63.4</v>
      </c>
      <c r="E25" s="1">
        <f ca="1" t="shared" si="46"/>
        <v>57.3</v>
      </c>
      <c r="F25" s="1">
        <f ca="1" t="shared" si="46"/>
        <v>62.6</v>
      </c>
      <c r="G25" s="4" t="s">
        <v>42</v>
      </c>
      <c r="H25" s="4"/>
      <c r="J25" s="1">
        <f ca="1" t="shared" si="2"/>
        <v>65</v>
      </c>
    </row>
    <row r="26" spans="1:9">
      <c r="A26" s="3">
        <v>13</v>
      </c>
      <c r="B26" s="1">
        <f ca="1" t="shared" ref="B26" si="71">ROUND(B25*2,)/2</f>
        <v>60</v>
      </c>
      <c r="C26" s="1">
        <f ca="1" t="shared" ref="C26" si="72">ROUND(C25*2,)/2</f>
        <v>61.5</v>
      </c>
      <c r="D26" s="1">
        <f ca="1" t="shared" ref="D26" si="73">ROUND(D25*2,)/2</f>
        <v>63.5</v>
      </c>
      <c r="E26" s="1">
        <f ca="1" t="shared" ref="E26" si="74">ROUND(E25*2,)/2</f>
        <v>57.5</v>
      </c>
      <c r="F26" s="1">
        <f ca="1" t="shared" ref="F26" si="75">ROUND(F25*2,)/2</f>
        <v>62.5</v>
      </c>
      <c r="G26" s="4" t="s">
        <v>42</v>
      </c>
      <c r="H26" s="4"/>
      <c r="I26" s="1">
        <f ca="1">AVERAGE(B26:E26)</f>
        <v>60.625</v>
      </c>
    </row>
    <row r="27" spans="2:8">
      <c r="B27" s="1">
        <f ca="1" t="shared" ref="B27:F41" si="76">ROUND(RAND()*(64-57)+57,1)</f>
        <v>63.7</v>
      </c>
      <c r="C27" s="1">
        <f ca="1" t="shared" si="46"/>
        <v>63.7</v>
      </c>
      <c r="D27" s="1">
        <f ca="1" t="shared" si="46"/>
        <v>63.7</v>
      </c>
      <c r="E27" s="1">
        <f ca="1" t="shared" si="46"/>
        <v>61.2</v>
      </c>
      <c r="F27" s="1">
        <f ca="1" t="shared" si="46"/>
        <v>61.9</v>
      </c>
      <c r="G27" s="4" t="s">
        <v>42</v>
      </c>
      <c r="H27" s="4"/>
    </row>
    <row r="28" spans="1:9">
      <c r="A28" s="3">
        <v>14</v>
      </c>
      <c r="B28" s="1">
        <f ca="1" t="shared" ref="B28:F28" si="77">ROUND(B27*2,)/2</f>
        <v>63.5</v>
      </c>
      <c r="C28" s="1">
        <f ca="1" t="shared" si="77"/>
        <v>63.5</v>
      </c>
      <c r="D28" s="1">
        <f ca="1" t="shared" si="77"/>
        <v>63.5</v>
      </c>
      <c r="E28" s="1">
        <f ca="1" t="shared" si="77"/>
        <v>61</v>
      </c>
      <c r="F28" s="1">
        <f ca="1" t="shared" si="77"/>
        <v>62</v>
      </c>
      <c r="G28" s="4" t="s">
        <v>42</v>
      </c>
      <c r="H28" s="4"/>
      <c r="I28" s="1">
        <f ca="1">AVERAGE(B28:E28)</f>
        <v>62.875</v>
      </c>
    </row>
    <row r="29" spans="2:8">
      <c r="B29" s="1">
        <f ca="1" t="shared" si="76"/>
        <v>59.3</v>
      </c>
      <c r="C29" s="1">
        <f ca="1" t="shared" si="46"/>
        <v>58.2</v>
      </c>
      <c r="D29" s="1">
        <f ca="1" t="shared" si="46"/>
        <v>60.1</v>
      </c>
      <c r="E29" s="1">
        <f ca="1" t="shared" si="46"/>
        <v>59.3</v>
      </c>
      <c r="F29" s="1">
        <f ca="1" t="shared" si="46"/>
        <v>59.6</v>
      </c>
      <c r="G29" s="4" t="s">
        <v>42</v>
      </c>
      <c r="H29" s="4"/>
    </row>
    <row r="30" spans="1:9">
      <c r="A30" s="3">
        <v>15</v>
      </c>
      <c r="B30" s="1">
        <f ca="1" t="shared" ref="B30" si="78">ROUND(B29*2,)/2</f>
        <v>59.5</v>
      </c>
      <c r="C30" s="1">
        <f ca="1" t="shared" ref="C30" si="79">ROUND(C29*2,)/2</f>
        <v>58</v>
      </c>
      <c r="D30" s="1">
        <f ca="1" t="shared" ref="D30" si="80">ROUND(D29*2,)/2</f>
        <v>60</v>
      </c>
      <c r="E30" s="1">
        <f ca="1" t="shared" ref="E30" si="81">ROUND(E29*2,)/2</f>
        <v>59.5</v>
      </c>
      <c r="F30" s="1">
        <f ca="1" t="shared" ref="F30" si="82">ROUND(F29*2,)/2</f>
        <v>59.5</v>
      </c>
      <c r="G30" s="4" t="s">
        <v>42</v>
      </c>
      <c r="H30" s="4"/>
      <c r="I30" s="1">
        <f ca="1" t="shared" ref="I30" si="83">AVERAGE(B30:E30)</f>
        <v>59.25</v>
      </c>
    </row>
    <row r="31" spans="2:8">
      <c r="B31" s="1">
        <f ca="1" t="shared" si="76"/>
        <v>60.6</v>
      </c>
      <c r="C31" s="1">
        <f ca="1" t="shared" si="46"/>
        <v>59.6</v>
      </c>
      <c r="D31" s="1">
        <f ca="1" t="shared" si="46"/>
        <v>60.1</v>
      </c>
      <c r="E31" s="1">
        <f ca="1" t="shared" si="46"/>
        <v>59.3</v>
      </c>
      <c r="F31" s="1">
        <f ca="1" t="shared" si="46"/>
        <v>57.7</v>
      </c>
      <c r="G31" s="4" t="s">
        <v>42</v>
      </c>
      <c r="H31" s="4"/>
    </row>
    <row r="32" spans="1:9">
      <c r="A32" s="3">
        <v>16</v>
      </c>
      <c r="B32" s="1">
        <f ca="1" t="shared" ref="B32" si="84">ROUND(B31*2,)/2</f>
        <v>60.5</v>
      </c>
      <c r="C32" s="1">
        <f ca="1" t="shared" ref="C32" si="85">ROUND(C31*2,)/2</f>
        <v>59.5</v>
      </c>
      <c r="D32" s="1">
        <f ca="1" t="shared" ref="D32" si="86">ROUND(D31*2,)/2</f>
        <v>60</v>
      </c>
      <c r="E32" s="1">
        <f ca="1" t="shared" ref="E32" si="87">ROUND(E31*2,)/2</f>
        <v>59.5</v>
      </c>
      <c r="F32" s="1">
        <f ca="1" t="shared" ref="F32" si="88">ROUND(F31*2,)/2</f>
        <v>57.5</v>
      </c>
      <c r="G32" s="4" t="s">
        <v>42</v>
      </c>
      <c r="H32" s="4"/>
      <c r="I32" s="1">
        <f ca="1" t="shared" ref="I32" si="89">AVERAGE(B32:E32)</f>
        <v>59.875</v>
      </c>
    </row>
    <row r="33" spans="2:8">
      <c r="B33" s="1">
        <f ca="1" t="shared" si="76"/>
        <v>61</v>
      </c>
      <c r="C33" s="1">
        <f ca="1" t="shared" si="76"/>
        <v>63.5</v>
      </c>
      <c r="D33" s="1">
        <f ca="1" t="shared" si="76"/>
        <v>59.4</v>
      </c>
      <c r="E33" s="1">
        <f ca="1" t="shared" si="76"/>
        <v>63.4</v>
      </c>
      <c r="F33" s="1">
        <f ca="1" t="shared" si="76"/>
        <v>57.6</v>
      </c>
      <c r="G33" s="4" t="s">
        <v>42</v>
      </c>
      <c r="H33" s="4"/>
    </row>
    <row r="34" spans="1:9">
      <c r="A34" s="3">
        <v>17</v>
      </c>
      <c r="B34" s="1">
        <f ca="1" t="shared" ref="B34" si="90">ROUND(B33*2,)/2</f>
        <v>61</v>
      </c>
      <c r="C34" s="1">
        <f ca="1" t="shared" ref="C34" si="91">ROUND(C33*2,)/2</f>
        <v>63.5</v>
      </c>
      <c r="D34" s="1">
        <f ca="1" t="shared" ref="D34" si="92">ROUND(D33*2,)/2</f>
        <v>59.5</v>
      </c>
      <c r="E34" s="1">
        <f ca="1" t="shared" ref="E34" si="93">ROUND(E33*2,)/2</f>
        <v>63.5</v>
      </c>
      <c r="F34" s="1">
        <f ca="1" t="shared" ref="F34" si="94">ROUND(F33*2,)/2</f>
        <v>57.5</v>
      </c>
      <c r="G34" s="4" t="s">
        <v>42</v>
      </c>
      <c r="H34" s="4"/>
      <c r="I34" s="1">
        <f ca="1" t="shared" ref="I34" si="95">AVERAGE(B34:E34)</f>
        <v>61.875</v>
      </c>
    </row>
    <row r="35" spans="2:8">
      <c r="B35" s="1">
        <f ca="1" t="shared" si="76"/>
        <v>62.3</v>
      </c>
      <c r="C35" s="1">
        <f ca="1" t="shared" si="76"/>
        <v>58.2</v>
      </c>
      <c r="D35" s="1">
        <f ca="1" t="shared" si="76"/>
        <v>61.4</v>
      </c>
      <c r="E35" s="1">
        <f ca="1" t="shared" si="76"/>
        <v>58.4</v>
      </c>
      <c r="F35" s="1">
        <f ca="1" t="shared" si="76"/>
        <v>59</v>
      </c>
      <c r="G35" s="4" t="s">
        <v>42</v>
      </c>
      <c r="H35" s="4"/>
    </row>
    <row r="36" spans="1:9">
      <c r="A36" s="3">
        <v>18</v>
      </c>
      <c r="B36" s="1">
        <f ca="1" t="shared" ref="B36" si="96">ROUND(B35*2,)/2</f>
        <v>62.5</v>
      </c>
      <c r="C36" s="1">
        <f ca="1" t="shared" ref="C36" si="97">ROUND(C35*2,)/2</f>
        <v>58</v>
      </c>
      <c r="D36" s="1">
        <f ca="1" t="shared" ref="D36" si="98">ROUND(D35*2,)/2</f>
        <v>61.5</v>
      </c>
      <c r="E36" s="1">
        <f ca="1" t="shared" ref="E36" si="99">ROUND(E35*2,)/2</f>
        <v>58.5</v>
      </c>
      <c r="F36" s="1">
        <f ca="1" t="shared" ref="F36" si="100">ROUND(F35*2,)/2</f>
        <v>59</v>
      </c>
      <c r="G36" s="4" t="s">
        <v>42</v>
      </c>
      <c r="H36" s="4"/>
      <c r="I36" s="1">
        <f ca="1" t="shared" ref="I36" si="101">AVERAGE(B36:E36)</f>
        <v>60.125</v>
      </c>
    </row>
    <row r="37" spans="2:8">
      <c r="B37" s="1">
        <f ca="1" t="shared" si="76"/>
        <v>58.8</v>
      </c>
      <c r="C37" s="1">
        <f ca="1" t="shared" si="76"/>
        <v>59.6</v>
      </c>
      <c r="D37" s="1">
        <f ca="1" t="shared" si="76"/>
        <v>58.2</v>
      </c>
      <c r="E37" s="1">
        <f ca="1" t="shared" si="76"/>
        <v>63</v>
      </c>
      <c r="F37" s="1">
        <f ca="1" t="shared" si="76"/>
        <v>61.8</v>
      </c>
      <c r="G37" s="4" t="s">
        <v>42</v>
      </c>
      <c r="H37" s="4"/>
    </row>
    <row r="38" spans="1:9">
      <c r="A38" s="3">
        <v>19</v>
      </c>
      <c r="B38" s="1">
        <f ca="1" t="shared" ref="B38" si="102">ROUND(B37*2,)/2</f>
        <v>59</v>
      </c>
      <c r="C38" s="1">
        <f ca="1" t="shared" ref="C38" si="103">ROUND(C37*2,)/2</f>
        <v>59.5</v>
      </c>
      <c r="D38" s="1">
        <f ca="1" t="shared" ref="D38" si="104">ROUND(D37*2,)/2</f>
        <v>58</v>
      </c>
      <c r="E38" s="1">
        <f ca="1" t="shared" ref="E38" si="105">ROUND(E37*2,)/2</f>
        <v>63</v>
      </c>
      <c r="F38" s="1">
        <f ca="1" t="shared" ref="F38" si="106">ROUND(F37*2,)/2</f>
        <v>62</v>
      </c>
      <c r="G38" s="4" t="s">
        <v>42</v>
      </c>
      <c r="H38" s="4"/>
      <c r="I38" s="1">
        <f ca="1" t="shared" ref="I38" si="107">AVERAGE(B38:E38)</f>
        <v>59.875</v>
      </c>
    </row>
    <row r="39" spans="2:8">
      <c r="B39" s="1">
        <f ca="1" t="shared" si="76"/>
        <v>63.2</v>
      </c>
      <c r="C39" s="1">
        <f ca="1" t="shared" si="76"/>
        <v>63.3</v>
      </c>
      <c r="D39" s="1">
        <f ca="1" t="shared" si="76"/>
        <v>60.3</v>
      </c>
      <c r="E39" s="1">
        <f ca="1" t="shared" si="76"/>
        <v>59.9</v>
      </c>
      <c r="F39" s="1">
        <f ca="1" t="shared" si="76"/>
        <v>57.9</v>
      </c>
      <c r="G39" s="4" t="s">
        <v>42</v>
      </c>
      <c r="H39" s="4"/>
    </row>
    <row r="40" spans="1:9">
      <c r="A40" s="3">
        <v>20</v>
      </c>
      <c r="B40" s="1">
        <f ca="1" t="shared" ref="B40" si="108">ROUND(B39*2,)/2</f>
        <v>63</v>
      </c>
      <c r="C40" s="1">
        <f ca="1" t="shared" ref="C40" si="109">ROUND(C39*2,)/2</f>
        <v>63.5</v>
      </c>
      <c r="D40" s="1">
        <f ca="1" t="shared" ref="D40" si="110">ROUND(D39*2,)/2</f>
        <v>60.5</v>
      </c>
      <c r="E40" s="1">
        <f ca="1" t="shared" ref="E40" si="111">ROUND(E39*2,)/2</f>
        <v>60</v>
      </c>
      <c r="F40" s="1">
        <f ca="1" t="shared" ref="F40" si="112">ROUND(F39*2,)/2</f>
        <v>58</v>
      </c>
      <c r="G40" s="4" t="s">
        <v>42</v>
      </c>
      <c r="H40" s="4"/>
      <c r="I40" s="1">
        <f ca="1" t="shared" ref="I40" si="113">AVERAGE(B40:E40)</f>
        <v>61.75</v>
      </c>
    </row>
    <row r="41" spans="2:8">
      <c r="B41" s="1">
        <f ca="1" t="shared" si="76"/>
        <v>57.6</v>
      </c>
      <c r="C41" s="1">
        <f ca="1" t="shared" si="76"/>
        <v>63</v>
      </c>
      <c r="D41" s="1">
        <f ca="1" t="shared" si="76"/>
        <v>57.1</v>
      </c>
      <c r="E41" s="1">
        <f ca="1" t="shared" si="76"/>
        <v>57.8</v>
      </c>
      <c r="F41" s="1">
        <f ca="1" t="shared" si="76"/>
        <v>62.4</v>
      </c>
      <c r="G41" s="4" t="s">
        <v>42</v>
      </c>
      <c r="H41" s="4"/>
    </row>
    <row r="42" spans="1:9">
      <c r="A42" s="3">
        <v>21</v>
      </c>
      <c r="B42" s="1">
        <f ca="1" t="shared" ref="B42" si="114">ROUND(B41*2,)/2</f>
        <v>57.5</v>
      </c>
      <c r="C42" s="1">
        <f ca="1" t="shared" ref="C42" si="115">ROUND(C41*2,)/2</f>
        <v>63</v>
      </c>
      <c r="D42" s="1">
        <f ca="1" t="shared" ref="D42" si="116">ROUND(D41*2,)/2</f>
        <v>57</v>
      </c>
      <c r="E42" s="1">
        <f ca="1" t="shared" ref="E42" si="117">ROUND(E41*2,)/2</f>
        <v>58</v>
      </c>
      <c r="F42" s="1">
        <f ca="1" t="shared" ref="F42" si="118">ROUND(F41*2,)/2</f>
        <v>62.5</v>
      </c>
      <c r="G42" s="4" t="s">
        <v>42</v>
      </c>
      <c r="H42" s="4"/>
      <c r="I42" s="1">
        <f ca="1" t="shared" ref="I42" si="119">AVERAGE(B42:E42)</f>
        <v>58.875</v>
      </c>
    </row>
    <row r="43" spans="2:8">
      <c r="B43" s="1">
        <f ca="1" t="shared" ref="B43:F43" si="120">ROUND(RAND()*(64-57)+57,1)</f>
        <v>62.8</v>
      </c>
      <c r="C43" s="1">
        <f ca="1" t="shared" si="120"/>
        <v>60.9</v>
      </c>
      <c r="D43" s="1">
        <f ca="1" t="shared" si="120"/>
        <v>60.1</v>
      </c>
      <c r="E43" s="1">
        <f ca="1" t="shared" si="120"/>
        <v>58.1</v>
      </c>
      <c r="F43" s="1">
        <f ca="1" t="shared" si="120"/>
        <v>59</v>
      </c>
      <c r="G43" s="4" t="s">
        <v>42</v>
      </c>
      <c r="H43" s="4"/>
    </row>
    <row r="44" spans="1:9">
      <c r="A44" s="3">
        <v>22</v>
      </c>
      <c r="B44" s="1">
        <f ca="1" t="shared" ref="B44" si="121">ROUND(B43*2,)/2</f>
        <v>63</v>
      </c>
      <c r="C44" s="1">
        <f ca="1" t="shared" ref="C44" si="122">ROUND(C43*2,)/2</f>
        <v>61</v>
      </c>
      <c r="D44" s="1">
        <f ca="1" t="shared" ref="D44" si="123">ROUND(D43*2,)/2</f>
        <v>60</v>
      </c>
      <c r="E44" s="1">
        <f ca="1" t="shared" ref="E44:F44" si="124">ROUND(E43*2,)/2</f>
        <v>58</v>
      </c>
      <c r="F44" s="1">
        <f ca="1" t="shared" si="124"/>
        <v>59</v>
      </c>
      <c r="G44" s="4" t="s">
        <v>42</v>
      </c>
      <c r="H44" s="4"/>
      <c r="I44" s="1">
        <f ca="1" t="shared" ref="I44" si="125">AVERAGE(B44:E44)</f>
        <v>60.5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2"/>
  <sheetViews>
    <sheetView topLeftCell="A7" workbookViewId="0">
      <selection activeCell="F26" sqref="F26"/>
    </sheetView>
  </sheetViews>
  <sheetFormatPr defaultColWidth="9" defaultRowHeight="14.4"/>
  <cols>
    <col min="1" max="1" width="6.37962962962963" style="5" customWidth="1"/>
    <col min="2" max="2" width="5.25" style="5" customWidth="1"/>
    <col min="3" max="3" width="1.75" style="5" customWidth="1"/>
    <col min="4" max="4" width="10.5" style="5" customWidth="1"/>
    <col min="5" max="5" width="5.62962962962963" style="5" customWidth="1"/>
    <col min="6" max="6" width="5.5" style="5" customWidth="1"/>
    <col min="7" max="8" width="5" style="5" customWidth="1"/>
    <col min="9" max="9" width="5.62962962962963" style="5" customWidth="1"/>
    <col min="10" max="10" width="5.5" style="5" customWidth="1"/>
    <col min="11" max="11" width="2.5" style="5" customWidth="1"/>
    <col min="12" max="12" width="4.12962962962963" style="5" customWidth="1"/>
    <col min="13" max="13" width="2.25" style="5" customWidth="1"/>
    <col min="14" max="14" width="0.75" style="5" customWidth="1"/>
    <col min="15" max="15" width="2" style="5" customWidth="1"/>
    <col min="16" max="16" width="0.75" style="5" customWidth="1"/>
    <col min="17" max="17" width="2.25" style="5" customWidth="1"/>
    <col min="18" max="18" width="1.37962962962963" style="5" customWidth="1"/>
    <col min="19" max="19" width="1.75" style="5" customWidth="1"/>
    <col min="20" max="20" width="2.5" style="5" customWidth="1"/>
    <col min="21" max="21" width="0.75" style="5" customWidth="1"/>
    <col min="22" max="22" width="3.62962962962963" style="5" customWidth="1"/>
    <col min="23" max="23" width="10.3796296296296" style="5" customWidth="1"/>
    <col min="24" max="16384" width="9" style="5"/>
  </cols>
  <sheetData>
    <row r="1" ht="14.25" customHeight="1" spans="1:22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143" t="s">
        <v>54</v>
      </c>
      <c r="N1" s="40" t="s">
        <v>55</v>
      </c>
      <c r="O1" s="40"/>
      <c r="P1" s="143" t="s">
        <v>56</v>
      </c>
      <c r="Q1" s="39"/>
      <c r="R1" s="39"/>
      <c r="S1" s="39"/>
      <c r="T1" s="40" t="s">
        <v>55</v>
      </c>
      <c r="U1" s="40"/>
      <c r="V1" s="46" t="s">
        <v>57</v>
      </c>
    </row>
    <row r="2" ht="18" customHeight="1" spans="1:22">
      <c r="A2" s="7" t="s">
        <v>58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ht="26.1" customHeight="1" spans="1:22">
      <c r="A3" s="8" t="s">
        <v>59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</row>
    <row r="4" ht="17.25" customHeight="1" spans="1:22">
      <c r="A4" s="144" t="s">
        <v>1</v>
      </c>
      <c r="B4" s="9"/>
      <c r="C4" s="9"/>
      <c r="D4" s="10"/>
      <c r="E4" s="10"/>
      <c r="F4" s="10"/>
      <c r="G4" s="10"/>
      <c r="H4" s="10"/>
      <c r="I4" s="41" t="s">
        <v>61</v>
      </c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ht="27.75" customHeight="1" spans="1:22">
      <c r="A5" s="145" t="s">
        <v>10</v>
      </c>
      <c r="B5" s="12"/>
      <c r="C5" s="12"/>
      <c r="D5" s="13"/>
      <c r="E5" s="13"/>
      <c r="F5" s="13"/>
      <c r="G5" s="13"/>
      <c r="H5" s="13"/>
      <c r="I5" s="42" t="s">
        <v>62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7"/>
    </row>
    <row r="6" ht="26.1" customHeight="1" spans="1:22">
      <c r="A6" s="146" t="s">
        <v>15</v>
      </c>
      <c r="B6" s="15"/>
      <c r="C6" s="15"/>
      <c r="D6" s="16"/>
      <c r="E6" s="16"/>
      <c r="F6" s="16"/>
      <c r="G6" s="16"/>
      <c r="H6" s="16"/>
      <c r="I6" s="25" t="s">
        <v>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48"/>
    </row>
    <row r="7" ht="26.1" customHeight="1" spans="1:22">
      <c r="A7" s="146" t="s">
        <v>21</v>
      </c>
      <c r="B7" s="15"/>
      <c r="C7" s="15"/>
      <c r="D7" s="16"/>
      <c r="E7" s="16"/>
      <c r="F7" s="16"/>
      <c r="G7" s="16"/>
      <c r="H7" s="16"/>
      <c r="I7" s="25" t="s">
        <v>30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48"/>
    </row>
    <row r="8" ht="26.1" customHeight="1" spans="1:22">
      <c r="A8" s="146" t="s">
        <v>63</v>
      </c>
      <c r="B8" s="15"/>
      <c r="C8" s="15"/>
      <c r="D8" s="16" t="s">
        <v>70</v>
      </c>
      <c r="E8" s="16"/>
      <c r="F8" s="16"/>
      <c r="G8" s="16"/>
      <c r="H8" s="16"/>
      <c r="I8" s="25" t="s">
        <v>64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48"/>
    </row>
    <row r="9" ht="25.7" customHeight="1" spans="1:22">
      <c r="A9" s="147" t="s">
        <v>28</v>
      </c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9"/>
    </row>
    <row r="10" ht="24" customHeight="1" spans="1:22">
      <c r="A10" s="20" t="s">
        <v>32</v>
      </c>
      <c r="B10" s="21"/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43" t="s">
        <v>34</v>
      </c>
      <c r="N10" s="43"/>
      <c r="O10" s="43"/>
      <c r="P10" s="43"/>
      <c r="Q10" s="43"/>
      <c r="R10" s="43"/>
      <c r="S10" s="43"/>
      <c r="T10" s="43"/>
      <c r="U10" s="43"/>
      <c r="V10" s="50"/>
    </row>
    <row r="11" ht="24" customHeight="1" spans="1:22">
      <c r="A11" s="14" t="s">
        <v>66</v>
      </c>
      <c r="B11" s="23"/>
      <c r="C11" s="23"/>
      <c r="D11" s="24" t="s">
        <v>37</v>
      </c>
      <c r="E11" s="25" t="s">
        <v>80</v>
      </c>
      <c r="F11" s="25"/>
      <c r="G11" s="25"/>
      <c r="H11" s="25"/>
      <c r="I11" s="25"/>
      <c r="J11" s="25"/>
      <c r="K11" s="25" t="s">
        <v>68</v>
      </c>
      <c r="L11" s="25"/>
      <c r="M11" s="25" t="s">
        <v>39</v>
      </c>
      <c r="N11" s="25"/>
      <c r="O11" s="25"/>
      <c r="P11" s="25"/>
      <c r="Q11" s="25"/>
      <c r="R11" s="25"/>
      <c r="S11" s="25" t="s">
        <v>40</v>
      </c>
      <c r="T11" s="25"/>
      <c r="U11" s="25"/>
      <c r="V11" s="48"/>
    </row>
    <row r="12" ht="24" customHeight="1" spans="1:22">
      <c r="A12" s="26">
        <f>'记录夹片公式 (2)'!A2</f>
        <v>1</v>
      </c>
      <c r="B12" s="27"/>
      <c r="C12" s="27"/>
      <c r="D12" s="28" t="s">
        <v>31</v>
      </c>
      <c r="E12" s="29">
        <f ca="1">'记录夹片公式 (2)'!B2</f>
        <v>58.5</v>
      </c>
      <c r="F12" s="29">
        <f ca="1">'记录夹片公式 (2)'!C2</f>
        <v>59.5</v>
      </c>
      <c r="G12" s="29">
        <f ca="1">'记录夹片公式 (2)'!D2</f>
        <v>59.5</v>
      </c>
      <c r="H12" s="29">
        <f ca="1">'记录夹片公式 (2)'!E2</f>
        <v>58</v>
      </c>
      <c r="I12" s="29">
        <f ca="1">'记录夹片公式 (2)'!F2</f>
        <v>57</v>
      </c>
      <c r="J12" s="29" t="str">
        <f>'记录夹片公式 (2)'!G2</f>
        <v>/</v>
      </c>
      <c r="K12" s="29">
        <f ca="1">AVERAGE(F12:I12)</f>
        <v>58.5</v>
      </c>
      <c r="L12" s="29"/>
      <c r="M12" s="29" t="s">
        <v>43</v>
      </c>
      <c r="N12" s="29"/>
      <c r="O12" s="29"/>
      <c r="P12" s="29"/>
      <c r="Q12" s="29"/>
      <c r="R12" s="29"/>
      <c r="S12" s="29" t="s">
        <v>42</v>
      </c>
      <c r="T12" s="29"/>
      <c r="U12" s="29"/>
      <c r="V12" s="51"/>
    </row>
    <row r="13" ht="24" customHeight="1" spans="1:22">
      <c r="A13" s="26">
        <f>'记录夹片公式 (2)'!A4</f>
        <v>2</v>
      </c>
      <c r="B13" s="27"/>
      <c r="C13" s="27"/>
      <c r="D13" s="28" t="s">
        <v>31</v>
      </c>
      <c r="E13" s="29">
        <f ca="1">'记录夹片公式 (2)'!B4</f>
        <v>58.5</v>
      </c>
      <c r="F13" s="29">
        <f ca="1">'记录夹片公式 (2)'!C4</f>
        <v>58</v>
      </c>
      <c r="G13" s="29">
        <f ca="1">'记录夹片公式 (2)'!D4</f>
        <v>59</v>
      </c>
      <c r="H13" s="29">
        <f ca="1">'记录夹片公式 (2)'!E4</f>
        <v>59</v>
      </c>
      <c r="I13" s="29">
        <f ca="1">'记录夹片公式 (2)'!F4</f>
        <v>58</v>
      </c>
      <c r="J13" s="29" t="str">
        <f>'记录夹片公式 (2)'!G4</f>
        <v>/</v>
      </c>
      <c r="K13" s="29">
        <f ca="1" t="shared" ref="K13:K28" si="0">AVERAGE(F13:I13)</f>
        <v>58.5</v>
      </c>
      <c r="L13" s="29"/>
      <c r="M13" s="29" t="s">
        <v>43</v>
      </c>
      <c r="N13" s="29"/>
      <c r="O13" s="29"/>
      <c r="P13" s="29"/>
      <c r="Q13" s="29"/>
      <c r="R13" s="29"/>
      <c r="S13" s="29" t="s">
        <v>42</v>
      </c>
      <c r="T13" s="29"/>
      <c r="U13" s="29"/>
      <c r="V13" s="51"/>
    </row>
    <row r="14" ht="24" customHeight="1" spans="1:22">
      <c r="A14" s="26">
        <f>'记录夹片公式 (2)'!A6</f>
        <v>3</v>
      </c>
      <c r="B14" s="27"/>
      <c r="C14" s="27"/>
      <c r="D14" s="28" t="s">
        <v>31</v>
      </c>
      <c r="E14" s="29">
        <f ca="1">'记录夹片公式 (2)'!B6</f>
        <v>59</v>
      </c>
      <c r="F14" s="29">
        <f ca="1">'记录夹片公式 (2)'!C6</f>
        <v>59.5</v>
      </c>
      <c r="G14" s="29">
        <f ca="1">'记录夹片公式 (2)'!D6</f>
        <v>58</v>
      </c>
      <c r="H14" s="29">
        <f ca="1">'记录夹片公式 (2)'!E6</f>
        <v>57.5</v>
      </c>
      <c r="I14" s="29">
        <f ca="1">'记录夹片公式 (2)'!F6</f>
        <v>60.5</v>
      </c>
      <c r="J14" s="29" t="str">
        <f>'记录夹片公式 (2)'!G6</f>
        <v>/</v>
      </c>
      <c r="K14" s="29">
        <f ca="1" t="shared" si="0"/>
        <v>58.875</v>
      </c>
      <c r="L14" s="29"/>
      <c r="M14" s="29" t="s">
        <v>43</v>
      </c>
      <c r="N14" s="29"/>
      <c r="O14" s="29"/>
      <c r="P14" s="29"/>
      <c r="Q14" s="29"/>
      <c r="R14" s="29"/>
      <c r="S14" s="29" t="s">
        <v>42</v>
      </c>
      <c r="T14" s="29"/>
      <c r="U14" s="29"/>
      <c r="V14" s="51"/>
    </row>
    <row r="15" ht="24" customHeight="1" spans="1:22">
      <c r="A15" s="26">
        <f>'记录夹片公式 (2)'!A8</f>
        <v>4</v>
      </c>
      <c r="B15" s="27"/>
      <c r="C15" s="27"/>
      <c r="D15" s="28" t="s">
        <v>31</v>
      </c>
      <c r="E15" s="29">
        <f ca="1">'记录夹片公式 (2)'!B8</f>
        <v>60.5</v>
      </c>
      <c r="F15" s="29">
        <f ca="1">'记录夹片公式 (2)'!C8</f>
        <v>64</v>
      </c>
      <c r="G15" s="29">
        <f ca="1">'记录夹片公式 (2)'!D8</f>
        <v>61</v>
      </c>
      <c r="H15" s="29">
        <f ca="1">'记录夹片公式 (2)'!E8</f>
        <v>59.5</v>
      </c>
      <c r="I15" s="29">
        <f ca="1">'记录夹片公式 (2)'!F8</f>
        <v>61</v>
      </c>
      <c r="J15" s="29" t="str">
        <f>'记录夹片公式 (2)'!G8</f>
        <v>/</v>
      </c>
      <c r="K15" s="29">
        <f ca="1" t="shared" si="0"/>
        <v>61.375</v>
      </c>
      <c r="L15" s="29"/>
      <c r="M15" s="29" t="s">
        <v>43</v>
      </c>
      <c r="N15" s="29"/>
      <c r="O15" s="29"/>
      <c r="P15" s="29"/>
      <c r="Q15" s="29"/>
      <c r="R15" s="29"/>
      <c r="S15" s="29" t="s">
        <v>42</v>
      </c>
      <c r="T15" s="29"/>
      <c r="U15" s="29"/>
      <c r="V15" s="51"/>
    </row>
    <row r="16" ht="24" customHeight="1" spans="1:22">
      <c r="A16" s="26">
        <f>'记录夹片公式 (2)'!A10</f>
        <v>5</v>
      </c>
      <c r="B16" s="27"/>
      <c r="C16" s="27"/>
      <c r="D16" s="28" t="s">
        <v>31</v>
      </c>
      <c r="E16" s="29">
        <f ca="1">'记录夹片公式 (2)'!B10</f>
        <v>58.5</v>
      </c>
      <c r="F16" s="29">
        <f ca="1">'记录夹片公式 (2)'!C10</f>
        <v>58</v>
      </c>
      <c r="G16" s="29">
        <f ca="1">'记录夹片公式 (2)'!D10</f>
        <v>59.5</v>
      </c>
      <c r="H16" s="29">
        <f ca="1">'记录夹片公式 (2)'!E10</f>
        <v>64</v>
      </c>
      <c r="I16" s="29">
        <f ca="1">'记录夹片公式 (2)'!F10</f>
        <v>58.5</v>
      </c>
      <c r="J16" s="29" t="str">
        <f>'记录夹片公式 (2)'!G10</f>
        <v>/</v>
      </c>
      <c r="K16" s="29">
        <f ca="1" t="shared" si="0"/>
        <v>60</v>
      </c>
      <c r="L16" s="29"/>
      <c r="M16" s="29" t="s">
        <v>43</v>
      </c>
      <c r="N16" s="29"/>
      <c r="O16" s="29"/>
      <c r="P16" s="29"/>
      <c r="Q16" s="29"/>
      <c r="R16" s="29"/>
      <c r="S16" s="29" t="s">
        <v>42</v>
      </c>
      <c r="T16" s="29"/>
      <c r="U16" s="29"/>
      <c r="V16" s="51"/>
    </row>
    <row r="17" ht="24" customHeight="1" spans="1:22">
      <c r="A17" s="26">
        <f>'记录夹片公式 (2)'!A12</f>
        <v>6</v>
      </c>
      <c r="B17" s="27"/>
      <c r="C17" s="27"/>
      <c r="D17" s="28" t="s">
        <v>31</v>
      </c>
      <c r="E17" s="29">
        <f ca="1">'记录夹片公式 (2)'!B12</f>
        <v>63.5</v>
      </c>
      <c r="F17" s="29">
        <f ca="1">'记录夹片公式 (2)'!C12</f>
        <v>59.5</v>
      </c>
      <c r="G17" s="29">
        <f ca="1">'记录夹片公式 (2)'!D12</f>
        <v>57.5</v>
      </c>
      <c r="H17" s="29">
        <f ca="1">'记录夹片公式 (2)'!E12</f>
        <v>58.5</v>
      </c>
      <c r="I17" s="29">
        <f ca="1">'记录夹片公式 (2)'!F12</f>
        <v>58.5</v>
      </c>
      <c r="J17" s="29" t="str">
        <f>'记录夹片公式 (2)'!G12</f>
        <v>/</v>
      </c>
      <c r="K17" s="29">
        <f ca="1" t="shared" si="0"/>
        <v>58.5</v>
      </c>
      <c r="L17" s="29"/>
      <c r="M17" s="29" t="s">
        <v>43</v>
      </c>
      <c r="N17" s="29"/>
      <c r="O17" s="29"/>
      <c r="P17" s="29"/>
      <c r="Q17" s="29"/>
      <c r="R17" s="29"/>
      <c r="S17" s="29" t="s">
        <v>42</v>
      </c>
      <c r="T17" s="29"/>
      <c r="U17" s="29"/>
      <c r="V17" s="51"/>
    </row>
    <row r="18" ht="24" customHeight="1" spans="1:22">
      <c r="A18" s="26">
        <f>'记录夹片公式 (2)'!A14</f>
        <v>7</v>
      </c>
      <c r="B18" s="27"/>
      <c r="C18" s="27"/>
      <c r="D18" s="28" t="s">
        <v>31</v>
      </c>
      <c r="E18" s="29">
        <f ca="1">'记录夹片公式 (2)'!B14</f>
        <v>61.5</v>
      </c>
      <c r="F18" s="29">
        <f ca="1">'记录夹片公式 (2)'!C14</f>
        <v>60.5</v>
      </c>
      <c r="G18" s="29">
        <f ca="1">'记录夹片公式 (2)'!D14</f>
        <v>61</v>
      </c>
      <c r="H18" s="29">
        <f ca="1">'记录夹片公式 (2)'!E14</f>
        <v>58.5</v>
      </c>
      <c r="I18" s="29">
        <f ca="1">'记录夹片公式 (2)'!F14</f>
        <v>61.5</v>
      </c>
      <c r="J18" s="29" t="str">
        <f>'记录夹片公式 (2)'!G14</f>
        <v>/</v>
      </c>
      <c r="K18" s="29">
        <f ca="1" t="shared" si="0"/>
        <v>60.375</v>
      </c>
      <c r="L18" s="29"/>
      <c r="M18" s="29" t="s">
        <v>43</v>
      </c>
      <c r="N18" s="29"/>
      <c r="O18" s="29"/>
      <c r="P18" s="29"/>
      <c r="Q18" s="29"/>
      <c r="R18" s="29"/>
      <c r="S18" s="29" t="s">
        <v>42</v>
      </c>
      <c r="T18" s="29"/>
      <c r="U18" s="29"/>
      <c r="V18" s="51"/>
    </row>
    <row r="19" ht="24" customHeight="1" spans="1:22">
      <c r="A19" s="26">
        <f>'记录夹片公式 (2)'!A16</f>
        <v>8</v>
      </c>
      <c r="B19" s="27"/>
      <c r="C19" s="27"/>
      <c r="D19" s="28" t="s">
        <v>31</v>
      </c>
      <c r="E19" s="29">
        <f ca="1">'记录夹片公式 (2)'!B16</f>
        <v>60</v>
      </c>
      <c r="F19" s="29">
        <f ca="1">'记录夹片公式 (2)'!C16</f>
        <v>59.5</v>
      </c>
      <c r="G19" s="29">
        <f ca="1">'记录夹片公式 (2)'!D16</f>
        <v>63</v>
      </c>
      <c r="H19" s="29">
        <f ca="1">'记录夹片公式 (2)'!E16</f>
        <v>61.5</v>
      </c>
      <c r="I19" s="29">
        <f ca="1">'记录夹片公式 (2)'!F16</f>
        <v>61</v>
      </c>
      <c r="J19" s="29" t="str">
        <f>'记录夹片公式 (2)'!G16</f>
        <v>/</v>
      </c>
      <c r="K19" s="29">
        <f ca="1" t="shared" si="0"/>
        <v>61.25</v>
      </c>
      <c r="L19" s="29"/>
      <c r="M19" s="29" t="s">
        <v>43</v>
      </c>
      <c r="N19" s="29"/>
      <c r="O19" s="29"/>
      <c r="P19" s="29"/>
      <c r="Q19" s="29"/>
      <c r="R19" s="29"/>
      <c r="S19" s="29" t="s">
        <v>42</v>
      </c>
      <c r="T19" s="29"/>
      <c r="U19" s="29"/>
      <c r="V19" s="51"/>
    </row>
    <row r="20" ht="24" customHeight="1" spans="1:22">
      <c r="A20" s="26">
        <f>'记录夹片公式 (2)'!A18</f>
        <v>9</v>
      </c>
      <c r="B20" s="27"/>
      <c r="C20" s="27"/>
      <c r="D20" s="28" t="s">
        <v>31</v>
      </c>
      <c r="E20" s="29">
        <f ca="1">'记录夹片公式 (2)'!B18</f>
        <v>61.5</v>
      </c>
      <c r="F20" s="29">
        <f ca="1">'记录夹片公式 (2)'!C18</f>
        <v>59</v>
      </c>
      <c r="G20" s="29">
        <f ca="1">'记录夹片公式 (2)'!D18</f>
        <v>57.5</v>
      </c>
      <c r="H20" s="29">
        <f ca="1">'记录夹片公式 (2)'!E18</f>
        <v>60.5</v>
      </c>
      <c r="I20" s="29">
        <f ca="1">'记录夹片公式 (2)'!F18</f>
        <v>63.5</v>
      </c>
      <c r="J20" s="29" t="str">
        <f>'记录夹片公式 (2)'!G18</f>
        <v>/</v>
      </c>
      <c r="K20" s="29">
        <f ca="1" t="shared" si="0"/>
        <v>60.125</v>
      </c>
      <c r="L20" s="29"/>
      <c r="M20" s="29" t="s">
        <v>43</v>
      </c>
      <c r="N20" s="29"/>
      <c r="O20" s="29"/>
      <c r="P20" s="29"/>
      <c r="Q20" s="29"/>
      <c r="R20" s="29"/>
      <c r="S20" s="29" t="s">
        <v>42</v>
      </c>
      <c r="T20" s="29"/>
      <c r="U20" s="29"/>
      <c r="V20" s="51"/>
    </row>
    <row r="21" ht="24" customHeight="1" spans="1:22">
      <c r="A21" s="26">
        <f>'记录夹片公式 (2)'!A20</f>
        <v>10</v>
      </c>
      <c r="B21" s="27"/>
      <c r="C21" s="27"/>
      <c r="D21" s="28" t="s">
        <v>31</v>
      </c>
      <c r="E21" s="29">
        <f ca="1">'记录夹片公式 (2)'!B20</f>
        <v>60</v>
      </c>
      <c r="F21" s="29">
        <f ca="1">'记录夹片公式 (2)'!C20</f>
        <v>62</v>
      </c>
      <c r="G21" s="29">
        <f ca="1">'记录夹片公式 (2)'!D20</f>
        <v>58</v>
      </c>
      <c r="H21" s="29">
        <f ca="1">'记录夹片公式 (2)'!E20</f>
        <v>58.5</v>
      </c>
      <c r="I21" s="29">
        <f ca="1">'记录夹片公式 (2)'!F20</f>
        <v>59.5</v>
      </c>
      <c r="J21" s="29" t="str">
        <f>'记录夹片公式 (2)'!G20</f>
        <v>/</v>
      </c>
      <c r="K21" s="29">
        <f ca="1" t="shared" si="0"/>
        <v>59.5</v>
      </c>
      <c r="L21" s="29"/>
      <c r="M21" s="29" t="s">
        <v>43</v>
      </c>
      <c r="N21" s="29"/>
      <c r="O21" s="29"/>
      <c r="P21" s="29"/>
      <c r="Q21" s="29"/>
      <c r="R21" s="29"/>
      <c r="S21" s="29" t="s">
        <v>42</v>
      </c>
      <c r="T21" s="29"/>
      <c r="U21" s="29"/>
      <c r="V21" s="51"/>
    </row>
    <row r="22" ht="24" customHeight="1" spans="1:22">
      <c r="A22" s="26">
        <f>'记录夹片公式 (2)'!A22</f>
        <v>11</v>
      </c>
      <c r="B22" s="27"/>
      <c r="C22" s="27"/>
      <c r="D22" s="28" t="s">
        <v>31</v>
      </c>
      <c r="E22" s="29">
        <f ca="1">'记录夹片公式 (2)'!B22</f>
        <v>63.5</v>
      </c>
      <c r="F22" s="29">
        <f ca="1">'记录夹片公式 (2)'!C22</f>
        <v>59</v>
      </c>
      <c r="G22" s="29">
        <f ca="1">'记录夹片公式 (2)'!D22</f>
        <v>59</v>
      </c>
      <c r="H22" s="29">
        <f ca="1">'记录夹片公式 (2)'!E22</f>
        <v>60.5</v>
      </c>
      <c r="I22" s="29">
        <f ca="1">'记录夹片公式 (2)'!F22</f>
        <v>62.5</v>
      </c>
      <c r="J22" s="29" t="str">
        <f>'记录夹片公式 (2)'!G22</f>
        <v>/</v>
      </c>
      <c r="K22" s="29">
        <f ca="1" t="shared" si="0"/>
        <v>60.25</v>
      </c>
      <c r="L22" s="29"/>
      <c r="M22" s="29" t="s">
        <v>43</v>
      </c>
      <c r="N22" s="29"/>
      <c r="O22" s="29"/>
      <c r="P22" s="29"/>
      <c r="Q22" s="29"/>
      <c r="R22" s="29"/>
      <c r="S22" s="29" t="s">
        <v>42</v>
      </c>
      <c r="T22" s="29"/>
      <c r="U22" s="29"/>
      <c r="V22" s="51"/>
    </row>
    <row r="23" ht="24" customHeight="1" spans="1:22">
      <c r="A23" s="26">
        <f>'记录夹片公式 (2)'!A24</f>
        <v>12</v>
      </c>
      <c r="B23" s="27"/>
      <c r="C23" s="27"/>
      <c r="D23" s="28" t="s">
        <v>31</v>
      </c>
      <c r="E23" s="29">
        <f ca="1">'记录夹片公式 (2)'!B24</f>
        <v>58.5</v>
      </c>
      <c r="F23" s="29">
        <f ca="1">'记录夹片公式 (2)'!C24</f>
        <v>60</v>
      </c>
      <c r="G23" s="29">
        <f ca="1">'记录夹片公式 (2)'!D24</f>
        <v>62.5</v>
      </c>
      <c r="H23" s="29">
        <f ca="1">'记录夹片公式 (2)'!E24</f>
        <v>62.5</v>
      </c>
      <c r="I23" s="29">
        <f ca="1">'记录夹片公式 (2)'!F24</f>
        <v>60.5</v>
      </c>
      <c r="J23" s="29" t="str">
        <f>'记录夹片公式 (2)'!G24</f>
        <v>/</v>
      </c>
      <c r="K23" s="29">
        <f ca="1" t="shared" si="0"/>
        <v>61.375</v>
      </c>
      <c r="L23" s="29"/>
      <c r="M23" s="29" t="s">
        <v>43</v>
      </c>
      <c r="N23" s="29"/>
      <c r="O23" s="29"/>
      <c r="P23" s="29"/>
      <c r="Q23" s="29"/>
      <c r="R23" s="29"/>
      <c r="S23" s="29" t="s">
        <v>42</v>
      </c>
      <c r="T23" s="29"/>
      <c r="U23" s="29"/>
      <c r="V23" s="51"/>
    </row>
    <row r="24" ht="24" customHeight="1" spans="1:22">
      <c r="A24" s="26">
        <f>'记录夹片公式 (2)'!A26</f>
        <v>13</v>
      </c>
      <c r="B24" s="27"/>
      <c r="C24" s="27"/>
      <c r="D24" s="28" t="s">
        <v>31</v>
      </c>
      <c r="E24" s="29">
        <f ca="1">'记录夹片公式 (2)'!B26</f>
        <v>64</v>
      </c>
      <c r="F24" s="29">
        <f ca="1">'记录夹片公式 (2)'!C26</f>
        <v>60</v>
      </c>
      <c r="G24" s="29">
        <f ca="1">'记录夹片公式 (2)'!D26</f>
        <v>61.5</v>
      </c>
      <c r="H24" s="29">
        <f ca="1">'记录夹片公式 (2)'!E26</f>
        <v>59</v>
      </c>
      <c r="I24" s="29">
        <f ca="1">'记录夹片公式 (2)'!F26</f>
        <v>57</v>
      </c>
      <c r="J24" s="29" t="str">
        <f>'记录夹片公式 (2)'!G26</f>
        <v>/</v>
      </c>
      <c r="K24" s="29">
        <f ca="1" t="shared" si="0"/>
        <v>59.375</v>
      </c>
      <c r="L24" s="29"/>
      <c r="M24" s="29" t="s">
        <v>43</v>
      </c>
      <c r="N24" s="29"/>
      <c r="O24" s="29"/>
      <c r="P24" s="29"/>
      <c r="Q24" s="29"/>
      <c r="R24" s="29"/>
      <c r="S24" s="29" t="s">
        <v>42</v>
      </c>
      <c r="T24" s="29"/>
      <c r="U24" s="29"/>
      <c r="V24" s="51"/>
    </row>
    <row r="25" ht="24" customHeight="1" spans="1:22">
      <c r="A25" s="26">
        <f>'记录夹片公式 (2)'!A28</f>
        <v>14</v>
      </c>
      <c r="B25" s="27"/>
      <c r="C25" s="27"/>
      <c r="D25" s="28" t="s">
        <v>31</v>
      </c>
      <c r="E25" s="29">
        <f ca="1">'记录夹片公式 (2)'!B28</f>
        <v>62.5</v>
      </c>
      <c r="F25" s="29">
        <f ca="1">'记录夹片公式 (2)'!C28</f>
        <v>60</v>
      </c>
      <c r="G25" s="29">
        <f ca="1">'记录夹片公式 (2)'!D28</f>
        <v>59</v>
      </c>
      <c r="H25" s="29">
        <f ca="1">'记录夹片公式 (2)'!E28</f>
        <v>57.5</v>
      </c>
      <c r="I25" s="29">
        <f ca="1">'记录夹片公式 (2)'!F28</f>
        <v>63.5</v>
      </c>
      <c r="J25" s="29" t="str">
        <f>'记录夹片公式 (2)'!G28</f>
        <v>/</v>
      </c>
      <c r="K25" s="29">
        <f ca="1" t="shared" si="0"/>
        <v>60</v>
      </c>
      <c r="L25" s="29"/>
      <c r="M25" s="29" t="s">
        <v>43</v>
      </c>
      <c r="N25" s="29"/>
      <c r="O25" s="29"/>
      <c r="P25" s="29"/>
      <c r="Q25" s="29"/>
      <c r="R25" s="29"/>
      <c r="S25" s="29" t="s">
        <v>42</v>
      </c>
      <c r="T25" s="29"/>
      <c r="U25" s="29"/>
      <c r="V25" s="51"/>
    </row>
    <row r="26" ht="24" customHeight="1" spans="1:22">
      <c r="A26" s="26">
        <f>'记录夹片公式 (2)'!A30</f>
        <v>15</v>
      </c>
      <c r="B26" s="27"/>
      <c r="C26" s="27"/>
      <c r="D26" s="28" t="s">
        <v>31</v>
      </c>
      <c r="E26" s="29">
        <f ca="1">'记录夹片公式 (2)'!B30</f>
        <v>57.5</v>
      </c>
      <c r="F26" s="29">
        <f ca="1">'记录夹片公式 (2)'!C30</f>
        <v>57</v>
      </c>
      <c r="G26" s="29">
        <f ca="1">'记录夹片公式 (2)'!D30</f>
        <v>60.5</v>
      </c>
      <c r="H26" s="29">
        <f ca="1">'记录夹片公式 (2)'!E30</f>
        <v>58</v>
      </c>
      <c r="I26" s="29">
        <f ca="1">'记录夹片公式 (2)'!F30</f>
        <v>60</v>
      </c>
      <c r="J26" s="29" t="str">
        <f>'记录夹片公式 (2)'!G30</f>
        <v>/</v>
      </c>
      <c r="K26" s="29">
        <f ca="1" t="shared" si="0"/>
        <v>58.875</v>
      </c>
      <c r="L26" s="29"/>
      <c r="M26" s="29" t="s">
        <v>43</v>
      </c>
      <c r="N26" s="29"/>
      <c r="O26" s="29"/>
      <c r="P26" s="29"/>
      <c r="Q26" s="29"/>
      <c r="R26" s="29"/>
      <c r="S26" s="29" t="s">
        <v>42</v>
      </c>
      <c r="T26" s="29"/>
      <c r="U26" s="29"/>
      <c r="V26" s="51"/>
    </row>
    <row r="27" ht="24" customHeight="1" spans="1:22">
      <c r="A27" s="26">
        <f>'记录夹片公式 (2)'!A32</f>
        <v>16</v>
      </c>
      <c r="B27" s="27"/>
      <c r="C27" s="27"/>
      <c r="D27" s="28" t="s">
        <v>31</v>
      </c>
      <c r="E27" s="29">
        <f ca="1">'记录夹片公式 (2)'!B32</f>
        <v>63</v>
      </c>
      <c r="F27" s="29">
        <f ca="1">'记录夹片公式 (2)'!C32</f>
        <v>64</v>
      </c>
      <c r="G27" s="29">
        <f ca="1">'记录夹片公式 (2)'!D32</f>
        <v>62.5</v>
      </c>
      <c r="H27" s="29">
        <f ca="1">'记录夹片公式 (2)'!E32</f>
        <v>63.5</v>
      </c>
      <c r="I27" s="29">
        <f ca="1">'记录夹片公式 (2)'!F32</f>
        <v>60.5</v>
      </c>
      <c r="J27" s="29" t="str">
        <f>'记录夹片公式 (2)'!G32</f>
        <v>/</v>
      </c>
      <c r="K27" s="29">
        <f ca="1" t="shared" si="0"/>
        <v>62.625</v>
      </c>
      <c r="L27" s="29"/>
      <c r="M27" s="29" t="s">
        <v>43</v>
      </c>
      <c r="N27" s="29"/>
      <c r="O27" s="29"/>
      <c r="P27" s="29"/>
      <c r="Q27" s="29"/>
      <c r="R27" s="29"/>
      <c r="S27" s="29" t="s">
        <v>42</v>
      </c>
      <c r="T27" s="29"/>
      <c r="U27" s="29"/>
      <c r="V27" s="51"/>
    </row>
    <row r="28" ht="24" customHeight="1" spans="1:22">
      <c r="A28" s="26">
        <f>'记录夹片公式 (2)'!A34</f>
        <v>17</v>
      </c>
      <c r="B28" s="27"/>
      <c r="C28" s="27"/>
      <c r="D28" s="28" t="s">
        <v>31</v>
      </c>
      <c r="E28" s="29">
        <f ca="1">'记录夹片公式 (2)'!B34</f>
        <v>58.5</v>
      </c>
      <c r="F28" s="29">
        <f ca="1">'记录夹片公式 (2)'!C34</f>
        <v>58</v>
      </c>
      <c r="G28" s="29">
        <f ca="1">'记录夹片公式 (2)'!D34</f>
        <v>57.5</v>
      </c>
      <c r="H28" s="29">
        <f ca="1">'记录夹片公式 (2)'!E34</f>
        <v>58</v>
      </c>
      <c r="I28" s="29">
        <f ca="1">'记录夹片公式 (2)'!F34</f>
        <v>59.5</v>
      </c>
      <c r="J28" s="29" t="str">
        <f>'记录夹片公式 (2)'!G34</f>
        <v>/</v>
      </c>
      <c r="K28" s="29">
        <f ca="1" t="shared" si="0"/>
        <v>58.25</v>
      </c>
      <c r="L28" s="29"/>
      <c r="M28" s="29" t="s">
        <v>43</v>
      </c>
      <c r="N28" s="29"/>
      <c r="O28" s="29"/>
      <c r="P28" s="29"/>
      <c r="Q28" s="29"/>
      <c r="R28" s="29"/>
      <c r="S28" s="29" t="s">
        <v>42</v>
      </c>
      <c r="T28" s="29"/>
      <c r="U28" s="29"/>
      <c r="V28" s="51"/>
    </row>
    <row r="29" ht="17.25" customHeight="1" spans="1:22">
      <c r="A29" s="148" t="s">
        <v>69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52"/>
    </row>
    <row r="30" ht="39" customHeight="1" spans="1:22">
      <c r="A30" s="32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53"/>
    </row>
    <row r="31" ht="27.75" customHeight="1" spans="1:22">
      <c r="A31" s="34" t="s">
        <v>50</v>
      </c>
      <c r="B31" s="149" t="s">
        <v>70</v>
      </c>
      <c r="C31" s="35"/>
      <c r="D31" s="35"/>
      <c r="E31" s="150" t="s">
        <v>71</v>
      </c>
      <c r="F31" s="37"/>
      <c r="G31" s="149" t="s">
        <v>70</v>
      </c>
      <c r="H31" s="38"/>
      <c r="I31" s="38"/>
      <c r="J31" s="36" t="s">
        <v>72</v>
      </c>
      <c r="K31" s="36"/>
      <c r="L31" s="151" t="s">
        <v>70</v>
      </c>
      <c r="M31" s="44"/>
      <c r="N31" s="44"/>
      <c r="O31" s="152" t="s">
        <v>73</v>
      </c>
      <c r="P31" s="45"/>
      <c r="Q31" s="151" t="s">
        <v>70</v>
      </c>
      <c r="R31" s="152" t="s">
        <v>74</v>
      </c>
      <c r="S31" s="45"/>
      <c r="T31" s="44"/>
      <c r="U31" s="152" t="s">
        <v>75</v>
      </c>
      <c r="V31" s="45"/>
    </row>
    <row r="32" ht="34.5" customHeight="1"/>
  </sheetData>
  <mergeCells count="113">
    <mergeCell ref="A1:L1"/>
    <mergeCell ref="N1:O1"/>
    <mergeCell ref="P1:S1"/>
    <mergeCell ref="T1:U1"/>
    <mergeCell ref="A2:V2"/>
    <mergeCell ref="A3:V3"/>
    <mergeCell ref="A4:C4"/>
    <mergeCell ref="D4:H4"/>
    <mergeCell ref="I4:K4"/>
    <mergeCell ref="L4:V4"/>
    <mergeCell ref="A5:C5"/>
    <mergeCell ref="D5:H5"/>
    <mergeCell ref="I5:K5"/>
    <mergeCell ref="L5:V5"/>
    <mergeCell ref="A6:C6"/>
    <mergeCell ref="D6:H6"/>
    <mergeCell ref="I6:K6"/>
    <mergeCell ref="L6:V6"/>
    <mergeCell ref="A7:C7"/>
    <mergeCell ref="D7:H7"/>
    <mergeCell ref="I7:K7"/>
    <mergeCell ref="L7:V7"/>
    <mergeCell ref="A8:C8"/>
    <mergeCell ref="D8:H8"/>
    <mergeCell ref="I8:K8"/>
    <mergeCell ref="L8:V8"/>
    <mergeCell ref="A9:C9"/>
    <mergeCell ref="D9:V9"/>
    <mergeCell ref="A10:C10"/>
    <mergeCell ref="D10:L10"/>
    <mergeCell ref="M10:R10"/>
    <mergeCell ref="S10:V10"/>
    <mergeCell ref="A11:C11"/>
    <mergeCell ref="E11:J11"/>
    <mergeCell ref="K11:L11"/>
    <mergeCell ref="M11:R11"/>
    <mergeCell ref="S11:V11"/>
    <mergeCell ref="A12:C12"/>
    <mergeCell ref="K12:L12"/>
    <mergeCell ref="M12:R12"/>
    <mergeCell ref="S12:V12"/>
    <mergeCell ref="A13:C13"/>
    <mergeCell ref="K13:L13"/>
    <mergeCell ref="M13:R13"/>
    <mergeCell ref="S13:V13"/>
    <mergeCell ref="A14:C14"/>
    <mergeCell ref="K14:L14"/>
    <mergeCell ref="M14:R14"/>
    <mergeCell ref="S14:V14"/>
    <mergeCell ref="A15:C15"/>
    <mergeCell ref="K15:L15"/>
    <mergeCell ref="M15:R15"/>
    <mergeCell ref="S15:V15"/>
    <mergeCell ref="A16:C16"/>
    <mergeCell ref="K16:L16"/>
    <mergeCell ref="M16:R16"/>
    <mergeCell ref="S16:V16"/>
    <mergeCell ref="A17:C17"/>
    <mergeCell ref="K17:L17"/>
    <mergeCell ref="M17:R17"/>
    <mergeCell ref="S17:V17"/>
    <mergeCell ref="A18:C18"/>
    <mergeCell ref="K18:L18"/>
    <mergeCell ref="M18:R18"/>
    <mergeCell ref="S18:V18"/>
    <mergeCell ref="A19:C19"/>
    <mergeCell ref="K19:L19"/>
    <mergeCell ref="M19:R19"/>
    <mergeCell ref="S19:V19"/>
    <mergeCell ref="A20:C20"/>
    <mergeCell ref="K20:L20"/>
    <mergeCell ref="M20:R20"/>
    <mergeCell ref="S20:V20"/>
    <mergeCell ref="A21:C21"/>
    <mergeCell ref="K21:L21"/>
    <mergeCell ref="M21:R21"/>
    <mergeCell ref="S21:V21"/>
    <mergeCell ref="A22:C22"/>
    <mergeCell ref="K22:L22"/>
    <mergeCell ref="M22:R22"/>
    <mergeCell ref="S22:V22"/>
    <mergeCell ref="A23:C23"/>
    <mergeCell ref="K23:L23"/>
    <mergeCell ref="M23:R23"/>
    <mergeCell ref="S23:V23"/>
    <mergeCell ref="A24:C24"/>
    <mergeCell ref="K24:L24"/>
    <mergeCell ref="M24:R24"/>
    <mergeCell ref="S24:V24"/>
    <mergeCell ref="A25:C25"/>
    <mergeCell ref="K25:L25"/>
    <mergeCell ref="M25:R25"/>
    <mergeCell ref="S25:V25"/>
    <mergeCell ref="A26:C26"/>
    <mergeCell ref="K26:L26"/>
    <mergeCell ref="M26:R26"/>
    <mergeCell ref="S26:V26"/>
    <mergeCell ref="A27:C27"/>
    <mergeCell ref="K27:L27"/>
    <mergeCell ref="M27:R27"/>
    <mergeCell ref="S27:V27"/>
    <mergeCell ref="A28:C28"/>
    <mergeCell ref="K28:L28"/>
    <mergeCell ref="M28:R28"/>
    <mergeCell ref="S28:V28"/>
    <mergeCell ref="B31:D31"/>
    <mergeCell ref="E31:F31"/>
    <mergeCell ref="J31:K31"/>
    <mergeCell ref="L31:N31"/>
    <mergeCell ref="O31:P31"/>
    <mergeCell ref="R31:S31"/>
    <mergeCell ref="U31:V31"/>
    <mergeCell ref="A29:V30"/>
  </mergeCells>
  <pageMargins left="0.984251968503937" right="0.590551181102362" top="0.590551181102362" bottom="0.590551181102362" header="0" footer="0"/>
  <pageSetup paperSize="9" orientation="portrait"/>
  <headerFooter alignWithMargins="0"/>
  <rowBreaks count="1" manualBreakCount="1">
    <brk id="32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workbookViewId="0">
      <selection activeCell="F26" sqref="F26"/>
    </sheetView>
  </sheetViews>
  <sheetFormatPr defaultColWidth="9" defaultRowHeight="14.4"/>
  <cols>
    <col min="1" max="16384" width="9" style="2"/>
  </cols>
  <sheetData>
    <row r="1" spans="2:11">
      <c r="B1" s="1">
        <f ca="1">ROUND(RAND()*(64-57)+57,1)</f>
        <v>58.5</v>
      </c>
      <c r="C1" s="1">
        <f ca="1" t="shared" ref="C1:F15" si="0">ROUND(RAND()*(64-57)+57,1)</f>
        <v>59.7</v>
      </c>
      <c r="D1" s="1">
        <f ca="1" t="shared" si="0"/>
        <v>59.5</v>
      </c>
      <c r="E1" s="1">
        <f ca="1" t="shared" si="0"/>
        <v>58.2</v>
      </c>
      <c r="F1" s="1">
        <f ca="1" t="shared" si="0"/>
        <v>57.2</v>
      </c>
      <c r="G1" s="1"/>
      <c r="H1" s="1"/>
      <c r="J1" s="2" t="s">
        <v>81</v>
      </c>
      <c r="K1" s="2" t="s">
        <v>82</v>
      </c>
    </row>
    <row r="2" spans="1:13">
      <c r="A2" s="3">
        <v>1</v>
      </c>
      <c r="B2" s="1">
        <f ca="1">ROUND(B1*2,)/2</f>
        <v>58.5</v>
      </c>
      <c r="C2" s="1">
        <f ca="1">ROUND(C1*2,)/2</f>
        <v>59.5</v>
      </c>
      <c r="D2" s="1">
        <f ca="1">ROUND(D1*2,)/2</f>
        <v>59.5</v>
      </c>
      <c r="E2" s="1">
        <f ca="1">ROUND(E1*2,)/2</f>
        <v>58</v>
      </c>
      <c r="F2" s="1">
        <f ca="1">ROUND(F1*2,)/2</f>
        <v>57</v>
      </c>
      <c r="G2" s="4" t="s">
        <v>42</v>
      </c>
      <c r="H2" s="1"/>
      <c r="I2" s="1">
        <f ca="1">AVERAGE(B2:E2)</f>
        <v>58.875</v>
      </c>
      <c r="J2" s="1">
        <f ca="1">56+FLOOR(RAND()*10,0.5)</f>
        <v>57</v>
      </c>
      <c r="K2" s="1"/>
      <c r="L2" s="1">
        <f ca="1">56+FLOOR(RAND()*10,0.5)</f>
        <v>58.5</v>
      </c>
      <c r="M2" s="1">
        <f ca="1">5+FLOOR(RAND()*2,0.2)</f>
        <v>6.4</v>
      </c>
    </row>
    <row r="3" spans="2:13">
      <c r="B3" s="1">
        <f ca="1" t="shared" ref="B3" si="1">ROUND(RAND()*(64-57)+57,1)</f>
        <v>58.5</v>
      </c>
      <c r="C3" s="1">
        <f ca="1" t="shared" si="0"/>
        <v>58.1</v>
      </c>
      <c r="D3" s="1">
        <f ca="1" t="shared" si="0"/>
        <v>59.1</v>
      </c>
      <c r="E3" s="1">
        <f ca="1" t="shared" si="0"/>
        <v>59.2</v>
      </c>
      <c r="F3" s="1">
        <f ca="1" t="shared" si="0"/>
        <v>58</v>
      </c>
      <c r="G3" s="4" t="s">
        <v>42</v>
      </c>
      <c r="H3" s="1"/>
      <c r="J3" s="1">
        <f ca="1" t="shared" ref="J3:J25" si="2">56+FLOOR(RAND()*10,0.5)</f>
        <v>63</v>
      </c>
      <c r="K3" s="1"/>
      <c r="L3" s="1">
        <f ca="1" t="shared" ref="L3:L24" si="3">56+FLOOR(RAND()*10,0.5)</f>
        <v>60.5</v>
      </c>
      <c r="M3" s="1">
        <f ca="1" t="shared" ref="M3:M24" si="4">5+FLOOR(RAND()*2,0.2)</f>
        <v>6.4</v>
      </c>
    </row>
    <row r="4" spans="1:13">
      <c r="A4" s="3">
        <v>2</v>
      </c>
      <c r="B4" s="1">
        <f ca="1" t="shared" ref="B4:F4" si="5">ROUND(B3*2,)/2</f>
        <v>58.5</v>
      </c>
      <c r="C4" s="1">
        <f ca="1" t="shared" si="5"/>
        <v>58</v>
      </c>
      <c r="D4" s="1">
        <f ca="1" t="shared" si="5"/>
        <v>59</v>
      </c>
      <c r="E4" s="1">
        <f ca="1" t="shared" si="5"/>
        <v>59</v>
      </c>
      <c r="F4" s="1">
        <f ca="1" t="shared" si="5"/>
        <v>58</v>
      </c>
      <c r="G4" s="4" t="s">
        <v>42</v>
      </c>
      <c r="H4" s="1"/>
      <c r="I4" s="1">
        <f ca="1">AVERAGE(B4:E4)</f>
        <v>58.625</v>
      </c>
      <c r="J4" s="1">
        <f ca="1" t="shared" si="2"/>
        <v>58.5</v>
      </c>
      <c r="K4" s="1"/>
      <c r="L4" s="1">
        <f ca="1" t="shared" si="3"/>
        <v>56</v>
      </c>
      <c r="M4" s="1">
        <f ca="1" t="shared" si="4"/>
        <v>5.6</v>
      </c>
    </row>
    <row r="5" spans="2:13">
      <c r="B5" s="1">
        <f ca="1" t="shared" ref="B5" si="6">ROUND(RAND()*(64-57)+57,1)</f>
        <v>59.1</v>
      </c>
      <c r="C5" s="1">
        <f ca="1" t="shared" si="0"/>
        <v>59.3</v>
      </c>
      <c r="D5" s="1">
        <f ca="1" t="shared" si="0"/>
        <v>57.8</v>
      </c>
      <c r="E5" s="1">
        <f ca="1" t="shared" si="0"/>
        <v>57.4</v>
      </c>
      <c r="F5" s="1">
        <f ca="1" t="shared" si="0"/>
        <v>60.4</v>
      </c>
      <c r="G5" s="4" t="s">
        <v>42</v>
      </c>
      <c r="H5" s="1"/>
      <c r="J5" s="1">
        <f ca="1" t="shared" si="2"/>
        <v>62.5</v>
      </c>
      <c r="K5" s="1"/>
      <c r="L5" s="1">
        <f ca="1" t="shared" si="3"/>
        <v>56.5</v>
      </c>
      <c r="M5" s="1">
        <f ca="1" t="shared" si="4"/>
        <v>6.8</v>
      </c>
    </row>
    <row r="6" spans="1:13">
      <c r="A6" s="3">
        <v>3</v>
      </c>
      <c r="B6" s="1">
        <f ca="1" t="shared" ref="B6:F6" si="7">ROUND(B5*2,)/2</f>
        <v>59</v>
      </c>
      <c r="C6" s="1">
        <f ca="1" t="shared" si="7"/>
        <v>59.5</v>
      </c>
      <c r="D6" s="1">
        <f ca="1" t="shared" si="7"/>
        <v>58</v>
      </c>
      <c r="E6" s="1">
        <f ca="1" t="shared" si="7"/>
        <v>57.5</v>
      </c>
      <c r="F6" s="1">
        <f ca="1" t="shared" si="7"/>
        <v>60.5</v>
      </c>
      <c r="G6" s="4" t="s">
        <v>42</v>
      </c>
      <c r="H6" s="1"/>
      <c r="I6" s="1">
        <f ca="1">AVERAGE(B6:E6)</f>
        <v>58.5</v>
      </c>
      <c r="J6" s="1">
        <f ca="1" t="shared" si="2"/>
        <v>62.5</v>
      </c>
      <c r="K6" s="1"/>
      <c r="L6" s="1">
        <f ca="1" t="shared" si="3"/>
        <v>62</v>
      </c>
      <c r="M6" s="1">
        <f ca="1" t="shared" si="4"/>
        <v>6.2</v>
      </c>
    </row>
    <row r="7" spans="2:13">
      <c r="B7" s="1">
        <f ca="1" t="shared" ref="B7" si="8">ROUND(RAND()*(64-57)+57,1)</f>
        <v>60.5</v>
      </c>
      <c r="C7" s="1">
        <f ca="1" t="shared" si="0"/>
        <v>63.8</v>
      </c>
      <c r="D7" s="1">
        <f ca="1" t="shared" si="0"/>
        <v>61.2</v>
      </c>
      <c r="E7" s="1">
        <f ca="1" t="shared" si="0"/>
        <v>59.4</v>
      </c>
      <c r="F7" s="1">
        <f ca="1" t="shared" si="0"/>
        <v>60.8</v>
      </c>
      <c r="G7" s="4" t="s">
        <v>42</v>
      </c>
      <c r="H7" s="1"/>
      <c r="J7" s="1">
        <f ca="1" t="shared" si="2"/>
        <v>62.5</v>
      </c>
      <c r="K7" s="1"/>
      <c r="L7" s="1">
        <f ca="1" t="shared" si="3"/>
        <v>62</v>
      </c>
      <c r="M7" s="1">
        <f ca="1" t="shared" si="4"/>
        <v>5.8</v>
      </c>
    </row>
    <row r="8" s="1" customFormat="1" spans="1:13">
      <c r="A8" s="3">
        <v>4</v>
      </c>
      <c r="B8" s="1">
        <f ca="1" t="shared" ref="B8:F8" si="9">ROUND(B7*2,)/2</f>
        <v>60.5</v>
      </c>
      <c r="C8" s="1">
        <f ca="1" t="shared" si="9"/>
        <v>64</v>
      </c>
      <c r="D8" s="1">
        <f ca="1" t="shared" si="9"/>
        <v>61</v>
      </c>
      <c r="E8" s="1">
        <f ca="1" t="shared" si="9"/>
        <v>59.5</v>
      </c>
      <c r="F8" s="1">
        <f ca="1" t="shared" si="9"/>
        <v>61</v>
      </c>
      <c r="G8" s="4" t="s">
        <v>42</v>
      </c>
      <c r="I8" s="1">
        <f ca="1">AVERAGE(B8:E8)</f>
        <v>61.25</v>
      </c>
      <c r="J8" s="1">
        <f ca="1" t="shared" si="2"/>
        <v>58</v>
      </c>
      <c r="L8" s="1">
        <f ca="1" t="shared" si="3"/>
        <v>62</v>
      </c>
      <c r="M8" s="1">
        <f ca="1" t="shared" si="4"/>
        <v>6.4</v>
      </c>
    </row>
    <row r="9" spans="2:13">
      <c r="B9" s="1">
        <f ca="1" t="shared" ref="B9" si="10">ROUND(RAND()*(64-57)+57,1)</f>
        <v>58.4</v>
      </c>
      <c r="C9" s="1">
        <f ca="1" t="shared" si="0"/>
        <v>58</v>
      </c>
      <c r="D9" s="1">
        <f ca="1" t="shared" si="0"/>
        <v>59.6</v>
      </c>
      <c r="E9" s="1">
        <f ca="1" t="shared" si="0"/>
        <v>64</v>
      </c>
      <c r="F9" s="1">
        <f ca="1" t="shared" si="0"/>
        <v>58.7</v>
      </c>
      <c r="G9" s="4" t="s">
        <v>42</v>
      </c>
      <c r="H9" s="1"/>
      <c r="J9" s="1">
        <f ca="1" t="shared" si="2"/>
        <v>65</v>
      </c>
      <c r="K9" s="1"/>
      <c r="L9" s="1">
        <f ca="1" t="shared" si="3"/>
        <v>65.5</v>
      </c>
      <c r="M9" s="1">
        <f ca="1" t="shared" si="4"/>
        <v>6.4</v>
      </c>
    </row>
    <row r="10" s="1" customFormat="1" spans="1:13">
      <c r="A10" s="3">
        <v>5</v>
      </c>
      <c r="B10" s="1">
        <f ca="1" t="shared" ref="B10:F10" si="11">ROUND(B9*2,)/2</f>
        <v>58.5</v>
      </c>
      <c r="C10" s="1">
        <f ca="1" t="shared" si="11"/>
        <v>58</v>
      </c>
      <c r="D10" s="1">
        <f ca="1" t="shared" si="11"/>
        <v>59.5</v>
      </c>
      <c r="E10" s="1">
        <f ca="1" t="shared" si="11"/>
        <v>64</v>
      </c>
      <c r="F10" s="1">
        <f ca="1" t="shared" si="11"/>
        <v>58.5</v>
      </c>
      <c r="G10" s="4" t="s">
        <v>42</v>
      </c>
      <c r="I10" s="1">
        <f ca="1">AVERAGE(B10:E10)</f>
        <v>60</v>
      </c>
      <c r="J10" s="1">
        <f ca="1" t="shared" si="2"/>
        <v>62.5</v>
      </c>
      <c r="L10" s="1">
        <f ca="1" t="shared" si="3"/>
        <v>65.5</v>
      </c>
      <c r="M10" s="1">
        <f ca="1" t="shared" si="4"/>
        <v>5.4</v>
      </c>
    </row>
    <row r="11" spans="2:13">
      <c r="B11" s="1">
        <f ca="1" t="shared" ref="B11" si="12">ROUND(RAND()*(64-57)+57,1)</f>
        <v>63.3</v>
      </c>
      <c r="C11" s="1">
        <f ca="1" t="shared" si="0"/>
        <v>59.3</v>
      </c>
      <c r="D11" s="1">
        <f ca="1" t="shared" si="0"/>
        <v>57.6</v>
      </c>
      <c r="E11" s="1">
        <f ca="1" t="shared" si="0"/>
        <v>58.7</v>
      </c>
      <c r="F11" s="1">
        <f ca="1" t="shared" si="0"/>
        <v>58.3</v>
      </c>
      <c r="G11" s="4" t="s">
        <v>42</v>
      </c>
      <c r="H11" s="1"/>
      <c r="J11" s="1">
        <f ca="1" t="shared" si="2"/>
        <v>64.5</v>
      </c>
      <c r="K11" s="1"/>
      <c r="L11" s="1">
        <f ca="1" t="shared" si="3"/>
        <v>56.5</v>
      </c>
      <c r="M11" s="1">
        <f ca="1" t="shared" si="4"/>
        <v>6.4</v>
      </c>
    </row>
    <row r="12" s="1" customFormat="1" spans="1:13">
      <c r="A12" s="3">
        <v>6</v>
      </c>
      <c r="B12" s="1">
        <f ca="1" t="shared" ref="B12:F12" si="13">ROUND(B11*2,)/2</f>
        <v>63.5</v>
      </c>
      <c r="C12" s="1">
        <f ca="1" t="shared" si="13"/>
        <v>59.5</v>
      </c>
      <c r="D12" s="1">
        <f ca="1" t="shared" si="13"/>
        <v>57.5</v>
      </c>
      <c r="E12" s="1">
        <f ca="1" t="shared" si="13"/>
        <v>58.5</v>
      </c>
      <c r="F12" s="1">
        <f ca="1" t="shared" si="13"/>
        <v>58.5</v>
      </c>
      <c r="G12" s="4" t="s">
        <v>42</v>
      </c>
      <c r="I12" s="1">
        <f ca="1">AVERAGE(B12:E12)</f>
        <v>59.75</v>
      </c>
      <c r="J12" s="1">
        <f ca="1" t="shared" si="2"/>
        <v>62.5</v>
      </c>
      <c r="L12" s="1">
        <f ca="1" t="shared" si="3"/>
        <v>61</v>
      </c>
      <c r="M12" s="1">
        <f ca="1" t="shared" si="4"/>
        <v>5.8</v>
      </c>
    </row>
    <row r="13" spans="2:13">
      <c r="B13" s="1">
        <f ca="1" t="shared" ref="B13" si="14">ROUND(RAND()*(64-57)+57,1)</f>
        <v>61.5</v>
      </c>
      <c r="C13" s="1">
        <f ca="1" t="shared" si="0"/>
        <v>60.7</v>
      </c>
      <c r="D13" s="1">
        <f ca="1" t="shared" si="0"/>
        <v>60.8</v>
      </c>
      <c r="E13" s="1">
        <f ca="1" t="shared" si="0"/>
        <v>58.4</v>
      </c>
      <c r="F13" s="1">
        <f ca="1" t="shared" si="0"/>
        <v>61.7</v>
      </c>
      <c r="G13" s="4" t="s">
        <v>42</v>
      </c>
      <c r="H13" s="4"/>
      <c r="J13" s="1">
        <f ca="1" t="shared" si="2"/>
        <v>59</v>
      </c>
      <c r="K13" s="1"/>
      <c r="L13" s="1">
        <f ca="1" t="shared" si="3"/>
        <v>62.5</v>
      </c>
      <c r="M13" s="1">
        <f ca="1" t="shared" si="4"/>
        <v>5.4</v>
      </c>
    </row>
    <row r="14" spans="1:13">
      <c r="A14" s="3">
        <v>7</v>
      </c>
      <c r="B14" s="1">
        <f ca="1" t="shared" ref="B14:F14" si="15">ROUND(B13*2,)/2</f>
        <v>61.5</v>
      </c>
      <c r="C14" s="1">
        <f ca="1" t="shared" si="15"/>
        <v>60.5</v>
      </c>
      <c r="D14" s="1">
        <f ca="1" t="shared" si="15"/>
        <v>61</v>
      </c>
      <c r="E14" s="1">
        <f ca="1" t="shared" si="15"/>
        <v>58.5</v>
      </c>
      <c r="F14" s="1">
        <f ca="1" t="shared" si="15"/>
        <v>61.5</v>
      </c>
      <c r="G14" s="4" t="s">
        <v>42</v>
      </c>
      <c r="H14" s="4"/>
      <c r="I14" s="1">
        <f ca="1">AVERAGE(B14:E14)</f>
        <v>60.375</v>
      </c>
      <c r="J14" s="1">
        <f ca="1" t="shared" si="2"/>
        <v>58.5</v>
      </c>
      <c r="K14" s="1"/>
      <c r="L14" s="1">
        <f ca="1" t="shared" si="3"/>
        <v>60</v>
      </c>
      <c r="M14" s="1">
        <f ca="1" t="shared" si="4"/>
        <v>5</v>
      </c>
    </row>
    <row r="15" spans="2:13">
      <c r="B15" s="1">
        <f ca="1" t="shared" ref="B15" si="16">ROUND(RAND()*(64-57)+57,1)</f>
        <v>60</v>
      </c>
      <c r="C15" s="1">
        <f ca="1" t="shared" si="0"/>
        <v>59.5</v>
      </c>
      <c r="D15" s="1">
        <f ca="1" t="shared" si="0"/>
        <v>63</v>
      </c>
      <c r="E15" s="1">
        <f ca="1" t="shared" si="0"/>
        <v>61.4</v>
      </c>
      <c r="F15" s="1">
        <f ca="1" t="shared" si="0"/>
        <v>60.9</v>
      </c>
      <c r="G15" s="4" t="s">
        <v>42</v>
      </c>
      <c r="H15" s="4"/>
      <c r="J15" s="1">
        <f ca="1" t="shared" si="2"/>
        <v>63.5</v>
      </c>
      <c r="K15" s="1"/>
      <c r="L15" s="1">
        <f ca="1" t="shared" si="3"/>
        <v>64.5</v>
      </c>
      <c r="M15" s="1">
        <f ca="1" t="shared" si="4"/>
        <v>5</v>
      </c>
    </row>
    <row r="16" spans="1:13">
      <c r="A16" s="3">
        <v>8</v>
      </c>
      <c r="B16" s="1">
        <f ca="1" t="shared" ref="B16:F16" si="17">ROUND(B15*2,)/2</f>
        <v>60</v>
      </c>
      <c r="C16" s="1">
        <f ca="1" t="shared" si="17"/>
        <v>59.5</v>
      </c>
      <c r="D16" s="1">
        <f ca="1" t="shared" si="17"/>
        <v>63</v>
      </c>
      <c r="E16" s="1">
        <f ca="1" t="shared" si="17"/>
        <v>61.5</v>
      </c>
      <c r="F16" s="1">
        <f ca="1" t="shared" si="17"/>
        <v>61</v>
      </c>
      <c r="G16" s="4" t="s">
        <v>42</v>
      </c>
      <c r="H16" s="4"/>
      <c r="I16" s="1">
        <f ca="1">AVERAGE(B16:E16)</f>
        <v>61</v>
      </c>
      <c r="J16" s="1">
        <f ca="1" t="shared" si="2"/>
        <v>61</v>
      </c>
      <c r="K16" s="1"/>
      <c r="L16" s="1">
        <f ca="1" t="shared" si="3"/>
        <v>61</v>
      </c>
      <c r="M16" s="1">
        <f ca="1" t="shared" si="4"/>
        <v>6</v>
      </c>
    </row>
    <row r="17" spans="2:13">
      <c r="B17" s="1">
        <f ca="1" t="shared" ref="B17:F31" si="18">ROUND(RAND()*(64-57)+57,1)</f>
        <v>61.6</v>
      </c>
      <c r="C17" s="1">
        <f ca="1" t="shared" si="18"/>
        <v>59</v>
      </c>
      <c r="D17" s="1">
        <f ca="1" t="shared" si="18"/>
        <v>57.3</v>
      </c>
      <c r="E17" s="1">
        <f ca="1" t="shared" si="18"/>
        <v>60.5</v>
      </c>
      <c r="F17" s="1">
        <f ca="1" t="shared" si="18"/>
        <v>63.7</v>
      </c>
      <c r="G17" s="4" t="s">
        <v>42</v>
      </c>
      <c r="H17" s="4"/>
      <c r="J17" s="1">
        <f ca="1" t="shared" si="2"/>
        <v>64.5</v>
      </c>
      <c r="K17" s="1"/>
      <c r="L17" s="1">
        <f ca="1" t="shared" si="3"/>
        <v>61</v>
      </c>
      <c r="M17" s="1">
        <f ca="1" t="shared" si="4"/>
        <v>5</v>
      </c>
    </row>
    <row r="18" spans="1:13">
      <c r="A18" s="3">
        <v>9</v>
      </c>
      <c r="B18" s="1">
        <f ca="1" t="shared" ref="B18:F18" si="19">ROUND(B17*2,)/2</f>
        <v>61.5</v>
      </c>
      <c r="C18" s="1">
        <f ca="1" t="shared" si="19"/>
        <v>59</v>
      </c>
      <c r="D18" s="1">
        <f ca="1" t="shared" si="19"/>
        <v>57.5</v>
      </c>
      <c r="E18" s="1">
        <f ca="1" t="shared" si="19"/>
        <v>60.5</v>
      </c>
      <c r="F18" s="1">
        <f ca="1" t="shared" si="19"/>
        <v>63.5</v>
      </c>
      <c r="G18" s="4" t="s">
        <v>42</v>
      </c>
      <c r="H18" s="4"/>
      <c r="I18" s="1">
        <f ca="1">AVERAGE(B18:E18)</f>
        <v>59.625</v>
      </c>
      <c r="J18" s="1">
        <f ca="1" t="shared" si="2"/>
        <v>63</v>
      </c>
      <c r="K18" s="1"/>
      <c r="L18" s="1">
        <f ca="1" t="shared" si="3"/>
        <v>58.5</v>
      </c>
      <c r="M18" s="1">
        <f ca="1" t="shared" si="4"/>
        <v>6.6</v>
      </c>
    </row>
    <row r="19" spans="2:13">
      <c r="B19" s="1">
        <f ca="1" t="shared" ref="B19" si="20">ROUND(RAND()*(64-57)+57,1)</f>
        <v>60.2</v>
      </c>
      <c r="C19" s="1">
        <f ca="1" t="shared" si="18"/>
        <v>62</v>
      </c>
      <c r="D19" s="1">
        <f ca="1" t="shared" si="18"/>
        <v>58.1</v>
      </c>
      <c r="E19" s="1">
        <f ca="1" t="shared" si="18"/>
        <v>58.7</v>
      </c>
      <c r="F19" s="1">
        <f ca="1" t="shared" si="18"/>
        <v>59.7</v>
      </c>
      <c r="G19" s="4" t="s">
        <v>42</v>
      </c>
      <c r="H19" s="4"/>
      <c r="J19" s="1">
        <f ca="1" t="shared" si="2"/>
        <v>59.5</v>
      </c>
      <c r="K19" s="1"/>
      <c r="L19" s="1">
        <f ca="1" t="shared" si="3"/>
        <v>58.5</v>
      </c>
      <c r="M19" s="1">
        <f ca="1" t="shared" si="4"/>
        <v>6.6</v>
      </c>
    </row>
    <row r="20" spans="1:13">
      <c r="A20" s="3">
        <v>10</v>
      </c>
      <c r="B20" s="1">
        <f ca="1" t="shared" ref="B20:F20" si="21">ROUND(B19*2,)/2</f>
        <v>60</v>
      </c>
      <c r="C20" s="1">
        <f ca="1" t="shared" si="21"/>
        <v>62</v>
      </c>
      <c r="D20" s="1">
        <f ca="1" t="shared" si="21"/>
        <v>58</v>
      </c>
      <c r="E20" s="1">
        <f ca="1" t="shared" si="21"/>
        <v>58.5</v>
      </c>
      <c r="F20" s="1">
        <f ca="1" t="shared" si="21"/>
        <v>59.5</v>
      </c>
      <c r="G20" s="4" t="s">
        <v>42</v>
      </c>
      <c r="H20" s="4"/>
      <c r="I20" s="1">
        <f ca="1">AVERAGE(B20:E20)</f>
        <v>59.625</v>
      </c>
      <c r="J20" s="1">
        <f ca="1" t="shared" si="2"/>
        <v>56.5</v>
      </c>
      <c r="K20" s="1"/>
      <c r="L20" s="1">
        <f ca="1" t="shared" si="3"/>
        <v>57</v>
      </c>
      <c r="M20" s="1">
        <f ca="1" t="shared" si="4"/>
        <v>6.6</v>
      </c>
    </row>
    <row r="21" spans="2:13">
      <c r="B21" s="1">
        <f ca="1" t="shared" ref="B21" si="22">ROUND(RAND()*(64-57)+57,1)</f>
        <v>63.4</v>
      </c>
      <c r="C21" s="1">
        <f ca="1" t="shared" si="18"/>
        <v>58.9</v>
      </c>
      <c r="D21" s="1">
        <f ca="1" t="shared" si="18"/>
        <v>59</v>
      </c>
      <c r="E21" s="1">
        <f ca="1" t="shared" si="18"/>
        <v>60.3</v>
      </c>
      <c r="F21" s="1">
        <f ca="1" t="shared" si="18"/>
        <v>62.4</v>
      </c>
      <c r="G21" s="4" t="s">
        <v>42</v>
      </c>
      <c r="H21" s="4"/>
      <c r="J21" s="1">
        <f ca="1" t="shared" si="2"/>
        <v>62</v>
      </c>
      <c r="K21" s="1"/>
      <c r="L21" s="1">
        <f ca="1" t="shared" si="3"/>
        <v>63.5</v>
      </c>
      <c r="M21" s="1">
        <f ca="1" t="shared" si="4"/>
        <v>6.8</v>
      </c>
    </row>
    <row r="22" spans="1:13">
      <c r="A22" s="3">
        <v>11</v>
      </c>
      <c r="B22" s="1">
        <f ca="1" t="shared" ref="B22:F22" si="23">ROUND(B21*2,)/2</f>
        <v>63.5</v>
      </c>
      <c r="C22" s="1">
        <f ca="1" t="shared" si="23"/>
        <v>59</v>
      </c>
      <c r="D22" s="1">
        <f ca="1" t="shared" si="23"/>
        <v>59</v>
      </c>
      <c r="E22" s="1">
        <f ca="1" t="shared" si="23"/>
        <v>60.5</v>
      </c>
      <c r="F22" s="1">
        <f ca="1" t="shared" si="23"/>
        <v>62.5</v>
      </c>
      <c r="G22" s="4" t="s">
        <v>42</v>
      </c>
      <c r="H22" s="4"/>
      <c r="I22" s="1">
        <f ca="1">AVERAGE(B22:E22)</f>
        <v>60.5</v>
      </c>
      <c r="J22" s="1">
        <f ca="1" t="shared" si="2"/>
        <v>60.5</v>
      </c>
      <c r="K22" s="1"/>
      <c r="L22" s="1">
        <f ca="1" t="shared" si="3"/>
        <v>62</v>
      </c>
      <c r="M22" s="1">
        <f ca="1" t="shared" si="4"/>
        <v>5</v>
      </c>
    </row>
    <row r="23" spans="2:13">
      <c r="B23" s="1">
        <f ca="1" t="shared" ref="B23" si="24">ROUND(RAND()*(64-57)+57,1)</f>
        <v>58.7</v>
      </c>
      <c r="C23" s="1">
        <f ca="1" t="shared" si="18"/>
        <v>60.1</v>
      </c>
      <c r="D23" s="1">
        <f ca="1" t="shared" si="18"/>
        <v>62.5</v>
      </c>
      <c r="E23" s="1">
        <f ca="1" t="shared" si="18"/>
        <v>62.3</v>
      </c>
      <c r="F23" s="1">
        <f ca="1" t="shared" si="18"/>
        <v>60.5</v>
      </c>
      <c r="G23" s="4" t="s">
        <v>42</v>
      </c>
      <c r="H23" s="4"/>
      <c r="J23" s="1">
        <f ca="1" t="shared" si="2"/>
        <v>60.5</v>
      </c>
      <c r="K23" s="1"/>
      <c r="L23" s="1">
        <f ca="1" t="shared" si="3"/>
        <v>65</v>
      </c>
      <c r="M23" s="1">
        <f ca="1" t="shared" si="4"/>
        <v>5.2</v>
      </c>
    </row>
    <row r="24" spans="1:13">
      <c r="A24" s="3">
        <v>12</v>
      </c>
      <c r="B24" s="1">
        <f ca="1" t="shared" ref="B24:F24" si="25">ROUND(B23*2,)/2</f>
        <v>58.5</v>
      </c>
      <c r="C24" s="1">
        <f ca="1" t="shared" si="25"/>
        <v>60</v>
      </c>
      <c r="D24" s="1">
        <f ca="1" t="shared" si="25"/>
        <v>62.5</v>
      </c>
      <c r="E24" s="1">
        <f ca="1" t="shared" si="25"/>
        <v>62.5</v>
      </c>
      <c r="F24" s="1">
        <f ca="1" t="shared" si="25"/>
        <v>60.5</v>
      </c>
      <c r="G24" s="4" t="s">
        <v>42</v>
      </c>
      <c r="H24" s="4"/>
      <c r="I24" s="1">
        <f ca="1">AVERAGE(B24:E24)</f>
        <v>60.875</v>
      </c>
      <c r="J24" s="1">
        <f ca="1" t="shared" si="2"/>
        <v>59</v>
      </c>
      <c r="K24" s="1"/>
      <c r="L24" s="1">
        <f ca="1" t="shared" si="3"/>
        <v>58</v>
      </c>
      <c r="M24" s="1">
        <f ca="1" t="shared" si="4"/>
        <v>5</v>
      </c>
    </row>
    <row r="25" spans="2:10">
      <c r="B25" s="1">
        <f ca="1" t="shared" ref="B25" si="26">ROUND(RAND()*(64-57)+57,1)</f>
        <v>63.9</v>
      </c>
      <c r="C25" s="1">
        <f ca="1" t="shared" si="18"/>
        <v>59.9</v>
      </c>
      <c r="D25" s="1">
        <f ca="1" t="shared" si="18"/>
        <v>61.3</v>
      </c>
      <c r="E25" s="1">
        <f ca="1" t="shared" si="18"/>
        <v>58.9</v>
      </c>
      <c r="F25" s="1">
        <f ca="1" t="shared" si="18"/>
        <v>57.2</v>
      </c>
      <c r="G25" s="4" t="s">
        <v>42</v>
      </c>
      <c r="H25" s="4"/>
      <c r="J25" s="1">
        <f ca="1" t="shared" si="2"/>
        <v>58</v>
      </c>
    </row>
    <row r="26" spans="1:9">
      <c r="A26" s="3">
        <v>13</v>
      </c>
      <c r="B26" s="1">
        <f ca="1" t="shared" ref="B26:F26" si="27">ROUND(B25*2,)/2</f>
        <v>64</v>
      </c>
      <c r="C26" s="1">
        <f ca="1" t="shared" si="27"/>
        <v>60</v>
      </c>
      <c r="D26" s="1">
        <f ca="1" t="shared" si="27"/>
        <v>61.5</v>
      </c>
      <c r="E26" s="1">
        <f ca="1" t="shared" si="27"/>
        <v>59</v>
      </c>
      <c r="F26" s="1">
        <f ca="1" t="shared" si="27"/>
        <v>57</v>
      </c>
      <c r="G26" s="4" t="s">
        <v>42</v>
      </c>
      <c r="H26" s="4"/>
      <c r="I26" s="1">
        <f ca="1">AVERAGE(B26:E26)</f>
        <v>61.125</v>
      </c>
    </row>
    <row r="27" spans="2:8">
      <c r="B27" s="1">
        <f ca="1" t="shared" ref="B27:F41" si="28">ROUND(RAND()*(64-57)+57,1)</f>
        <v>62.4</v>
      </c>
      <c r="C27" s="1">
        <f ca="1" t="shared" si="18"/>
        <v>60</v>
      </c>
      <c r="D27" s="1">
        <f ca="1" t="shared" si="18"/>
        <v>58.8</v>
      </c>
      <c r="E27" s="1">
        <f ca="1" t="shared" si="18"/>
        <v>57.4</v>
      </c>
      <c r="F27" s="1">
        <f ca="1" t="shared" si="18"/>
        <v>63.7</v>
      </c>
      <c r="G27" s="4" t="s">
        <v>42</v>
      </c>
      <c r="H27" s="4"/>
    </row>
    <row r="28" spans="1:9">
      <c r="A28" s="3">
        <v>14</v>
      </c>
      <c r="B28" s="1">
        <f ca="1" t="shared" ref="B28:F28" si="29">ROUND(B27*2,)/2</f>
        <v>62.5</v>
      </c>
      <c r="C28" s="1">
        <f ca="1" t="shared" si="29"/>
        <v>60</v>
      </c>
      <c r="D28" s="1">
        <f ca="1" t="shared" si="29"/>
        <v>59</v>
      </c>
      <c r="E28" s="1">
        <f ca="1" t="shared" si="29"/>
        <v>57.5</v>
      </c>
      <c r="F28" s="1">
        <f ca="1" t="shared" si="29"/>
        <v>63.5</v>
      </c>
      <c r="G28" s="4" t="s">
        <v>42</v>
      </c>
      <c r="H28" s="4"/>
      <c r="I28" s="1">
        <f ca="1">AVERAGE(B28:E28)</f>
        <v>59.75</v>
      </c>
    </row>
    <row r="29" spans="2:8">
      <c r="B29" s="1">
        <f ca="1" t="shared" si="28"/>
        <v>57.4</v>
      </c>
      <c r="C29" s="1">
        <f ca="1" t="shared" si="18"/>
        <v>57.1</v>
      </c>
      <c r="D29" s="1">
        <f ca="1" t="shared" si="18"/>
        <v>60.4</v>
      </c>
      <c r="E29" s="1">
        <f ca="1" t="shared" si="18"/>
        <v>57.9</v>
      </c>
      <c r="F29" s="1">
        <f ca="1" t="shared" si="18"/>
        <v>60</v>
      </c>
      <c r="G29" s="4" t="s">
        <v>42</v>
      </c>
      <c r="H29" s="4"/>
    </row>
    <row r="30" spans="1:9">
      <c r="A30" s="3">
        <v>15</v>
      </c>
      <c r="B30" s="1">
        <f ca="1" t="shared" ref="B30:F30" si="30">ROUND(B29*2,)/2</f>
        <v>57.5</v>
      </c>
      <c r="C30" s="1">
        <f ca="1" t="shared" si="30"/>
        <v>57</v>
      </c>
      <c r="D30" s="1">
        <f ca="1" t="shared" si="30"/>
        <v>60.5</v>
      </c>
      <c r="E30" s="1">
        <f ca="1" t="shared" si="30"/>
        <v>58</v>
      </c>
      <c r="F30" s="1">
        <f ca="1" t="shared" si="30"/>
        <v>60</v>
      </c>
      <c r="G30" s="4" t="s">
        <v>42</v>
      </c>
      <c r="H30" s="4"/>
      <c r="I30" s="1">
        <f ca="1" t="shared" ref="I30" si="31">AVERAGE(B30:E30)</f>
        <v>58.25</v>
      </c>
    </row>
    <row r="31" spans="2:8">
      <c r="B31" s="1">
        <f ca="1" t="shared" si="28"/>
        <v>62.9</v>
      </c>
      <c r="C31" s="1">
        <f ca="1" t="shared" si="18"/>
        <v>64</v>
      </c>
      <c r="D31" s="1">
        <f ca="1" t="shared" si="18"/>
        <v>62.5</v>
      </c>
      <c r="E31" s="1">
        <f ca="1" t="shared" si="18"/>
        <v>63.3</v>
      </c>
      <c r="F31" s="1">
        <f ca="1" t="shared" si="18"/>
        <v>60.3</v>
      </c>
      <c r="G31" s="4" t="s">
        <v>42</v>
      </c>
      <c r="H31" s="4"/>
    </row>
    <row r="32" spans="1:9">
      <c r="A32" s="3">
        <v>16</v>
      </c>
      <c r="B32" s="1">
        <f ca="1" t="shared" ref="B32:F32" si="32">ROUND(B31*2,)/2</f>
        <v>63</v>
      </c>
      <c r="C32" s="1">
        <f ca="1" t="shared" si="32"/>
        <v>64</v>
      </c>
      <c r="D32" s="1">
        <f ca="1" t="shared" si="32"/>
        <v>62.5</v>
      </c>
      <c r="E32" s="1">
        <f ca="1" t="shared" si="32"/>
        <v>63.5</v>
      </c>
      <c r="F32" s="1">
        <f ca="1" t="shared" si="32"/>
        <v>60.5</v>
      </c>
      <c r="G32" s="4" t="s">
        <v>42</v>
      </c>
      <c r="H32" s="4"/>
      <c r="I32" s="1">
        <f ca="1" t="shared" ref="I32" si="33">AVERAGE(B32:E32)</f>
        <v>63.25</v>
      </c>
    </row>
    <row r="33" spans="2:8">
      <c r="B33" s="1">
        <f ca="1" t="shared" si="28"/>
        <v>58.5</v>
      </c>
      <c r="C33" s="1">
        <f ca="1" t="shared" si="28"/>
        <v>58</v>
      </c>
      <c r="D33" s="1">
        <f ca="1" t="shared" si="28"/>
        <v>57.3</v>
      </c>
      <c r="E33" s="1">
        <f ca="1" t="shared" si="28"/>
        <v>58.2</v>
      </c>
      <c r="F33" s="1">
        <f ca="1" t="shared" si="28"/>
        <v>59.7</v>
      </c>
      <c r="G33" s="4" t="s">
        <v>42</v>
      </c>
      <c r="H33" s="4"/>
    </row>
    <row r="34" spans="1:9">
      <c r="A34" s="3">
        <v>17</v>
      </c>
      <c r="B34" s="1">
        <f ca="1" t="shared" ref="B34:F34" si="34">ROUND(B33*2,)/2</f>
        <v>58.5</v>
      </c>
      <c r="C34" s="1">
        <f ca="1" t="shared" si="34"/>
        <v>58</v>
      </c>
      <c r="D34" s="1">
        <f ca="1" t="shared" si="34"/>
        <v>57.5</v>
      </c>
      <c r="E34" s="1">
        <f ca="1" t="shared" si="34"/>
        <v>58</v>
      </c>
      <c r="F34" s="1">
        <f ca="1" t="shared" si="34"/>
        <v>59.5</v>
      </c>
      <c r="G34" s="4" t="s">
        <v>42</v>
      </c>
      <c r="H34" s="4"/>
      <c r="I34" s="1">
        <f ca="1" t="shared" ref="I34" si="35">AVERAGE(B34:E34)</f>
        <v>58</v>
      </c>
    </row>
    <row r="35" spans="2:8">
      <c r="B35" s="1">
        <f ca="1" t="shared" si="28"/>
        <v>63.6</v>
      </c>
      <c r="C35" s="1">
        <f ca="1" t="shared" si="28"/>
        <v>60.8</v>
      </c>
      <c r="D35" s="1">
        <f ca="1" t="shared" si="28"/>
        <v>60.7</v>
      </c>
      <c r="E35" s="1">
        <f ca="1" t="shared" si="28"/>
        <v>59.5</v>
      </c>
      <c r="F35" s="1">
        <f ca="1" t="shared" si="28"/>
        <v>60.1</v>
      </c>
      <c r="G35" s="4" t="s">
        <v>42</v>
      </c>
      <c r="H35" s="4"/>
    </row>
    <row r="36" spans="1:9">
      <c r="A36" s="3">
        <v>18</v>
      </c>
      <c r="B36" s="1">
        <f ca="1" t="shared" ref="B36:F36" si="36">ROUND(B35*2,)/2</f>
        <v>63.5</v>
      </c>
      <c r="C36" s="1">
        <f ca="1" t="shared" si="36"/>
        <v>61</v>
      </c>
      <c r="D36" s="1">
        <f ca="1" t="shared" si="36"/>
        <v>60.5</v>
      </c>
      <c r="E36" s="1">
        <f ca="1" t="shared" si="36"/>
        <v>59.5</v>
      </c>
      <c r="F36" s="1">
        <f ca="1" t="shared" si="36"/>
        <v>60</v>
      </c>
      <c r="G36" s="4" t="s">
        <v>42</v>
      </c>
      <c r="H36" s="4"/>
      <c r="I36" s="1">
        <f ca="1" t="shared" ref="I36" si="37">AVERAGE(B36:E36)</f>
        <v>61.125</v>
      </c>
    </row>
    <row r="37" spans="2:8">
      <c r="B37" s="1">
        <f ca="1" t="shared" si="28"/>
        <v>62.1</v>
      </c>
      <c r="C37" s="1">
        <f ca="1" t="shared" si="28"/>
        <v>57.9</v>
      </c>
      <c r="D37" s="1">
        <f ca="1" t="shared" si="28"/>
        <v>58.7</v>
      </c>
      <c r="E37" s="1">
        <f ca="1" t="shared" si="28"/>
        <v>63.3</v>
      </c>
      <c r="F37" s="1">
        <f ca="1" t="shared" si="28"/>
        <v>58.3</v>
      </c>
      <c r="G37" s="4" t="s">
        <v>42</v>
      </c>
      <c r="H37" s="4"/>
    </row>
    <row r="38" spans="1:9">
      <c r="A38" s="3">
        <v>19</v>
      </c>
      <c r="B38" s="1">
        <f ca="1" t="shared" ref="B38:F38" si="38">ROUND(B37*2,)/2</f>
        <v>62</v>
      </c>
      <c r="C38" s="1">
        <f ca="1" t="shared" si="38"/>
        <v>58</v>
      </c>
      <c r="D38" s="1">
        <f ca="1" t="shared" si="38"/>
        <v>58.5</v>
      </c>
      <c r="E38" s="1">
        <f ca="1" t="shared" si="38"/>
        <v>63.5</v>
      </c>
      <c r="F38" s="1">
        <f ca="1" t="shared" si="38"/>
        <v>58.5</v>
      </c>
      <c r="G38" s="4" t="s">
        <v>42</v>
      </c>
      <c r="H38" s="4"/>
      <c r="I38" s="1">
        <f ca="1" t="shared" ref="I38" si="39">AVERAGE(B38:E38)</f>
        <v>60.5</v>
      </c>
    </row>
    <row r="39" spans="2:8">
      <c r="B39" s="1">
        <f ca="1" t="shared" si="28"/>
        <v>57.9</v>
      </c>
      <c r="C39" s="1">
        <f ca="1" t="shared" si="28"/>
        <v>62.7</v>
      </c>
      <c r="D39" s="1">
        <f ca="1" t="shared" si="28"/>
        <v>63</v>
      </c>
      <c r="E39" s="1">
        <f ca="1" t="shared" si="28"/>
        <v>61.9</v>
      </c>
      <c r="F39" s="1">
        <f ca="1" t="shared" si="28"/>
        <v>60.8</v>
      </c>
      <c r="G39" s="4" t="s">
        <v>42</v>
      </c>
      <c r="H39" s="4"/>
    </row>
    <row r="40" spans="1:9">
      <c r="A40" s="3">
        <v>20</v>
      </c>
      <c r="B40" s="1">
        <f ca="1" t="shared" ref="B40:F40" si="40">ROUND(B39*2,)/2</f>
        <v>58</v>
      </c>
      <c r="C40" s="1">
        <f ca="1" t="shared" si="40"/>
        <v>62.5</v>
      </c>
      <c r="D40" s="1">
        <f ca="1" t="shared" si="40"/>
        <v>63</v>
      </c>
      <c r="E40" s="1">
        <f ca="1" t="shared" si="40"/>
        <v>62</v>
      </c>
      <c r="F40" s="1">
        <f ca="1" t="shared" si="40"/>
        <v>61</v>
      </c>
      <c r="G40" s="4" t="s">
        <v>42</v>
      </c>
      <c r="H40" s="4"/>
      <c r="I40" s="1">
        <f ca="1" t="shared" ref="I40" si="41">AVERAGE(B40:E40)</f>
        <v>61.375</v>
      </c>
    </row>
    <row r="41" spans="2:8">
      <c r="B41" s="1">
        <f ca="1" t="shared" si="28"/>
        <v>63.9</v>
      </c>
      <c r="C41" s="1">
        <f ca="1" t="shared" si="28"/>
        <v>60.1</v>
      </c>
      <c r="D41" s="1">
        <f ca="1" t="shared" si="28"/>
        <v>60.9</v>
      </c>
      <c r="E41" s="1">
        <f ca="1" t="shared" si="28"/>
        <v>60.8</v>
      </c>
      <c r="F41" s="1">
        <f ca="1" t="shared" si="28"/>
        <v>59.9</v>
      </c>
      <c r="G41" s="4" t="s">
        <v>42</v>
      </c>
      <c r="H41" s="4"/>
    </row>
    <row r="42" spans="1:9">
      <c r="A42" s="3">
        <v>21</v>
      </c>
      <c r="B42" s="1">
        <f ca="1" t="shared" ref="B42:F42" si="42">ROUND(B41*2,)/2</f>
        <v>64</v>
      </c>
      <c r="C42" s="1">
        <f ca="1" t="shared" si="42"/>
        <v>60</v>
      </c>
      <c r="D42" s="1">
        <f ca="1" t="shared" si="42"/>
        <v>61</v>
      </c>
      <c r="E42" s="1">
        <f ca="1" t="shared" si="42"/>
        <v>61</v>
      </c>
      <c r="F42" s="1">
        <f ca="1" t="shared" si="42"/>
        <v>60</v>
      </c>
      <c r="G42" s="4" t="s">
        <v>42</v>
      </c>
      <c r="H42" s="4"/>
      <c r="I42" s="1">
        <f ca="1" t="shared" ref="I42" si="43">AVERAGE(B42:E42)</f>
        <v>61.5</v>
      </c>
    </row>
    <row r="43" spans="2:8">
      <c r="B43" s="1">
        <f ca="1" t="shared" ref="B43:F43" si="44">ROUND(RAND()*(64-57)+57,1)</f>
        <v>57.3</v>
      </c>
      <c r="C43" s="1">
        <f ca="1" t="shared" si="44"/>
        <v>61.9</v>
      </c>
      <c r="D43" s="1">
        <f ca="1" t="shared" si="44"/>
        <v>61.4</v>
      </c>
      <c r="E43" s="1">
        <f ca="1" t="shared" si="44"/>
        <v>60.3</v>
      </c>
      <c r="F43" s="1">
        <f ca="1" t="shared" si="44"/>
        <v>60.2</v>
      </c>
      <c r="G43" s="4" t="s">
        <v>42</v>
      </c>
      <c r="H43" s="4"/>
    </row>
    <row r="44" spans="1:9">
      <c r="A44" s="3">
        <v>22</v>
      </c>
      <c r="B44" s="1">
        <f ca="1" t="shared" ref="B44:F44" si="45">ROUND(B43*2,)/2</f>
        <v>57.5</v>
      </c>
      <c r="C44" s="1">
        <f ca="1" t="shared" si="45"/>
        <v>62</v>
      </c>
      <c r="D44" s="1">
        <f ca="1" t="shared" si="45"/>
        <v>61.5</v>
      </c>
      <c r="E44" s="1">
        <f ca="1" t="shared" si="45"/>
        <v>60.5</v>
      </c>
      <c r="F44" s="1">
        <f ca="1" t="shared" si="45"/>
        <v>60</v>
      </c>
      <c r="G44" s="4" t="s">
        <v>42</v>
      </c>
      <c r="H44" s="4"/>
      <c r="I44" s="1">
        <f ca="1" t="shared" ref="I44" si="46">AVERAGE(B44:E44)</f>
        <v>60.375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洛氏硬度报告</vt:lpstr>
      <vt:lpstr>记录表</vt:lpstr>
      <vt:lpstr>洛氏硬度报告 (2)</vt:lpstr>
      <vt:lpstr>洛氏硬度报告空白</vt:lpstr>
      <vt:lpstr>记录表空白</vt:lpstr>
      <vt:lpstr>记录表 2</vt:lpstr>
      <vt:lpstr>记录夹片公式</vt:lpstr>
      <vt:lpstr>记录表 2 (2)</vt:lpstr>
      <vt:lpstr>记录夹片公式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asus</cp:lastModifiedBy>
  <dcterms:created xsi:type="dcterms:W3CDTF">2016-05-18T08:38:00Z</dcterms:created>
  <cp:lastPrinted>2016-05-19T07:22:00Z</cp:lastPrinted>
  <dcterms:modified xsi:type="dcterms:W3CDTF">2020-08-28T01:31:13Z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2052-11.1.0.9926</vt:lpwstr>
  </property>
</Properties>
</file>