
<file path=[Content_Types].xml><?xml version="1.0" encoding="utf-8"?>
<Types xmlns="http://schemas.openxmlformats.org/package/2006/content-types"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9200" windowHeight="7070"/>
  </bookViews>
  <sheets>
    <sheet name="烧结普通砖试验记录（一）" sheetId="1" r:id="rId1"/>
    <sheet name="烧结普通砖试验记录（二）" sheetId="4" r:id="rId2"/>
  </sheets>
  <calcPr calcId="144525"/>
</workbook>
</file>

<file path=xl/sharedStrings.xml><?xml version="1.0" encoding="utf-8"?>
<sst xmlns="http://schemas.openxmlformats.org/spreadsheetml/2006/main" count="137" uniqueCount="98">
  <si>
    <t xml:space="preserve">                 烧结普通砖试验记录（一）</t>
  </si>
  <si>
    <t>样品编号</t>
  </si>
  <si>
    <t>记录编号</t>
  </si>
  <si>
    <t>0001</t>
  </si>
  <si>
    <t>产品标记</t>
  </si>
  <si>
    <t>页岩砖 240×115×53（mm）</t>
  </si>
  <si>
    <t>委托编号</t>
  </si>
  <si>
    <t>产地厂名</t>
  </si>
  <si>
    <t>——</t>
  </si>
  <si>
    <t>委托日期</t>
  </si>
  <si>
    <t>代表数量</t>
  </si>
  <si>
    <t>15万块</t>
  </si>
  <si>
    <t>试验日期</t>
  </si>
  <si>
    <t xml:space="preserve">仪器设备
及
环境条件
</t>
  </si>
  <si>
    <t>仪器设备名称</t>
  </si>
  <si>
    <t>型号</t>
  </si>
  <si>
    <t>管理编号</t>
  </si>
  <si>
    <t>示值范围</t>
  </si>
  <si>
    <t>分辨力</t>
  </si>
  <si>
    <t>温度（℃）</t>
  </si>
  <si>
    <t>相对湿度（%）</t>
  </si>
  <si>
    <t>样品状态描述</t>
  </si>
  <si>
    <t>采用标准</t>
  </si>
  <si>
    <t>GB 5101-2003 GB/T2542-2012</t>
  </si>
  <si>
    <t>（1） 尺寸偏差</t>
  </si>
  <si>
    <t>外形名称</t>
  </si>
  <si>
    <t>公称尺寸（㎜）</t>
  </si>
  <si>
    <t>边长测量值（㎜）</t>
  </si>
  <si>
    <t>样本平均偏差</t>
  </si>
  <si>
    <t>样本极差</t>
  </si>
  <si>
    <t>边长均值1</t>
  </si>
  <si>
    <t>边长均值2</t>
  </si>
  <si>
    <t>平均值</t>
  </si>
  <si>
    <t>最大值</t>
  </si>
  <si>
    <t>最小值</t>
  </si>
  <si>
    <t>长</t>
  </si>
  <si>
    <t>宽</t>
  </si>
  <si>
    <t>高</t>
  </si>
  <si>
    <t>（2） 抗压强度</t>
  </si>
  <si>
    <t xml:space="preserve">试件
编号
</t>
  </si>
  <si>
    <t>受压面尺寸（mm）</t>
  </si>
  <si>
    <r>
      <rPr>
        <sz val="9"/>
        <rFont val="宋体"/>
        <charset val="134"/>
        <scheme val="minor"/>
      </rPr>
      <t>受压面积A（mm</t>
    </r>
    <r>
      <rPr>
        <vertAlign val="superscript"/>
        <sz val="9"/>
        <rFont val="宋体"/>
        <charset val="134"/>
        <scheme val="minor"/>
      </rPr>
      <t>2</t>
    </r>
    <r>
      <rPr>
        <sz val="9"/>
        <rFont val="宋体"/>
        <charset val="134"/>
        <scheme val="minor"/>
      </rPr>
      <t>）</t>
    </r>
  </si>
  <si>
    <t>破坏荷载P（N）</t>
  </si>
  <si>
    <t>抗压强度（MPa）</t>
  </si>
  <si>
    <t xml:space="preserve">强度标准差S（MPa）
</t>
  </si>
  <si>
    <t xml:space="preserve">强度变异系数
δ
</t>
  </si>
  <si>
    <r>
      <rPr>
        <sz val="9"/>
        <rFont val="宋体"/>
        <charset val="134"/>
        <scheme val="minor"/>
      </rPr>
      <t>强度标准值f</t>
    </r>
    <r>
      <rPr>
        <vertAlign val="subscript"/>
        <sz val="9"/>
        <rFont val="宋体"/>
        <charset val="134"/>
        <scheme val="minor"/>
      </rPr>
      <t>k</t>
    </r>
    <r>
      <rPr>
        <sz val="9"/>
        <rFont val="宋体"/>
        <charset val="134"/>
        <scheme val="minor"/>
      </rPr>
      <t>（MPa）</t>
    </r>
  </si>
  <si>
    <t>长L</t>
  </si>
  <si>
    <t>宽B</t>
  </si>
  <si>
    <r>
      <rPr>
        <sz val="9"/>
        <rFont val="宋体"/>
        <charset val="134"/>
        <scheme val="minor"/>
      </rPr>
      <t xml:space="preserve">单值                                                                                                                                                                                                                 </t>
    </r>
    <r>
      <rPr>
        <sz val="9"/>
        <rFont val="Times New Roman"/>
        <charset val="134"/>
      </rPr>
      <t>ƒ</t>
    </r>
    <r>
      <rPr>
        <vertAlign val="subscript"/>
        <sz val="9"/>
        <rFont val="宋体"/>
        <charset val="134"/>
        <scheme val="minor"/>
      </rPr>
      <t>i</t>
    </r>
  </si>
  <si>
    <r>
      <rPr>
        <sz val="9"/>
        <rFont val="宋体"/>
        <charset val="134"/>
        <scheme val="minor"/>
      </rPr>
      <t xml:space="preserve">均值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"/>
        <rFont val="Times New Roman"/>
        <charset val="134"/>
      </rPr>
      <t xml:space="preserve"> 
</t>
    </r>
  </si>
  <si>
    <r>
      <rPr>
        <sz val="9"/>
        <rFont val="宋体"/>
        <charset val="134"/>
        <scheme val="minor"/>
      </rPr>
      <t xml:space="preserve">最小值                                                                                                                                                                                                          </t>
    </r>
    <r>
      <rPr>
        <sz val="9"/>
        <rFont val="Times New Roman"/>
        <charset val="134"/>
      </rPr>
      <t>ƒ</t>
    </r>
    <r>
      <rPr>
        <vertAlign val="subscript"/>
        <sz val="9"/>
        <rFont val="宋体"/>
        <charset val="134"/>
        <scheme val="minor"/>
      </rPr>
      <t>min</t>
    </r>
  </si>
  <si>
    <t>⑴</t>
  </si>
  <si>
    <t>⑵</t>
  </si>
  <si>
    <t>⑶＝⑴×⑵</t>
  </si>
  <si>
    <t>⑷</t>
  </si>
  <si>
    <t>⑸＝⑷/⑶</t>
  </si>
  <si>
    <t>⑹</t>
  </si>
  <si>
    <t>⑺</t>
  </si>
  <si>
    <t>⑻</t>
  </si>
  <si>
    <t>⑼＝⑻/⑹</t>
  </si>
  <si>
    <t>⑽＝⑹－1.8×⑻</t>
  </si>
  <si>
    <t>附注：</t>
  </si>
  <si>
    <t>试验</t>
  </si>
  <si>
    <t>计算</t>
  </si>
  <si>
    <t>复核</t>
  </si>
  <si>
    <t xml:space="preserve">            烧结普通砖试验记录（二）</t>
  </si>
  <si>
    <t>仪器设备
及
环境条件</t>
  </si>
  <si>
    <t>（3） 吸水率和饱和系数</t>
  </si>
  <si>
    <t xml:space="preserve">试件
编号
</t>
  </si>
  <si>
    <r>
      <rPr>
        <sz val="9"/>
        <rFont val="宋体"/>
        <charset val="134"/>
        <scheme val="minor"/>
      </rPr>
      <t>试件干质量</t>
    </r>
    <r>
      <rPr>
        <i/>
        <sz val="9"/>
        <rFont val="宋体"/>
        <charset val="134"/>
        <scheme val="minor"/>
      </rPr>
      <t>G</t>
    </r>
    <r>
      <rPr>
        <vertAlign val="subscript"/>
        <sz val="9"/>
        <rFont val="宋体"/>
        <charset val="134"/>
        <scheme val="minor"/>
      </rPr>
      <t>0</t>
    </r>
    <r>
      <rPr>
        <sz val="9"/>
        <rFont val="宋体"/>
        <charset val="134"/>
        <scheme val="minor"/>
      </rPr>
      <t>（g）</t>
    </r>
  </si>
  <si>
    <t>试件湿质量（g）</t>
  </si>
  <si>
    <r>
      <rPr>
        <sz val="9"/>
        <rFont val="宋体"/>
        <charset val="134"/>
        <scheme val="minor"/>
      </rPr>
      <t>5h沸煮吸水率</t>
    </r>
    <r>
      <rPr>
        <i/>
        <sz val="9"/>
        <rFont val="宋体"/>
        <charset val="134"/>
        <scheme val="minor"/>
      </rPr>
      <t>W</t>
    </r>
    <r>
      <rPr>
        <i/>
        <vertAlign val="subscript"/>
        <sz val="9"/>
        <rFont val="宋体"/>
        <charset val="134"/>
        <scheme val="minor"/>
      </rPr>
      <t>5</t>
    </r>
    <r>
      <rPr>
        <sz val="9"/>
        <rFont val="宋体"/>
        <charset val="134"/>
        <scheme val="minor"/>
      </rPr>
      <t>（%）</t>
    </r>
  </si>
  <si>
    <r>
      <rPr>
        <sz val="9"/>
        <rFont val="宋体"/>
        <charset val="134"/>
        <scheme val="minor"/>
      </rPr>
      <t>饱和系数</t>
    </r>
    <r>
      <rPr>
        <i/>
        <sz val="9"/>
        <rFont val="宋体"/>
        <charset val="134"/>
        <scheme val="minor"/>
      </rPr>
      <t>K</t>
    </r>
  </si>
  <si>
    <r>
      <rPr>
        <sz val="9"/>
        <rFont val="宋体"/>
        <charset val="134"/>
        <scheme val="minor"/>
      </rPr>
      <t>浸泡24h</t>
    </r>
    <r>
      <rPr>
        <i/>
        <sz val="9"/>
        <rFont val="宋体"/>
        <charset val="134"/>
        <scheme val="minor"/>
      </rPr>
      <t>G</t>
    </r>
    <r>
      <rPr>
        <vertAlign val="subscript"/>
        <sz val="9"/>
        <rFont val="宋体"/>
        <charset val="134"/>
        <scheme val="minor"/>
      </rPr>
      <t>24</t>
    </r>
  </si>
  <si>
    <r>
      <rPr>
        <sz val="9"/>
        <rFont val="宋体"/>
        <charset val="134"/>
        <scheme val="minor"/>
      </rPr>
      <t>沸煮5h</t>
    </r>
    <r>
      <rPr>
        <i/>
        <sz val="9"/>
        <rFont val="宋体"/>
        <charset val="134"/>
        <scheme val="minor"/>
      </rPr>
      <t>G</t>
    </r>
    <r>
      <rPr>
        <vertAlign val="subscript"/>
        <sz val="9"/>
        <rFont val="宋体"/>
        <charset val="134"/>
        <scheme val="minor"/>
      </rPr>
      <t>5</t>
    </r>
  </si>
  <si>
    <t>单块值</t>
  </si>
  <si>
    <t>⑶</t>
  </si>
  <si>
    <t>⑷＝［⑶－⑴］/⑴</t>
  </si>
  <si>
    <t>⑸＝［⑵－⑴］/［⑶－⑴］</t>
  </si>
  <si>
    <t>（4） 抗冻性</t>
  </si>
  <si>
    <t>试件编号</t>
  </si>
  <si>
    <r>
      <rPr>
        <sz val="9"/>
        <rFont val="宋体"/>
        <charset val="134"/>
        <scheme val="minor"/>
      </rPr>
      <t>试件冻融前干质量G</t>
    </r>
    <r>
      <rPr>
        <vertAlign val="subscript"/>
        <sz val="9"/>
        <rFont val="宋体"/>
        <charset val="134"/>
        <scheme val="minor"/>
      </rPr>
      <t>0</t>
    </r>
    <r>
      <rPr>
        <sz val="9"/>
        <rFont val="宋体"/>
        <charset val="134"/>
        <scheme val="minor"/>
      </rPr>
      <t>（g）</t>
    </r>
  </si>
  <si>
    <r>
      <rPr>
        <sz val="9"/>
        <rFont val="宋体"/>
        <charset val="134"/>
        <scheme val="minor"/>
      </rPr>
      <t>试件冻融后干质量G</t>
    </r>
    <r>
      <rPr>
        <vertAlign val="subscript"/>
        <sz val="9"/>
        <rFont val="宋体"/>
        <charset val="134"/>
        <scheme val="minor"/>
      </rPr>
      <t>1</t>
    </r>
    <r>
      <rPr>
        <sz val="9"/>
        <rFont val="宋体"/>
        <charset val="134"/>
        <scheme val="minor"/>
      </rPr>
      <t>（g）</t>
    </r>
  </si>
  <si>
    <t>试件冻融后出现裂纹、分层、掉皮、缺棱、掉角情况</t>
  </si>
  <si>
    <r>
      <rPr>
        <sz val="9"/>
        <rFont val="宋体"/>
        <charset val="134"/>
        <scheme val="minor"/>
      </rPr>
      <t>冻融后质量损失率
G</t>
    </r>
    <r>
      <rPr>
        <vertAlign val="subscript"/>
        <sz val="9"/>
        <rFont val="宋体"/>
        <charset val="134"/>
        <scheme val="minor"/>
      </rPr>
      <t>m</t>
    </r>
    <r>
      <rPr>
        <sz val="9"/>
        <rFont val="宋体"/>
        <charset val="134"/>
        <scheme val="minor"/>
      </rPr>
      <t>＝[(G</t>
    </r>
    <r>
      <rPr>
        <vertAlign val="subscript"/>
        <sz val="9"/>
        <rFont val="宋体"/>
        <charset val="134"/>
        <scheme val="minor"/>
      </rPr>
      <t>0</t>
    </r>
    <r>
      <rPr>
        <sz val="9"/>
        <rFont val="宋体"/>
        <charset val="134"/>
        <scheme val="minor"/>
      </rPr>
      <t>－G</t>
    </r>
    <r>
      <rPr>
        <vertAlign val="subscript"/>
        <sz val="9"/>
        <rFont val="宋体"/>
        <charset val="134"/>
        <scheme val="minor"/>
      </rPr>
      <t>1</t>
    </r>
    <r>
      <rPr>
        <sz val="9"/>
        <rFont val="宋体"/>
        <charset val="134"/>
        <scheme val="minor"/>
      </rPr>
      <t>)/ G</t>
    </r>
    <r>
      <rPr>
        <vertAlign val="subscript"/>
        <sz val="9"/>
        <rFont val="宋体"/>
        <charset val="134"/>
        <scheme val="minor"/>
      </rPr>
      <t>0</t>
    </r>
    <r>
      <rPr>
        <sz val="9"/>
        <rFont val="宋体"/>
        <charset val="134"/>
        <scheme val="minor"/>
      </rPr>
      <t>]×100（g）</t>
    </r>
  </si>
  <si>
    <t>末出现裂纹、分层、掉皮、缺棱、掉角情况</t>
  </si>
  <si>
    <t>（5） 泛霜试验</t>
  </si>
  <si>
    <t>开始浸水时间</t>
  </si>
  <si>
    <t>2014年8月12日8时</t>
  </si>
  <si>
    <t>结束浸水时间</t>
  </si>
  <si>
    <t>2014年8月19日8时</t>
  </si>
  <si>
    <t>泛霜情况描述</t>
  </si>
  <si>
    <t>无泛霜</t>
  </si>
  <si>
    <t>确定泛霜程度</t>
  </si>
  <si>
    <t>（6） 石灰爆裂试验</t>
  </si>
  <si>
    <t>爆裂区域最大破坏尺寸（mm）</t>
  </si>
  <si>
    <t>爆裂区域数量（处）</t>
  </si>
</sst>
</file>

<file path=xl/styles.xml><?xml version="1.0" encoding="utf-8"?>
<styleSheet xmlns="http://schemas.openxmlformats.org/spreadsheetml/2006/main">
  <numFmts count="11"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  <numFmt numFmtId="176" formatCode="0.000"/>
    <numFmt numFmtId="177" formatCode="[$-F800]dddd\,\ mmmm\ dd\,\ yyyy"/>
    <numFmt numFmtId="178" formatCode="0.0_);[Red]\(0.0\)"/>
    <numFmt numFmtId="179" formatCode="0_);[Red]\(0\)"/>
    <numFmt numFmtId="180" formatCode="0.0_ "/>
    <numFmt numFmtId="181" formatCode="0.00_ "/>
    <numFmt numFmtId="182" formatCode="0.0"/>
  </numFmts>
  <fonts count="32">
    <font>
      <sz val="12"/>
      <name val="宋体"/>
      <charset val="134"/>
    </font>
    <font>
      <sz val="9"/>
      <name val="宋体"/>
      <charset val="134"/>
    </font>
    <font>
      <sz val="14"/>
      <name val="黑体"/>
      <charset val="134"/>
    </font>
    <font>
      <sz val="9"/>
      <name val="Times New Roman"/>
      <charset val="134"/>
    </font>
    <font>
      <sz val="9"/>
      <name val="宋体"/>
      <charset val="134"/>
      <scheme val="minor"/>
    </font>
    <font>
      <sz val="6"/>
      <name val="宋体"/>
      <charset val="134"/>
      <scheme val="minor"/>
    </font>
    <font>
      <b/>
      <sz val="14"/>
      <name val="宋体"/>
      <charset val="134"/>
      <scheme val="minor"/>
    </font>
    <font>
      <b/>
      <sz val="9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i/>
      <sz val="9"/>
      <name val="宋体"/>
      <charset val="134"/>
      <scheme val="minor"/>
    </font>
    <font>
      <vertAlign val="subscript"/>
      <sz val="9"/>
      <name val="宋体"/>
      <charset val="134"/>
      <scheme val="minor"/>
    </font>
    <font>
      <i/>
      <vertAlign val="subscript"/>
      <sz val="9"/>
      <name val="宋体"/>
      <charset val="134"/>
      <scheme val="minor"/>
    </font>
    <font>
      <vertAlign val="superscript"/>
      <sz val="9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5"/>
        <bgColor indexed="64"/>
      </patternFill>
    </fill>
  </fills>
  <borders count="37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42" fontId="12" fillId="0" borderId="0" applyFont="0" applyFill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6" borderId="30" applyNumberFormat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2" fillId="4" borderId="33" applyNumberFormat="0" applyFont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4" fillId="0" borderId="31" applyNumberFormat="0" applyFill="0" applyAlignment="0" applyProtection="0">
      <alignment vertical="center"/>
    </xf>
    <xf numFmtId="0" fontId="10" fillId="0" borderId="31" applyNumberFormat="0" applyFill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6" fillId="0" borderId="34" applyNumberFormat="0" applyFill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25" fillId="3" borderId="36" applyNumberFormat="0" applyAlignment="0" applyProtection="0">
      <alignment vertical="center"/>
    </xf>
    <xf numFmtId="0" fontId="9" fillId="3" borderId="30" applyNumberFormat="0" applyAlignment="0" applyProtection="0">
      <alignment vertical="center"/>
    </xf>
    <xf numFmtId="0" fontId="8" fillId="2" borderId="29" applyNumberFormat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22" fillId="0" borderId="35" applyNumberFormat="0" applyFill="0" applyAlignment="0" applyProtection="0">
      <alignment vertical="center"/>
    </xf>
    <xf numFmtId="0" fontId="13" fillId="0" borderId="32" applyNumberFormat="0" applyFill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</cellStyleXfs>
  <cellXfs count="65">
    <xf numFmtId="0" fontId="0" fillId="0" borderId="0" xfId="0"/>
    <xf numFmtId="0" fontId="1" fillId="0" borderId="0" xfId="0" applyFont="1" applyAlignment="1"/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justify" vertical="top" wrapText="1"/>
    </xf>
    <xf numFmtId="0" fontId="4" fillId="0" borderId="18" xfId="0" applyFont="1" applyBorder="1" applyAlignment="1">
      <alignment horizontal="justify" vertical="top" wrapText="1"/>
    </xf>
    <xf numFmtId="0" fontId="4" fillId="0" borderId="19" xfId="0" applyFont="1" applyBorder="1" applyAlignment="1">
      <alignment horizontal="center"/>
    </xf>
    <xf numFmtId="0" fontId="4" fillId="0" borderId="20" xfId="0" applyFont="1" applyBorder="1" applyAlignment="1"/>
    <xf numFmtId="180" fontId="4" fillId="0" borderId="5" xfId="0" applyNumberFormat="1" applyFont="1" applyBorder="1" applyAlignment="1">
      <alignment horizontal="center" vertical="center" wrapText="1"/>
    </xf>
    <xf numFmtId="179" fontId="4" fillId="0" borderId="5" xfId="0" applyNumberFormat="1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right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0" fontId="4" fillId="0" borderId="11" xfId="0" applyFont="1" applyBorder="1" applyAlignment="1">
      <alignment horizontal="center" vertical="center"/>
    </xf>
    <xf numFmtId="177" fontId="4" fillId="0" borderId="11" xfId="0" applyNumberFormat="1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 wrapText="1"/>
    </xf>
    <xf numFmtId="0" fontId="4" fillId="0" borderId="22" xfId="0" applyFont="1" applyBorder="1" applyAlignment="1">
      <alignment horizontal="center" vertical="center" wrapText="1"/>
    </xf>
    <xf numFmtId="176" fontId="4" fillId="0" borderId="5" xfId="0" applyNumberFormat="1" applyFont="1" applyBorder="1" applyAlignment="1">
      <alignment horizontal="center" vertical="center" wrapText="1"/>
    </xf>
    <xf numFmtId="181" fontId="4" fillId="0" borderId="5" xfId="0" applyNumberFormat="1" applyFont="1" applyBorder="1" applyAlignment="1">
      <alignment horizontal="center" vertical="center" wrapText="1"/>
    </xf>
    <xf numFmtId="181" fontId="4" fillId="0" borderId="22" xfId="0" applyNumberFormat="1" applyFont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 wrapText="1"/>
    </xf>
    <xf numFmtId="182" fontId="4" fillId="0" borderId="5" xfId="0" applyNumberFormat="1" applyFont="1" applyBorder="1" applyAlignment="1">
      <alignment horizontal="center" vertical="center" wrapText="1"/>
    </xf>
    <xf numFmtId="0" fontId="4" fillId="0" borderId="24" xfId="0" applyFont="1" applyBorder="1" applyAlignment="1">
      <alignment horizontal="center" vertical="center" wrapText="1"/>
    </xf>
    <xf numFmtId="0" fontId="4" fillId="0" borderId="25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4" fillId="0" borderId="26" xfId="0" applyFont="1" applyBorder="1" applyAlignment="1">
      <alignment horizontal="center" vertical="center" wrapText="1"/>
    </xf>
    <xf numFmtId="0" fontId="4" fillId="0" borderId="27" xfId="0" applyFont="1" applyBorder="1" applyAlignment="1">
      <alignment horizontal="center" vertical="center" wrapText="1"/>
    </xf>
    <xf numFmtId="0" fontId="4" fillId="0" borderId="28" xfId="0" applyFont="1" applyBorder="1" applyAlignment="1">
      <alignment horizontal="justify" vertical="top" wrapText="1"/>
    </xf>
    <xf numFmtId="0" fontId="6" fillId="0" borderId="0" xfId="0" applyFont="1" applyAlignment="1">
      <alignment horizontal="center" vertical="center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left" vertical="top" wrapText="1"/>
    </xf>
    <xf numFmtId="0" fontId="4" fillId="0" borderId="18" xfId="0" applyFont="1" applyBorder="1" applyAlignment="1">
      <alignment horizontal="left" vertical="top" wrapText="1"/>
    </xf>
    <xf numFmtId="0" fontId="4" fillId="0" borderId="20" xfId="0" applyFont="1" applyBorder="1" applyAlignment="1">
      <alignment horizontal="center"/>
    </xf>
    <xf numFmtId="0" fontId="4" fillId="0" borderId="19" xfId="0" applyFont="1" applyBorder="1" applyAlignment="1"/>
    <xf numFmtId="178" fontId="4" fillId="0" borderId="5" xfId="0" applyNumberFormat="1" applyFont="1" applyBorder="1" applyAlignment="1">
      <alignment horizontal="center" vertical="center" wrapText="1"/>
    </xf>
    <xf numFmtId="177" fontId="4" fillId="0" borderId="1" xfId="0" applyNumberFormat="1" applyFont="1" applyBorder="1" applyAlignment="1">
      <alignment horizontal="center" vertical="center"/>
    </xf>
    <xf numFmtId="0" fontId="7" fillId="0" borderId="22" xfId="0" applyFont="1" applyBorder="1" applyAlignment="1">
      <alignment horizontal="center" vertical="center" wrapText="1"/>
    </xf>
    <xf numFmtId="180" fontId="4" fillId="0" borderId="22" xfId="0" applyNumberFormat="1" applyFont="1" applyBorder="1" applyAlignment="1">
      <alignment horizontal="center" vertical="center" wrapText="1"/>
    </xf>
    <xf numFmtId="0" fontId="4" fillId="0" borderId="28" xfId="0" applyFont="1" applyBorder="1" applyAlignment="1">
      <alignment horizontal="left" vertical="top" wrapText="1"/>
    </xf>
    <xf numFmtId="0" fontId="4" fillId="0" borderId="20" xfId="0" applyFont="1" applyBorder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15</xdr:col>
      <xdr:colOff>38100</xdr:colOff>
      <xdr:row>20</xdr:row>
      <xdr:rowOff>368300</xdr:rowOff>
    </xdr:from>
    <xdr:to>
      <xdr:col>18</xdr:col>
      <xdr:colOff>231775</xdr:colOff>
      <xdr:row>22</xdr:row>
      <xdr:rowOff>146050</xdr:rowOff>
    </xdr:to>
    <xdr:pic>
      <xdr:nvPicPr>
        <xdr:cNvPr id="1028" name="Picture 4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4038600" y="4330700"/>
          <a:ext cx="993775" cy="425450"/>
        </a:xfrm>
        <a:prstGeom prst="rect">
          <a:avLst/>
        </a:prstGeom>
        <a:noFill/>
      </xdr:spPr>
    </xdr:pic>
    <xdr:clientData/>
  </xdr:twoCellAnchor>
  <xdr:twoCellAnchor editAs="oneCell">
    <xdr:from>
      <xdr:col>11</xdr:col>
      <xdr:colOff>149225</xdr:colOff>
      <xdr:row>22</xdr:row>
      <xdr:rowOff>38100</xdr:rowOff>
    </xdr:from>
    <xdr:to>
      <xdr:col>12</xdr:col>
      <xdr:colOff>142875</xdr:colOff>
      <xdr:row>22</xdr:row>
      <xdr:rowOff>203200</xdr:rowOff>
    </xdr:to>
    <xdr:pic>
      <xdr:nvPicPr>
        <xdr:cNvPr id="1029" name="Picture 5"/>
        <xdr:cNvPicPr>
          <a:picLocks noChangeAspect="1" noChangeArrowheads="1"/>
        </xdr:cNvPicPr>
      </xdr:nvPicPr>
      <xdr:blipFill>
        <a:blip r:embed="rId2" cstate="print"/>
        <a:srcRect/>
        <a:stretch>
          <a:fillRect/>
        </a:stretch>
      </xdr:blipFill>
      <xdr:spPr>
        <a:xfrm>
          <a:off x="3082925" y="4648200"/>
          <a:ext cx="260350" cy="1651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36"/>
  <sheetViews>
    <sheetView tabSelected="1" zoomScale="150" zoomScaleNormal="150" topLeftCell="A22" workbookViewId="0">
      <selection activeCell="Q4" sqref="Q4:W7"/>
    </sheetView>
  </sheetViews>
  <sheetFormatPr defaultColWidth="3.625" defaultRowHeight="12"/>
  <cols>
    <col min="1" max="23" width="3.5" style="6" customWidth="1"/>
    <col min="24" max="16384" width="3.625" style="6"/>
  </cols>
  <sheetData>
    <row r="1" ht="17.25" customHeight="1" spans="1:23">
      <c r="A1" s="51" t="s">
        <v>0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34"/>
      <c r="R1" s="34"/>
      <c r="S1" s="34"/>
      <c r="T1" s="34"/>
      <c r="U1" s="34"/>
      <c r="V1" s="34"/>
      <c r="W1" s="34"/>
    </row>
    <row r="2" ht="17.25" customHeight="1" spans="1:23">
      <c r="A2" s="51"/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35"/>
      <c r="R2" s="35"/>
      <c r="S2" s="35"/>
      <c r="T2" s="35"/>
      <c r="U2" s="35"/>
      <c r="V2" s="35"/>
      <c r="W2" s="35"/>
    </row>
    <row r="3" ht="6" customHeight="1"/>
    <row r="4" ht="14.25" customHeight="1" spans="1:26">
      <c r="A4" s="6" t="s">
        <v>1</v>
      </c>
      <c r="N4" s="6" t="s">
        <v>2</v>
      </c>
      <c r="Q4" s="36"/>
      <c r="R4" s="36"/>
      <c r="S4" s="36"/>
      <c r="T4" s="36"/>
      <c r="U4" s="36"/>
      <c r="V4" s="36"/>
      <c r="W4" s="36"/>
      <c r="Z4" s="64" t="s">
        <v>3</v>
      </c>
    </row>
    <row r="5" ht="14.25" customHeight="1" spans="1:23">
      <c r="A5" s="6" t="s">
        <v>4</v>
      </c>
      <c r="D5" s="7" t="s">
        <v>5</v>
      </c>
      <c r="E5" s="7"/>
      <c r="F5" s="7"/>
      <c r="G5" s="7"/>
      <c r="H5" s="7"/>
      <c r="I5" s="7"/>
      <c r="J5" s="7"/>
      <c r="K5" s="7"/>
      <c r="L5" s="7"/>
      <c r="M5" s="7"/>
      <c r="N5" s="6" t="s">
        <v>6</v>
      </c>
      <c r="Q5" s="7"/>
      <c r="R5" s="7"/>
      <c r="S5" s="7"/>
      <c r="T5" s="7"/>
      <c r="U5" s="7"/>
      <c r="V5" s="7"/>
      <c r="W5" s="7"/>
    </row>
    <row r="6" ht="14.25" customHeight="1" spans="1:23">
      <c r="A6" s="6" t="s">
        <v>7</v>
      </c>
      <c r="D6" s="7" t="s">
        <v>8</v>
      </c>
      <c r="E6" s="7"/>
      <c r="F6" s="7"/>
      <c r="G6" s="7"/>
      <c r="H6" s="7"/>
      <c r="I6" s="7"/>
      <c r="J6" s="7"/>
      <c r="K6" s="7"/>
      <c r="L6" s="7"/>
      <c r="M6" s="7"/>
      <c r="N6" s="6" t="s">
        <v>9</v>
      </c>
      <c r="Q6" s="59"/>
      <c r="R6" s="59"/>
      <c r="S6" s="59"/>
      <c r="T6" s="59"/>
      <c r="U6" s="59"/>
      <c r="V6" s="59"/>
      <c r="W6" s="59"/>
    </row>
    <row r="7" ht="14.25" customHeight="1" spans="1:23">
      <c r="A7" s="6" t="s">
        <v>10</v>
      </c>
      <c r="D7" s="7" t="s">
        <v>11</v>
      </c>
      <c r="E7" s="7"/>
      <c r="F7" s="7"/>
      <c r="G7" s="7"/>
      <c r="H7" s="7"/>
      <c r="I7" s="7"/>
      <c r="J7" s="7"/>
      <c r="K7" s="7"/>
      <c r="L7" s="7"/>
      <c r="M7" s="7"/>
      <c r="N7" s="6" t="s">
        <v>12</v>
      </c>
      <c r="Q7" s="59"/>
      <c r="R7" s="59"/>
      <c r="S7" s="59"/>
      <c r="T7" s="59"/>
      <c r="U7" s="59"/>
      <c r="V7" s="59"/>
      <c r="W7" s="59"/>
    </row>
    <row r="8" ht="5.25" customHeight="1"/>
    <row r="9" ht="24" customHeight="1" spans="1:23">
      <c r="A9" s="8" t="s">
        <v>13</v>
      </c>
      <c r="B9" s="9"/>
      <c r="C9" s="9"/>
      <c r="D9" s="9" t="s">
        <v>14</v>
      </c>
      <c r="E9" s="9"/>
      <c r="F9" s="9"/>
      <c r="G9" s="9"/>
      <c r="H9" s="9" t="s">
        <v>15</v>
      </c>
      <c r="I9" s="9"/>
      <c r="J9" s="9"/>
      <c r="K9" s="9" t="s">
        <v>16</v>
      </c>
      <c r="L9" s="9"/>
      <c r="M9" s="9"/>
      <c r="N9" s="9" t="s">
        <v>17</v>
      </c>
      <c r="O9" s="9"/>
      <c r="P9" s="9"/>
      <c r="Q9" s="9" t="s">
        <v>18</v>
      </c>
      <c r="R9" s="9"/>
      <c r="S9" s="9"/>
      <c r="T9" s="9" t="s">
        <v>19</v>
      </c>
      <c r="U9" s="9"/>
      <c r="V9" s="9" t="s">
        <v>20</v>
      </c>
      <c r="W9" s="38"/>
    </row>
    <row r="10" ht="15" customHeight="1" spans="1:23">
      <c r="A10" s="10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39"/>
    </row>
    <row r="11" ht="15" customHeight="1" spans="1:23">
      <c r="A11" s="10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39"/>
    </row>
    <row r="12" ht="15" customHeight="1" spans="1:23">
      <c r="A12" s="10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39"/>
    </row>
    <row r="13" ht="15" customHeight="1" spans="1:23">
      <c r="A13" s="10" t="s">
        <v>21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 t="s">
        <v>22</v>
      </c>
      <c r="O13" s="11"/>
      <c r="P13" s="11"/>
      <c r="Q13" s="11" t="s">
        <v>23</v>
      </c>
      <c r="R13" s="11"/>
      <c r="S13" s="11"/>
      <c r="T13" s="11"/>
      <c r="U13" s="11"/>
      <c r="V13" s="11"/>
      <c r="W13" s="39"/>
    </row>
    <row r="14" ht="17.25" customHeight="1" spans="1:23">
      <c r="A14" s="52" t="s">
        <v>24</v>
      </c>
      <c r="B14" s="53"/>
      <c r="C14" s="53"/>
      <c r="D14" s="53"/>
      <c r="E14" s="53"/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3"/>
      <c r="R14" s="53"/>
      <c r="S14" s="53"/>
      <c r="T14" s="53"/>
      <c r="U14" s="53"/>
      <c r="V14" s="53"/>
      <c r="W14" s="60"/>
    </row>
    <row r="15" ht="19.5" customHeight="1" spans="1:23">
      <c r="A15" s="10" t="s">
        <v>25</v>
      </c>
      <c r="B15" s="11"/>
      <c r="C15" s="11" t="s">
        <v>26</v>
      </c>
      <c r="D15" s="11"/>
      <c r="E15" s="11" t="s">
        <v>27</v>
      </c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 t="s">
        <v>28</v>
      </c>
      <c r="U15" s="11"/>
      <c r="V15" s="11" t="s">
        <v>29</v>
      </c>
      <c r="W15" s="39"/>
    </row>
    <row r="16" ht="19.5" customHeight="1" spans="1:23">
      <c r="A16" s="10"/>
      <c r="B16" s="11"/>
      <c r="C16" s="11"/>
      <c r="D16" s="11"/>
      <c r="E16" s="11" t="s">
        <v>30</v>
      </c>
      <c r="F16" s="11"/>
      <c r="G16" s="11"/>
      <c r="H16" s="11" t="s">
        <v>31</v>
      </c>
      <c r="I16" s="11"/>
      <c r="J16" s="11"/>
      <c r="K16" s="11" t="s">
        <v>32</v>
      </c>
      <c r="L16" s="11"/>
      <c r="M16" s="11"/>
      <c r="N16" s="11" t="s">
        <v>33</v>
      </c>
      <c r="O16" s="11"/>
      <c r="P16" s="11"/>
      <c r="Q16" s="11" t="s">
        <v>34</v>
      </c>
      <c r="R16" s="11"/>
      <c r="S16" s="11"/>
      <c r="T16" s="11"/>
      <c r="U16" s="11"/>
      <c r="V16" s="11"/>
      <c r="W16" s="39"/>
    </row>
    <row r="17" ht="18" customHeight="1" spans="1:23">
      <c r="A17" s="10" t="s">
        <v>35</v>
      </c>
      <c r="B17" s="11"/>
      <c r="C17" s="11">
        <v>240</v>
      </c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39"/>
    </row>
    <row r="18" ht="17.25" customHeight="1" spans="1:23">
      <c r="A18" s="10" t="s">
        <v>36</v>
      </c>
      <c r="B18" s="11"/>
      <c r="C18" s="11">
        <v>115</v>
      </c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39"/>
    </row>
    <row r="19" ht="15.75" customHeight="1" spans="1:23">
      <c r="A19" s="10" t="s">
        <v>37</v>
      </c>
      <c r="B19" s="11"/>
      <c r="C19" s="11">
        <v>53</v>
      </c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39"/>
    </row>
    <row r="20" ht="18" customHeight="1" spans="1:23">
      <c r="A20" s="52" t="s">
        <v>38</v>
      </c>
      <c r="B20" s="53"/>
      <c r="C20" s="53"/>
      <c r="D20" s="53"/>
      <c r="E20" s="53"/>
      <c r="F20" s="53"/>
      <c r="G20" s="53"/>
      <c r="H20" s="53"/>
      <c r="I20" s="53"/>
      <c r="J20" s="53"/>
      <c r="K20" s="53"/>
      <c r="L20" s="53"/>
      <c r="M20" s="53"/>
      <c r="N20" s="53"/>
      <c r="O20" s="53"/>
      <c r="P20" s="53"/>
      <c r="Q20" s="53"/>
      <c r="R20" s="53"/>
      <c r="S20" s="53"/>
      <c r="T20" s="53"/>
      <c r="U20" s="53"/>
      <c r="V20" s="53"/>
      <c r="W20" s="60"/>
    </row>
    <row r="21" ht="30.75" customHeight="1" spans="1:23">
      <c r="A21" s="10" t="s">
        <v>39</v>
      </c>
      <c r="B21" s="11" t="s">
        <v>40</v>
      </c>
      <c r="C21" s="11"/>
      <c r="D21" s="11"/>
      <c r="E21" s="11"/>
      <c r="F21" s="11" t="s">
        <v>41</v>
      </c>
      <c r="G21" s="11"/>
      <c r="H21" s="11" t="s">
        <v>42</v>
      </c>
      <c r="I21" s="11"/>
      <c r="J21" s="11" t="s">
        <v>43</v>
      </c>
      <c r="K21" s="11"/>
      <c r="L21" s="11"/>
      <c r="M21" s="11"/>
      <c r="N21" s="11"/>
      <c r="O21" s="11"/>
      <c r="P21" s="11" t="s">
        <v>44</v>
      </c>
      <c r="Q21" s="11"/>
      <c r="R21" s="11"/>
      <c r="S21" s="11"/>
      <c r="T21" s="11" t="s">
        <v>45</v>
      </c>
      <c r="U21" s="11"/>
      <c r="V21" s="11" t="s">
        <v>46</v>
      </c>
      <c r="W21" s="39"/>
    </row>
    <row r="22" ht="20.25" customHeight="1" spans="1:23">
      <c r="A22" s="10"/>
      <c r="B22" s="11" t="s">
        <v>47</v>
      </c>
      <c r="C22" s="11"/>
      <c r="D22" s="11" t="s">
        <v>48</v>
      </c>
      <c r="E22" s="11"/>
      <c r="F22" s="11"/>
      <c r="G22" s="11"/>
      <c r="H22" s="11"/>
      <c r="I22" s="11"/>
      <c r="J22" s="11" t="s">
        <v>49</v>
      </c>
      <c r="K22" s="11"/>
      <c r="L22" s="11" t="s">
        <v>50</v>
      </c>
      <c r="M22" s="11"/>
      <c r="N22" s="11" t="s">
        <v>51</v>
      </c>
      <c r="O22" s="11"/>
      <c r="P22" s="11"/>
      <c r="Q22" s="11"/>
      <c r="R22" s="11"/>
      <c r="S22" s="11"/>
      <c r="T22" s="11"/>
      <c r="U22" s="11"/>
      <c r="V22" s="11"/>
      <c r="W22" s="39"/>
    </row>
    <row r="23" ht="19.5" customHeight="1" spans="1:23">
      <c r="A23" s="10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39"/>
    </row>
    <row r="24" ht="35.25" customHeight="1" spans="1:23">
      <c r="A24" s="10"/>
      <c r="B24" s="11" t="s">
        <v>52</v>
      </c>
      <c r="C24" s="11"/>
      <c r="D24" s="11" t="s">
        <v>53</v>
      </c>
      <c r="E24" s="11"/>
      <c r="F24" s="11" t="s">
        <v>54</v>
      </c>
      <c r="G24" s="11"/>
      <c r="H24" s="11" t="s">
        <v>55</v>
      </c>
      <c r="I24" s="11"/>
      <c r="J24" s="11" t="s">
        <v>56</v>
      </c>
      <c r="K24" s="11"/>
      <c r="L24" s="11" t="s">
        <v>57</v>
      </c>
      <c r="M24" s="11"/>
      <c r="N24" s="11" t="s">
        <v>58</v>
      </c>
      <c r="O24" s="11"/>
      <c r="P24" s="11" t="s">
        <v>59</v>
      </c>
      <c r="Q24" s="11"/>
      <c r="R24" s="11"/>
      <c r="S24" s="11"/>
      <c r="T24" s="11" t="s">
        <v>60</v>
      </c>
      <c r="U24" s="11"/>
      <c r="V24" s="11" t="s">
        <v>61</v>
      </c>
      <c r="W24" s="39"/>
    </row>
    <row r="25" ht="15" customHeight="1" spans="1:23">
      <c r="A25" s="10">
        <v>1</v>
      </c>
      <c r="B25" s="11">
        <v>119</v>
      </c>
      <c r="C25" s="11"/>
      <c r="D25" s="11">
        <v>114</v>
      </c>
      <c r="E25" s="11"/>
      <c r="F25" s="11">
        <f>B25*D25</f>
        <v>13566</v>
      </c>
      <c r="G25" s="11"/>
      <c r="H25" s="11">
        <v>132100</v>
      </c>
      <c r="I25" s="11"/>
      <c r="J25" s="41">
        <f>ROUND(H25/F25,2)</f>
        <v>9.74</v>
      </c>
      <c r="K25" s="41"/>
      <c r="L25" s="11">
        <f>ROUND(AVERAGEA(J25:K34),2)</f>
        <v>10.13</v>
      </c>
      <c r="M25" s="11"/>
      <c r="N25" s="58">
        <f>ROUND(MIN(J25:K34),1)</f>
        <v>9.3</v>
      </c>
      <c r="O25" s="58"/>
      <c r="P25" s="11">
        <f>ROUND(STDEV(J25:K34),2)</f>
        <v>0.59</v>
      </c>
      <c r="Q25" s="11"/>
      <c r="R25" s="11"/>
      <c r="S25" s="11"/>
      <c r="T25" s="41">
        <f>ROUND(P25/L25,2)</f>
        <v>0.06</v>
      </c>
      <c r="U25" s="41"/>
      <c r="V25" s="28">
        <f>ROUND(L25-1.8*P25,1)</f>
        <v>9.1</v>
      </c>
      <c r="W25" s="61"/>
    </row>
    <row r="26" ht="15" customHeight="1" spans="1:23">
      <c r="A26" s="10">
        <v>2</v>
      </c>
      <c r="B26" s="11">
        <v>119</v>
      </c>
      <c r="C26" s="11"/>
      <c r="D26" s="11">
        <v>115</v>
      </c>
      <c r="E26" s="11"/>
      <c r="F26" s="11">
        <f t="shared" ref="F26:F34" si="0">B26*D26</f>
        <v>13685</v>
      </c>
      <c r="G26" s="11"/>
      <c r="H26" s="11">
        <v>152300</v>
      </c>
      <c r="I26" s="11"/>
      <c r="J26" s="41">
        <f t="shared" ref="J26:J34" si="1">ROUND(H26/F26,2)</f>
        <v>11.13</v>
      </c>
      <c r="K26" s="41"/>
      <c r="L26" s="11"/>
      <c r="M26" s="11"/>
      <c r="N26" s="58"/>
      <c r="O26" s="58"/>
      <c r="P26" s="11"/>
      <c r="Q26" s="11"/>
      <c r="R26" s="11"/>
      <c r="S26" s="11"/>
      <c r="T26" s="41"/>
      <c r="U26" s="41"/>
      <c r="V26" s="28"/>
      <c r="W26" s="61"/>
    </row>
    <row r="27" ht="15" customHeight="1" spans="1:23">
      <c r="A27" s="10">
        <v>3</v>
      </c>
      <c r="B27" s="11">
        <v>118</v>
      </c>
      <c r="C27" s="11"/>
      <c r="D27" s="11">
        <v>115</v>
      </c>
      <c r="E27" s="11"/>
      <c r="F27" s="11">
        <f t="shared" si="0"/>
        <v>13570</v>
      </c>
      <c r="G27" s="11"/>
      <c r="H27" s="11">
        <v>142600</v>
      </c>
      <c r="I27" s="11"/>
      <c r="J27" s="41">
        <f t="shared" si="1"/>
        <v>10.51</v>
      </c>
      <c r="K27" s="41"/>
      <c r="L27" s="11"/>
      <c r="M27" s="11"/>
      <c r="N27" s="58"/>
      <c r="O27" s="58"/>
      <c r="P27" s="11"/>
      <c r="Q27" s="11"/>
      <c r="R27" s="11"/>
      <c r="S27" s="11"/>
      <c r="T27" s="41"/>
      <c r="U27" s="41"/>
      <c r="V27" s="28"/>
      <c r="W27" s="61"/>
    </row>
    <row r="28" ht="15" customHeight="1" spans="1:23">
      <c r="A28" s="10">
        <v>4</v>
      </c>
      <c r="B28" s="11">
        <v>119</v>
      </c>
      <c r="C28" s="11"/>
      <c r="D28" s="11">
        <v>115</v>
      </c>
      <c r="E28" s="11"/>
      <c r="F28" s="11">
        <f t="shared" si="0"/>
        <v>13685</v>
      </c>
      <c r="G28" s="11"/>
      <c r="H28" s="11">
        <v>132600</v>
      </c>
      <c r="I28" s="11"/>
      <c r="J28" s="41">
        <f t="shared" si="1"/>
        <v>9.69</v>
      </c>
      <c r="K28" s="41"/>
      <c r="L28" s="11"/>
      <c r="M28" s="11"/>
      <c r="N28" s="58"/>
      <c r="O28" s="58"/>
      <c r="P28" s="11"/>
      <c r="Q28" s="11"/>
      <c r="R28" s="11"/>
      <c r="S28" s="11"/>
      <c r="T28" s="41"/>
      <c r="U28" s="41"/>
      <c r="V28" s="28"/>
      <c r="W28" s="61"/>
    </row>
    <row r="29" ht="15" customHeight="1" spans="1:23">
      <c r="A29" s="10">
        <v>5</v>
      </c>
      <c r="B29" s="11">
        <v>120</v>
      </c>
      <c r="C29" s="11"/>
      <c r="D29" s="11">
        <v>114</v>
      </c>
      <c r="E29" s="11"/>
      <c r="F29" s="11">
        <f t="shared" si="0"/>
        <v>13680</v>
      </c>
      <c r="G29" s="11"/>
      <c r="H29" s="11">
        <v>135800</v>
      </c>
      <c r="I29" s="11"/>
      <c r="J29" s="41">
        <f t="shared" si="1"/>
        <v>9.93</v>
      </c>
      <c r="K29" s="41"/>
      <c r="L29" s="11"/>
      <c r="M29" s="11"/>
      <c r="N29" s="58"/>
      <c r="O29" s="58"/>
      <c r="P29" s="11"/>
      <c r="Q29" s="11"/>
      <c r="R29" s="11"/>
      <c r="S29" s="11"/>
      <c r="T29" s="41"/>
      <c r="U29" s="41"/>
      <c r="V29" s="28"/>
      <c r="W29" s="61"/>
    </row>
    <row r="30" ht="15" customHeight="1" spans="1:23">
      <c r="A30" s="10">
        <v>6</v>
      </c>
      <c r="B30" s="11">
        <v>119</v>
      </c>
      <c r="C30" s="11"/>
      <c r="D30" s="11">
        <v>115</v>
      </c>
      <c r="E30" s="11"/>
      <c r="F30" s="11">
        <f t="shared" si="0"/>
        <v>13685</v>
      </c>
      <c r="G30" s="11"/>
      <c r="H30" s="11">
        <v>138900</v>
      </c>
      <c r="I30" s="11"/>
      <c r="J30" s="41">
        <f t="shared" si="1"/>
        <v>10.15</v>
      </c>
      <c r="K30" s="41"/>
      <c r="L30" s="11"/>
      <c r="M30" s="11"/>
      <c r="N30" s="58"/>
      <c r="O30" s="58"/>
      <c r="P30" s="11"/>
      <c r="Q30" s="11"/>
      <c r="R30" s="11"/>
      <c r="S30" s="11"/>
      <c r="T30" s="41"/>
      <c r="U30" s="41"/>
      <c r="V30" s="28"/>
      <c r="W30" s="61"/>
    </row>
    <row r="31" ht="15" customHeight="1" spans="1:23">
      <c r="A31" s="10">
        <v>7</v>
      </c>
      <c r="B31" s="11">
        <v>119</v>
      </c>
      <c r="C31" s="11"/>
      <c r="D31" s="11">
        <v>115</v>
      </c>
      <c r="E31" s="11"/>
      <c r="F31" s="11">
        <f t="shared" si="0"/>
        <v>13685</v>
      </c>
      <c r="G31" s="11"/>
      <c r="H31" s="11">
        <v>131400</v>
      </c>
      <c r="I31" s="11"/>
      <c r="J31" s="41">
        <f t="shared" si="1"/>
        <v>9.6</v>
      </c>
      <c r="K31" s="41"/>
      <c r="L31" s="11"/>
      <c r="M31" s="11"/>
      <c r="N31" s="58"/>
      <c r="O31" s="58"/>
      <c r="P31" s="11"/>
      <c r="Q31" s="11"/>
      <c r="R31" s="11"/>
      <c r="S31" s="11"/>
      <c r="T31" s="41"/>
      <c r="U31" s="41"/>
      <c r="V31" s="28"/>
      <c r="W31" s="61"/>
    </row>
    <row r="32" ht="15" customHeight="1" spans="1:23">
      <c r="A32" s="10">
        <v>8</v>
      </c>
      <c r="B32" s="11">
        <v>119</v>
      </c>
      <c r="C32" s="11"/>
      <c r="D32" s="11">
        <v>114</v>
      </c>
      <c r="E32" s="11"/>
      <c r="F32" s="11">
        <f t="shared" si="0"/>
        <v>13566</v>
      </c>
      <c r="G32" s="11"/>
      <c r="H32" s="11">
        <v>147800</v>
      </c>
      <c r="I32" s="11"/>
      <c r="J32" s="41">
        <f t="shared" si="1"/>
        <v>10.89</v>
      </c>
      <c r="K32" s="41"/>
      <c r="L32" s="11"/>
      <c r="M32" s="11"/>
      <c r="N32" s="58"/>
      <c r="O32" s="58"/>
      <c r="P32" s="11"/>
      <c r="Q32" s="11"/>
      <c r="R32" s="11"/>
      <c r="S32" s="11"/>
      <c r="T32" s="41"/>
      <c r="U32" s="41"/>
      <c r="V32" s="28"/>
      <c r="W32" s="61"/>
    </row>
    <row r="33" ht="15" customHeight="1" spans="1:23">
      <c r="A33" s="10">
        <v>9</v>
      </c>
      <c r="B33" s="11">
        <v>120</v>
      </c>
      <c r="C33" s="11"/>
      <c r="D33" s="11">
        <v>114</v>
      </c>
      <c r="E33" s="11"/>
      <c r="F33" s="11">
        <f t="shared" si="0"/>
        <v>13680</v>
      </c>
      <c r="G33" s="11"/>
      <c r="H33" s="11">
        <v>141900</v>
      </c>
      <c r="I33" s="11"/>
      <c r="J33" s="41">
        <f t="shared" si="1"/>
        <v>10.37</v>
      </c>
      <c r="K33" s="41"/>
      <c r="L33" s="11"/>
      <c r="M33" s="11"/>
      <c r="N33" s="58"/>
      <c r="O33" s="58"/>
      <c r="P33" s="11"/>
      <c r="Q33" s="11"/>
      <c r="R33" s="11"/>
      <c r="S33" s="11"/>
      <c r="T33" s="41"/>
      <c r="U33" s="41"/>
      <c r="V33" s="28"/>
      <c r="W33" s="61"/>
    </row>
    <row r="34" ht="15" customHeight="1" spans="1:23">
      <c r="A34" s="10">
        <v>10</v>
      </c>
      <c r="B34" s="11">
        <v>119</v>
      </c>
      <c r="C34" s="11"/>
      <c r="D34" s="11">
        <v>116</v>
      </c>
      <c r="E34" s="11"/>
      <c r="F34" s="11">
        <f t="shared" si="0"/>
        <v>13804</v>
      </c>
      <c r="G34" s="11"/>
      <c r="H34" s="11">
        <v>128700</v>
      </c>
      <c r="I34" s="11"/>
      <c r="J34" s="41">
        <f t="shared" si="1"/>
        <v>9.32</v>
      </c>
      <c r="K34" s="41"/>
      <c r="L34" s="11"/>
      <c r="M34" s="11"/>
      <c r="N34" s="58"/>
      <c r="O34" s="58"/>
      <c r="P34" s="11"/>
      <c r="Q34" s="11"/>
      <c r="R34" s="11"/>
      <c r="S34" s="11"/>
      <c r="T34" s="41"/>
      <c r="U34" s="41"/>
      <c r="V34" s="28"/>
      <c r="W34" s="61"/>
    </row>
    <row r="35" ht="80.25" customHeight="1" spans="1:23">
      <c r="A35" s="54" t="s">
        <v>62</v>
      </c>
      <c r="B35" s="55"/>
      <c r="C35" s="55"/>
      <c r="D35" s="55"/>
      <c r="E35" s="55"/>
      <c r="F35" s="55"/>
      <c r="G35" s="55"/>
      <c r="H35" s="55"/>
      <c r="I35" s="55"/>
      <c r="J35" s="55"/>
      <c r="K35" s="55"/>
      <c r="L35" s="55"/>
      <c r="M35" s="55"/>
      <c r="N35" s="55"/>
      <c r="O35" s="55"/>
      <c r="P35" s="55"/>
      <c r="Q35" s="55"/>
      <c r="R35" s="55"/>
      <c r="S35" s="55"/>
      <c r="T35" s="55"/>
      <c r="U35" s="55"/>
      <c r="V35" s="55"/>
      <c r="W35" s="62"/>
    </row>
    <row r="36" ht="24" customHeight="1" spans="1:23">
      <c r="A36" s="26" t="s">
        <v>63</v>
      </c>
      <c r="B36" s="26"/>
      <c r="C36" s="26"/>
      <c r="D36" s="56"/>
      <c r="E36" s="56"/>
      <c r="F36" s="56"/>
      <c r="G36" s="57"/>
      <c r="H36" s="26"/>
      <c r="I36" s="26" t="s">
        <v>64</v>
      </c>
      <c r="J36" s="26"/>
      <c r="K36" s="26"/>
      <c r="L36" s="56"/>
      <c r="M36" s="56"/>
      <c r="N36" s="56"/>
      <c r="O36" s="57"/>
      <c r="P36" s="57"/>
      <c r="Q36" s="26" t="s">
        <v>65</v>
      </c>
      <c r="R36" s="26"/>
      <c r="S36" s="26"/>
      <c r="T36" s="63"/>
      <c r="U36" s="63"/>
      <c r="V36" s="63"/>
      <c r="W36" s="63"/>
    </row>
  </sheetData>
  <mergeCells count="176">
    <mergeCell ref="Q1:W1"/>
    <mergeCell ref="Q2:W2"/>
    <mergeCell ref="A4:C4"/>
    <mergeCell ref="D4:M4"/>
    <mergeCell ref="N4:P4"/>
    <mergeCell ref="Q4:W4"/>
    <mergeCell ref="A5:C5"/>
    <mergeCell ref="D5:M5"/>
    <mergeCell ref="N5:P5"/>
    <mergeCell ref="Q5:W5"/>
    <mergeCell ref="A6:C6"/>
    <mergeCell ref="D6:M6"/>
    <mergeCell ref="N6:P6"/>
    <mergeCell ref="Q6:W6"/>
    <mergeCell ref="A7:C7"/>
    <mergeCell ref="D7:M7"/>
    <mergeCell ref="N7:P7"/>
    <mergeCell ref="Q7:W7"/>
    <mergeCell ref="D9:G9"/>
    <mergeCell ref="H9:J9"/>
    <mergeCell ref="K9:M9"/>
    <mergeCell ref="N9:P9"/>
    <mergeCell ref="Q9:S9"/>
    <mergeCell ref="T9:U9"/>
    <mergeCell ref="V9:W9"/>
    <mergeCell ref="D10:G10"/>
    <mergeCell ref="H10:J10"/>
    <mergeCell ref="K10:M10"/>
    <mergeCell ref="N10:P10"/>
    <mergeCell ref="Q10:S10"/>
    <mergeCell ref="T10:U10"/>
    <mergeCell ref="V10:W10"/>
    <mergeCell ref="D11:G11"/>
    <mergeCell ref="H11:J11"/>
    <mergeCell ref="K11:M11"/>
    <mergeCell ref="N11:P11"/>
    <mergeCell ref="Q11:S11"/>
    <mergeCell ref="T11:U11"/>
    <mergeCell ref="V11:W11"/>
    <mergeCell ref="D12:G12"/>
    <mergeCell ref="H12:J12"/>
    <mergeCell ref="K12:M12"/>
    <mergeCell ref="N12:P12"/>
    <mergeCell ref="Q12:S12"/>
    <mergeCell ref="T12:U12"/>
    <mergeCell ref="V12:W12"/>
    <mergeCell ref="A13:C13"/>
    <mergeCell ref="D13:M13"/>
    <mergeCell ref="N13:P13"/>
    <mergeCell ref="Q13:W13"/>
    <mergeCell ref="A14:W14"/>
    <mergeCell ref="E15:S15"/>
    <mergeCell ref="E16:G16"/>
    <mergeCell ref="H16:J16"/>
    <mergeCell ref="K16:M16"/>
    <mergeCell ref="N16:P16"/>
    <mergeCell ref="Q16:S16"/>
    <mergeCell ref="A17:B17"/>
    <mergeCell ref="C17:D17"/>
    <mergeCell ref="E17:G17"/>
    <mergeCell ref="H17:J17"/>
    <mergeCell ref="K17:M17"/>
    <mergeCell ref="N17:P17"/>
    <mergeCell ref="Q17:S17"/>
    <mergeCell ref="T17:U17"/>
    <mergeCell ref="V17:W17"/>
    <mergeCell ref="A18:B18"/>
    <mergeCell ref="C18:D18"/>
    <mergeCell ref="E18:G18"/>
    <mergeCell ref="H18:J18"/>
    <mergeCell ref="K18:M18"/>
    <mergeCell ref="N18:P18"/>
    <mergeCell ref="Q18:S18"/>
    <mergeCell ref="T18:U18"/>
    <mergeCell ref="V18:W18"/>
    <mergeCell ref="A19:B19"/>
    <mergeCell ref="C19:D19"/>
    <mergeCell ref="E19:G19"/>
    <mergeCell ref="H19:J19"/>
    <mergeCell ref="K19:M19"/>
    <mergeCell ref="N19:P19"/>
    <mergeCell ref="Q19:S19"/>
    <mergeCell ref="T19:U19"/>
    <mergeCell ref="V19:W19"/>
    <mergeCell ref="A20:W20"/>
    <mergeCell ref="B21:E21"/>
    <mergeCell ref="J21:O21"/>
    <mergeCell ref="B24:C24"/>
    <mergeCell ref="D24:E24"/>
    <mergeCell ref="F24:G24"/>
    <mergeCell ref="H24:I24"/>
    <mergeCell ref="J24:K24"/>
    <mergeCell ref="L24:M24"/>
    <mergeCell ref="N24:O24"/>
    <mergeCell ref="P24:S24"/>
    <mergeCell ref="T24:U24"/>
    <mergeCell ref="V24:W24"/>
    <mergeCell ref="B25:C25"/>
    <mergeCell ref="D25:E25"/>
    <mergeCell ref="F25:G25"/>
    <mergeCell ref="H25:I25"/>
    <mergeCell ref="J25:K25"/>
    <mergeCell ref="B26:C26"/>
    <mergeCell ref="D26:E26"/>
    <mergeCell ref="F26:G26"/>
    <mergeCell ref="H26:I26"/>
    <mergeCell ref="J26:K26"/>
    <mergeCell ref="B27:C27"/>
    <mergeCell ref="D27:E27"/>
    <mergeCell ref="F27:G27"/>
    <mergeCell ref="H27:I27"/>
    <mergeCell ref="J27:K27"/>
    <mergeCell ref="B28:C28"/>
    <mergeCell ref="D28:E28"/>
    <mergeCell ref="F28:G28"/>
    <mergeCell ref="H28:I28"/>
    <mergeCell ref="J28:K28"/>
    <mergeCell ref="B29:C29"/>
    <mergeCell ref="D29:E29"/>
    <mergeCell ref="F29:G29"/>
    <mergeCell ref="H29:I29"/>
    <mergeCell ref="J29:K29"/>
    <mergeCell ref="B30:C30"/>
    <mergeCell ref="D30:E30"/>
    <mergeCell ref="F30:G30"/>
    <mergeCell ref="H30:I30"/>
    <mergeCell ref="J30:K30"/>
    <mergeCell ref="B31:C31"/>
    <mergeCell ref="D31:E31"/>
    <mergeCell ref="F31:G31"/>
    <mergeCell ref="H31:I31"/>
    <mergeCell ref="J31:K31"/>
    <mergeCell ref="B32:C32"/>
    <mergeCell ref="D32:E32"/>
    <mergeCell ref="F32:G32"/>
    <mergeCell ref="H32:I32"/>
    <mergeCell ref="J32:K32"/>
    <mergeCell ref="B33:C33"/>
    <mergeCell ref="D33:E33"/>
    <mergeCell ref="F33:G33"/>
    <mergeCell ref="H33:I33"/>
    <mergeCell ref="J33:K33"/>
    <mergeCell ref="B34:C34"/>
    <mergeCell ref="D34:E34"/>
    <mergeCell ref="F34:G34"/>
    <mergeCell ref="H34:I34"/>
    <mergeCell ref="J34:K34"/>
    <mergeCell ref="A35:W35"/>
    <mergeCell ref="A36:C36"/>
    <mergeCell ref="D36:F36"/>
    <mergeCell ref="I36:K36"/>
    <mergeCell ref="L36:N36"/>
    <mergeCell ref="Q36:S36"/>
    <mergeCell ref="T36:W36"/>
    <mergeCell ref="A21:A24"/>
    <mergeCell ref="A1:P2"/>
    <mergeCell ref="A9:C12"/>
    <mergeCell ref="T15:U16"/>
    <mergeCell ref="V15:W16"/>
    <mergeCell ref="A15:B16"/>
    <mergeCell ref="C15:D16"/>
    <mergeCell ref="L25:M34"/>
    <mergeCell ref="N25:O34"/>
    <mergeCell ref="T25:U34"/>
    <mergeCell ref="V25:W34"/>
    <mergeCell ref="P25:S34"/>
    <mergeCell ref="F21:G23"/>
    <mergeCell ref="H21:I23"/>
    <mergeCell ref="T21:U23"/>
    <mergeCell ref="V21:W23"/>
    <mergeCell ref="P21:S23"/>
    <mergeCell ref="B22:C23"/>
    <mergeCell ref="D22:E23"/>
    <mergeCell ref="J22:K23"/>
    <mergeCell ref="L22:M23"/>
    <mergeCell ref="N22:O23"/>
  </mergeCells>
  <pageMargins left="0.78" right="0.75" top="1" bottom="1" header="0.5" footer="0.5"/>
  <pageSetup paperSize="9" orientation="portrait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74"/>
  <sheetViews>
    <sheetView zoomScale="160" zoomScaleNormal="160" topLeftCell="A43" workbookViewId="0">
      <selection activeCell="Q2" sqref="Q2:X2"/>
    </sheetView>
  </sheetViews>
  <sheetFormatPr defaultColWidth="4.125" defaultRowHeight="12"/>
  <cols>
    <col min="1" max="24" width="3.375" style="2" customWidth="1"/>
    <col min="25" max="27" width="4.125" style="2"/>
    <col min="28" max="28" width="4.5" style="2" customWidth="1"/>
    <col min="29" max="16384" width="4.125" style="2"/>
  </cols>
  <sheetData>
    <row r="1" ht="15" customHeight="1" spans="1:24">
      <c r="A1" s="3" t="s">
        <v>66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4"/>
      <c r="R1" s="34"/>
      <c r="S1" s="34"/>
      <c r="T1" s="34"/>
      <c r="U1" s="34"/>
      <c r="V1" s="34"/>
      <c r="W1" s="34"/>
      <c r="X1" s="34"/>
    </row>
    <row r="2" ht="15" customHeight="1" spans="1:24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5"/>
      <c r="R2" s="35"/>
      <c r="S2" s="35"/>
      <c r="T2" s="35"/>
      <c r="U2" s="35"/>
      <c r="V2" s="35"/>
      <c r="W2" s="35"/>
      <c r="X2" s="35"/>
    </row>
    <row r="3" ht="5.25" customHeight="1" spans="1:24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</row>
    <row r="4" ht="15" customHeight="1" spans="1:24">
      <c r="A4" s="5" t="s">
        <v>1</v>
      </c>
      <c r="B4" s="5"/>
      <c r="C4" s="5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5" t="s">
        <v>2</v>
      </c>
      <c r="P4" s="5"/>
      <c r="Q4" s="5"/>
      <c r="R4" s="36"/>
      <c r="S4" s="36"/>
      <c r="T4" s="36"/>
      <c r="U4" s="36"/>
      <c r="V4" s="36"/>
      <c r="W4" s="36"/>
      <c r="X4" s="36"/>
    </row>
    <row r="5" ht="15" customHeight="1" spans="1:24">
      <c r="A5" s="5" t="s">
        <v>4</v>
      </c>
      <c r="B5" s="5"/>
      <c r="C5" s="5"/>
      <c r="D5" s="7" t="str">
        <f>'烧结普通砖试验记录（一）'!D5</f>
        <v>页岩砖 240×115×53（mm）</v>
      </c>
      <c r="E5" s="7"/>
      <c r="F5" s="7"/>
      <c r="G5" s="7"/>
      <c r="H5" s="7"/>
      <c r="I5" s="7"/>
      <c r="J5" s="7"/>
      <c r="K5" s="7"/>
      <c r="L5" s="7"/>
      <c r="M5" s="7"/>
      <c r="N5" s="7"/>
      <c r="O5" s="5" t="s">
        <v>6</v>
      </c>
      <c r="P5" s="5"/>
      <c r="Q5" s="5"/>
      <c r="R5" s="36"/>
      <c r="S5" s="36"/>
      <c r="T5" s="36"/>
      <c r="U5" s="36"/>
      <c r="V5" s="36"/>
      <c r="W5" s="36"/>
      <c r="X5" s="36"/>
    </row>
    <row r="6" ht="15" customHeight="1" spans="1:24">
      <c r="A6" s="5" t="s">
        <v>7</v>
      </c>
      <c r="B6" s="5"/>
      <c r="C6" s="5"/>
      <c r="D6" s="7" t="str">
        <f>'烧结普通砖试验记录（一）'!D6</f>
        <v>——</v>
      </c>
      <c r="E6" s="7"/>
      <c r="F6" s="7"/>
      <c r="G6" s="7"/>
      <c r="H6" s="7"/>
      <c r="I6" s="7"/>
      <c r="J6" s="7"/>
      <c r="K6" s="7"/>
      <c r="L6" s="7"/>
      <c r="M6" s="7"/>
      <c r="N6" s="7"/>
      <c r="O6" s="5" t="s">
        <v>9</v>
      </c>
      <c r="P6" s="5"/>
      <c r="Q6" s="5"/>
      <c r="R6" s="37"/>
      <c r="S6" s="37"/>
      <c r="T6" s="37"/>
      <c r="U6" s="37"/>
      <c r="V6" s="37"/>
      <c r="W6" s="37"/>
      <c r="X6" s="37"/>
    </row>
    <row r="7" ht="15" customHeight="1" spans="1:24">
      <c r="A7" s="5" t="s">
        <v>10</v>
      </c>
      <c r="B7" s="5"/>
      <c r="C7" s="5"/>
      <c r="D7" s="7" t="str">
        <f>'烧结普通砖试验记录（一）'!D7</f>
        <v>15万块</v>
      </c>
      <c r="E7" s="7"/>
      <c r="F7" s="7"/>
      <c r="G7" s="7"/>
      <c r="H7" s="7"/>
      <c r="I7" s="7"/>
      <c r="J7" s="7"/>
      <c r="K7" s="7"/>
      <c r="L7" s="7"/>
      <c r="M7" s="7"/>
      <c r="N7" s="7"/>
      <c r="O7" s="5" t="s">
        <v>12</v>
      </c>
      <c r="P7" s="5"/>
      <c r="Q7" s="5"/>
      <c r="R7" s="37"/>
      <c r="S7" s="37"/>
      <c r="T7" s="37"/>
      <c r="U7" s="37"/>
      <c r="V7" s="37"/>
      <c r="W7" s="37"/>
      <c r="X7" s="37"/>
    </row>
    <row r="8" ht="6" customHeight="1" spans="1:24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</row>
    <row r="9" ht="24.75" customHeight="1" spans="1:24">
      <c r="A9" s="8" t="s">
        <v>67</v>
      </c>
      <c r="B9" s="9"/>
      <c r="C9" s="9"/>
      <c r="D9" s="9"/>
      <c r="E9" s="9" t="s">
        <v>14</v>
      </c>
      <c r="F9" s="9"/>
      <c r="G9" s="9"/>
      <c r="H9" s="9"/>
      <c r="I9" s="9" t="s">
        <v>15</v>
      </c>
      <c r="J9" s="9"/>
      <c r="K9" s="9"/>
      <c r="L9" s="9" t="s">
        <v>16</v>
      </c>
      <c r="M9" s="9"/>
      <c r="N9" s="9"/>
      <c r="O9" s="9" t="s">
        <v>17</v>
      </c>
      <c r="P9" s="9"/>
      <c r="Q9" s="9"/>
      <c r="R9" s="9" t="s">
        <v>18</v>
      </c>
      <c r="S9" s="9"/>
      <c r="T9" s="9"/>
      <c r="U9" s="9" t="s">
        <v>19</v>
      </c>
      <c r="V9" s="9"/>
      <c r="W9" s="9" t="s">
        <v>20</v>
      </c>
      <c r="X9" s="38"/>
    </row>
    <row r="10" ht="15" customHeight="1" spans="1:24">
      <c r="A10" s="10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>
        <v>22</v>
      </c>
      <c r="V10" s="11"/>
      <c r="W10" s="11">
        <v>55</v>
      </c>
      <c r="X10" s="39"/>
    </row>
    <row r="11" ht="15" customHeight="1" spans="1:24">
      <c r="A11" s="10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39"/>
    </row>
    <row r="12" ht="15" customHeight="1" spans="1:24">
      <c r="A12" s="10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39"/>
    </row>
    <row r="13" ht="15" customHeight="1" spans="1:24">
      <c r="A13" s="10" t="s">
        <v>21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 t="s">
        <v>22</v>
      </c>
      <c r="P13" s="11"/>
      <c r="Q13" s="11"/>
      <c r="R13" s="11" t="str">
        <f>'烧结普通砖试验记录（一）'!Q13</f>
        <v>GB 5101-2003 GB/T2542-2012</v>
      </c>
      <c r="S13" s="11"/>
      <c r="T13" s="11"/>
      <c r="U13" s="11"/>
      <c r="V13" s="11"/>
      <c r="W13" s="11"/>
      <c r="X13" s="39"/>
    </row>
    <row r="14" ht="15" customHeight="1" spans="1:24">
      <c r="A14" s="10" t="s">
        <v>68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39"/>
    </row>
    <row r="15" ht="15" customHeight="1" spans="1:24">
      <c r="A15" s="10" t="s">
        <v>69</v>
      </c>
      <c r="B15" s="11"/>
      <c r="C15" s="11"/>
      <c r="D15" s="11" t="s">
        <v>70</v>
      </c>
      <c r="E15" s="11"/>
      <c r="F15" s="11"/>
      <c r="G15" s="11" t="s">
        <v>71</v>
      </c>
      <c r="H15" s="11"/>
      <c r="I15" s="11"/>
      <c r="J15" s="11"/>
      <c r="K15" s="11"/>
      <c r="L15" s="11"/>
      <c r="M15" s="11" t="s">
        <v>72</v>
      </c>
      <c r="N15" s="11"/>
      <c r="O15" s="11"/>
      <c r="P15" s="11"/>
      <c r="Q15" s="11"/>
      <c r="R15" s="11"/>
      <c r="S15" s="11" t="s">
        <v>73</v>
      </c>
      <c r="T15" s="11"/>
      <c r="U15" s="11"/>
      <c r="V15" s="11"/>
      <c r="W15" s="11"/>
      <c r="X15" s="39"/>
    </row>
    <row r="16" ht="15" customHeight="1" spans="1:24">
      <c r="A16" s="10"/>
      <c r="B16" s="11"/>
      <c r="C16" s="11"/>
      <c r="D16" s="11"/>
      <c r="E16" s="11"/>
      <c r="F16" s="11"/>
      <c r="G16" s="11" t="s">
        <v>74</v>
      </c>
      <c r="H16" s="11"/>
      <c r="I16" s="11"/>
      <c r="J16" s="11" t="s">
        <v>75</v>
      </c>
      <c r="K16" s="11"/>
      <c r="L16" s="11"/>
      <c r="M16" s="11" t="s">
        <v>76</v>
      </c>
      <c r="N16" s="11"/>
      <c r="O16" s="11"/>
      <c r="P16" s="11" t="s">
        <v>32</v>
      </c>
      <c r="Q16" s="11"/>
      <c r="R16" s="11"/>
      <c r="S16" s="11" t="s">
        <v>76</v>
      </c>
      <c r="T16" s="11"/>
      <c r="U16" s="11"/>
      <c r="V16" s="11" t="s">
        <v>32</v>
      </c>
      <c r="W16" s="11"/>
      <c r="X16" s="39"/>
    </row>
    <row r="17" ht="15" customHeight="1" spans="1:24">
      <c r="A17" s="10"/>
      <c r="B17" s="11"/>
      <c r="C17" s="11"/>
      <c r="D17" s="11" t="s">
        <v>52</v>
      </c>
      <c r="E17" s="11"/>
      <c r="F17" s="11"/>
      <c r="G17" s="11" t="s">
        <v>53</v>
      </c>
      <c r="H17" s="11"/>
      <c r="I17" s="11"/>
      <c r="J17" s="11" t="s">
        <v>77</v>
      </c>
      <c r="K17" s="11"/>
      <c r="L17" s="11"/>
      <c r="M17" s="11" t="s">
        <v>78</v>
      </c>
      <c r="N17" s="11"/>
      <c r="O17" s="11"/>
      <c r="P17" s="11"/>
      <c r="Q17" s="11"/>
      <c r="R17" s="11"/>
      <c r="S17" s="11" t="s">
        <v>79</v>
      </c>
      <c r="T17" s="11"/>
      <c r="U17" s="11"/>
      <c r="V17" s="11"/>
      <c r="W17" s="11"/>
      <c r="X17" s="39"/>
    </row>
    <row r="18" ht="15" customHeight="1" spans="1:24">
      <c r="A18" s="10">
        <v>1</v>
      </c>
      <c r="B18" s="11"/>
      <c r="C18" s="11"/>
      <c r="D18" s="11">
        <v>2369</v>
      </c>
      <c r="E18" s="11"/>
      <c r="F18" s="11"/>
      <c r="G18" s="11">
        <v>2649</v>
      </c>
      <c r="H18" s="11"/>
      <c r="I18" s="11"/>
      <c r="J18" s="11">
        <v>2748</v>
      </c>
      <c r="K18" s="11"/>
      <c r="L18" s="11"/>
      <c r="M18" s="28">
        <f>ROUND((J18-D18)/D18*100,1)</f>
        <v>16</v>
      </c>
      <c r="N18" s="28"/>
      <c r="O18" s="28"/>
      <c r="P18" s="29">
        <f>ROUND(AVERAGE(M18:O22),0)</f>
        <v>16</v>
      </c>
      <c r="Q18" s="29"/>
      <c r="R18" s="29"/>
      <c r="S18" s="40">
        <f>ROUND((G18-D18)/(J18-D18),3)</f>
        <v>0.739</v>
      </c>
      <c r="T18" s="40"/>
      <c r="U18" s="40"/>
      <c r="V18" s="41">
        <f>ROUND(AVERAGE(S18:U22),2)</f>
        <v>0.73</v>
      </c>
      <c r="W18" s="41"/>
      <c r="X18" s="42"/>
    </row>
    <row r="19" ht="15" customHeight="1" spans="1:24">
      <c r="A19" s="10">
        <v>2</v>
      </c>
      <c r="B19" s="11"/>
      <c r="C19" s="11"/>
      <c r="D19" s="11">
        <v>2409</v>
      </c>
      <c r="E19" s="11"/>
      <c r="F19" s="11"/>
      <c r="G19" s="11">
        <v>2698</v>
      </c>
      <c r="H19" s="11"/>
      <c r="I19" s="11"/>
      <c r="J19" s="11">
        <v>2812</v>
      </c>
      <c r="K19" s="11"/>
      <c r="L19" s="11"/>
      <c r="M19" s="28">
        <f t="shared" ref="M19:M22" si="0">ROUND((J19-D19)/D19*100,1)</f>
        <v>16.7</v>
      </c>
      <c r="N19" s="28"/>
      <c r="O19" s="28"/>
      <c r="P19" s="29"/>
      <c r="Q19" s="29"/>
      <c r="R19" s="29"/>
      <c r="S19" s="40">
        <f t="shared" ref="S19:S22" si="1">ROUND((G19-D19)/(J19-D19),3)</f>
        <v>0.717</v>
      </c>
      <c r="T19" s="40"/>
      <c r="U19" s="40"/>
      <c r="V19" s="41"/>
      <c r="W19" s="41"/>
      <c r="X19" s="42"/>
    </row>
    <row r="20" ht="15" customHeight="1" spans="1:24">
      <c r="A20" s="10">
        <v>3</v>
      </c>
      <c r="B20" s="11"/>
      <c r="C20" s="11"/>
      <c r="D20" s="11">
        <v>2292</v>
      </c>
      <c r="E20" s="11"/>
      <c r="F20" s="11"/>
      <c r="G20" s="11">
        <v>2562</v>
      </c>
      <c r="H20" s="11"/>
      <c r="I20" s="11"/>
      <c r="J20" s="11">
        <v>2653</v>
      </c>
      <c r="K20" s="11"/>
      <c r="L20" s="11"/>
      <c r="M20" s="28">
        <f t="shared" si="0"/>
        <v>15.8</v>
      </c>
      <c r="N20" s="28"/>
      <c r="O20" s="28"/>
      <c r="P20" s="29"/>
      <c r="Q20" s="29"/>
      <c r="R20" s="29"/>
      <c r="S20" s="40">
        <f t="shared" si="1"/>
        <v>0.748</v>
      </c>
      <c r="T20" s="40"/>
      <c r="U20" s="40"/>
      <c r="V20" s="41"/>
      <c r="W20" s="41"/>
      <c r="X20" s="42"/>
    </row>
    <row r="21" ht="15" customHeight="1" spans="1:24">
      <c r="A21" s="10">
        <v>4</v>
      </c>
      <c r="B21" s="11"/>
      <c r="C21" s="11"/>
      <c r="D21" s="11">
        <v>2285</v>
      </c>
      <c r="E21" s="11"/>
      <c r="F21" s="11"/>
      <c r="G21" s="11">
        <v>2571</v>
      </c>
      <c r="H21" s="11"/>
      <c r="I21" s="11"/>
      <c r="J21" s="11">
        <v>2673</v>
      </c>
      <c r="K21" s="11"/>
      <c r="L21" s="11"/>
      <c r="M21" s="28">
        <f t="shared" si="0"/>
        <v>17</v>
      </c>
      <c r="N21" s="28"/>
      <c r="O21" s="28"/>
      <c r="P21" s="29"/>
      <c r="Q21" s="29"/>
      <c r="R21" s="29"/>
      <c r="S21" s="40">
        <f t="shared" si="1"/>
        <v>0.737</v>
      </c>
      <c r="T21" s="40"/>
      <c r="U21" s="40"/>
      <c r="V21" s="41"/>
      <c r="W21" s="41"/>
      <c r="X21" s="42"/>
    </row>
    <row r="22" ht="15" customHeight="1" spans="1:24">
      <c r="A22" s="10">
        <v>5</v>
      </c>
      <c r="B22" s="11"/>
      <c r="C22" s="11"/>
      <c r="D22" s="11">
        <v>2391</v>
      </c>
      <c r="E22" s="11"/>
      <c r="F22" s="11"/>
      <c r="G22" s="11">
        <v>2683</v>
      </c>
      <c r="H22" s="11"/>
      <c r="I22" s="11"/>
      <c r="J22" s="11">
        <v>2791</v>
      </c>
      <c r="K22" s="11"/>
      <c r="L22" s="11"/>
      <c r="M22" s="28">
        <f t="shared" si="0"/>
        <v>16.7</v>
      </c>
      <c r="N22" s="28"/>
      <c r="O22" s="28"/>
      <c r="P22" s="29"/>
      <c r="Q22" s="29"/>
      <c r="R22" s="29"/>
      <c r="S22" s="40">
        <f t="shared" si="1"/>
        <v>0.73</v>
      </c>
      <c r="T22" s="40"/>
      <c r="U22" s="40"/>
      <c r="V22" s="41"/>
      <c r="W22" s="41"/>
      <c r="X22" s="42"/>
    </row>
    <row r="23" ht="15" customHeight="1" spans="1:24">
      <c r="A23" s="10" t="s">
        <v>80</v>
      </c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39"/>
    </row>
    <row r="24" ht="29.25" customHeight="1" spans="1:24">
      <c r="A24" s="12" t="s">
        <v>81</v>
      </c>
      <c r="B24" s="13"/>
      <c r="C24" s="14"/>
      <c r="D24" s="15" t="s">
        <v>82</v>
      </c>
      <c r="E24" s="13"/>
      <c r="F24" s="14"/>
      <c r="G24" s="15" t="s">
        <v>83</v>
      </c>
      <c r="H24" s="13"/>
      <c r="I24" s="14"/>
      <c r="J24" s="15" t="s">
        <v>84</v>
      </c>
      <c r="K24" s="13"/>
      <c r="L24" s="13"/>
      <c r="M24" s="13"/>
      <c r="N24" s="13"/>
      <c r="O24" s="13"/>
      <c r="P24" s="14"/>
      <c r="Q24" s="23" t="s">
        <v>85</v>
      </c>
      <c r="R24" s="21"/>
      <c r="S24" s="21"/>
      <c r="T24" s="21"/>
      <c r="U24" s="21"/>
      <c r="V24" s="21"/>
      <c r="W24" s="21"/>
      <c r="X24" s="43"/>
    </row>
    <row r="25" ht="15" customHeight="1" spans="1:24">
      <c r="A25" s="16"/>
      <c r="B25" s="17"/>
      <c r="C25" s="18"/>
      <c r="D25" s="19"/>
      <c r="E25" s="17"/>
      <c r="F25" s="18"/>
      <c r="G25" s="19"/>
      <c r="H25" s="17"/>
      <c r="I25" s="18"/>
      <c r="J25" s="19"/>
      <c r="K25" s="17"/>
      <c r="L25" s="17"/>
      <c r="M25" s="17"/>
      <c r="N25" s="17"/>
      <c r="O25" s="17"/>
      <c r="P25" s="18"/>
      <c r="Q25" s="23" t="s">
        <v>76</v>
      </c>
      <c r="R25" s="21"/>
      <c r="S25" s="21"/>
      <c r="T25" s="22"/>
      <c r="U25" s="23" t="s">
        <v>32</v>
      </c>
      <c r="V25" s="21"/>
      <c r="W25" s="21"/>
      <c r="X25" s="43"/>
    </row>
    <row r="26" ht="15" customHeight="1" spans="1:24">
      <c r="A26" s="20">
        <v>1</v>
      </c>
      <c r="B26" s="21"/>
      <c r="C26" s="22"/>
      <c r="D26" s="23">
        <v>2353</v>
      </c>
      <c r="E26" s="21"/>
      <c r="F26" s="22"/>
      <c r="G26" s="23">
        <v>2325</v>
      </c>
      <c r="H26" s="21"/>
      <c r="I26" s="22"/>
      <c r="J26" s="30" t="s">
        <v>86</v>
      </c>
      <c r="K26" s="31"/>
      <c r="L26" s="31"/>
      <c r="M26" s="31"/>
      <c r="N26" s="31"/>
      <c r="O26" s="31"/>
      <c r="P26" s="32"/>
      <c r="Q26" s="44">
        <f>ROUND((D26-G26)/D26*100,1)</f>
        <v>1.2</v>
      </c>
      <c r="R26" s="44"/>
      <c r="S26" s="44"/>
      <c r="T26" s="44"/>
      <c r="U26" s="15">
        <f>ROUND(AVERAGE(Q26:T30),1)</f>
        <v>1.2</v>
      </c>
      <c r="V26" s="13"/>
      <c r="W26" s="13"/>
      <c r="X26" s="45"/>
    </row>
    <row r="27" ht="15" customHeight="1" spans="1:24">
      <c r="A27" s="20">
        <v>2</v>
      </c>
      <c r="B27" s="21"/>
      <c r="C27" s="22"/>
      <c r="D27" s="23">
        <v>2412</v>
      </c>
      <c r="E27" s="21"/>
      <c r="F27" s="22"/>
      <c r="G27" s="23">
        <v>2380</v>
      </c>
      <c r="H27" s="21"/>
      <c r="I27" s="22"/>
      <c r="J27" s="30" t="s">
        <v>86</v>
      </c>
      <c r="K27" s="31"/>
      <c r="L27" s="31"/>
      <c r="M27" s="31"/>
      <c r="N27" s="31"/>
      <c r="O27" s="31"/>
      <c r="P27" s="32"/>
      <c r="Q27" s="44">
        <f>ROUND((D27-G27)/D27*100,1)</f>
        <v>1.3</v>
      </c>
      <c r="R27" s="44"/>
      <c r="S27" s="44"/>
      <c r="T27" s="44"/>
      <c r="U27" s="46"/>
      <c r="V27" s="47"/>
      <c r="W27" s="47"/>
      <c r="X27" s="48"/>
    </row>
    <row r="28" ht="15" customHeight="1" spans="1:24">
      <c r="A28" s="20">
        <v>3</v>
      </c>
      <c r="B28" s="21"/>
      <c r="C28" s="22"/>
      <c r="D28" s="23">
        <v>2290</v>
      </c>
      <c r="E28" s="21"/>
      <c r="F28" s="22"/>
      <c r="G28" s="23">
        <v>2262</v>
      </c>
      <c r="H28" s="21"/>
      <c r="I28" s="22"/>
      <c r="J28" s="30" t="s">
        <v>86</v>
      </c>
      <c r="K28" s="31"/>
      <c r="L28" s="31"/>
      <c r="M28" s="31"/>
      <c r="N28" s="31"/>
      <c r="O28" s="31"/>
      <c r="P28" s="32"/>
      <c r="Q28" s="44">
        <f>ROUND((D28-G28)/D28*100,1)</f>
        <v>1.2</v>
      </c>
      <c r="R28" s="44"/>
      <c r="S28" s="44"/>
      <c r="T28" s="44"/>
      <c r="U28" s="46"/>
      <c r="V28" s="47"/>
      <c r="W28" s="47"/>
      <c r="X28" s="48"/>
    </row>
    <row r="29" ht="15" customHeight="1" spans="1:24">
      <c r="A29" s="20">
        <v>4</v>
      </c>
      <c r="B29" s="21"/>
      <c r="C29" s="22"/>
      <c r="D29" s="23">
        <v>2281</v>
      </c>
      <c r="E29" s="21"/>
      <c r="F29" s="22"/>
      <c r="G29" s="23">
        <v>2258</v>
      </c>
      <c r="H29" s="21"/>
      <c r="I29" s="22"/>
      <c r="J29" s="30" t="s">
        <v>86</v>
      </c>
      <c r="K29" s="31"/>
      <c r="L29" s="31"/>
      <c r="M29" s="31"/>
      <c r="N29" s="31"/>
      <c r="O29" s="31"/>
      <c r="P29" s="32"/>
      <c r="Q29" s="44">
        <f>ROUND((D29-G29)/D29*100,1)</f>
        <v>1</v>
      </c>
      <c r="R29" s="44"/>
      <c r="S29" s="44"/>
      <c r="T29" s="44"/>
      <c r="U29" s="46"/>
      <c r="V29" s="47"/>
      <c r="W29" s="47"/>
      <c r="X29" s="48"/>
    </row>
    <row r="30" ht="15" customHeight="1" spans="1:24">
      <c r="A30" s="20">
        <v>5</v>
      </c>
      <c r="B30" s="21"/>
      <c r="C30" s="22"/>
      <c r="D30" s="23">
        <v>2386</v>
      </c>
      <c r="E30" s="21"/>
      <c r="F30" s="22"/>
      <c r="G30" s="23">
        <v>2358</v>
      </c>
      <c r="H30" s="21"/>
      <c r="I30" s="22"/>
      <c r="J30" s="30" t="s">
        <v>86</v>
      </c>
      <c r="K30" s="31"/>
      <c r="L30" s="31"/>
      <c r="M30" s="31"/>
      <c r="N30" s="31"/>
      <c r="O30" s="31"/>
      <c r="P30" s="32"/>
      <c r="Q30" s="44">
        <f>ROUND((D30-G30)/D30*100,1)</f>
        <v>1.2</v>
      </c>
      <c r="R30" s="44"/>
      <c r="S30" s="44"/>
      <c r="T30" s="44"/>
      <c r="U30" s="19"/>
      <c r="V30" s="17"/>
      <c r="W30" s="17"/>
      <c r="X30" s="49"/>
    </row>
    <row r="31" ht="16.5" customHeight="1" spans="1:24">
      <c r="A31" s="10" t="s">
        <v>87</v>
      </c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39"/>
    </row>
    <row r="32" ht="15" customHeight="1" spans="1:24">
      <c r="A32" s="10" t="s">
        <v>88</v>
      </c>
      <c r="B32" s="11"/>
      <c r="C32" s="11"/>
      <c r="D32" s="11"/>
      <c r="E32" s="11" t="s">
        <v>89</v>
      </c>
      <c r="F32" s="11"/>
      <c r="G32" s="11"/>
      <c r="H32" s="11"/>
      <c r="I32" s="11"/>
      <c r="J32" s="11"/>
      <c r="K32" s="11"/>
      <c r="L32" s="11"/>
      <c r="M32" s="11" t="s">
        <v>90</v>
      </c>
      <c r="N32" s="11"/>
      <c r="O32" s="11"/>
      <c r="P32" s="11"/>
      <c r="Q32" s="11" t="s">
        <v>91</v>
      </c>
      <c r="R32" s="11"/>
      <c r="S32" s="11"/>
      <c r="T32" s="11"/>
      <c r="U32" s="11"/>
      <c r="V32" s="11"/>
      <c r="W32" s="11"/>
      <c r="X32" s="39"/>
    </row>
    <row r="33" ht="15" customHeight="1" spans="1:24">
      <c r="A33" s="10" t="s">
        <v>81</v>
      </c>
      <c r="B33" s="11"/>
      <c r="C33" s="11"/>
      <c r="D33" s="11"/>
      <c r="E33" s="11">
        <v>1</v>
      </c>
      <c r="F33" s="11"/>
      <c r="G33" s="11"/>
      <c r="H33" s="11"/>
      <c r="I33" s="11">
        <v>2</v>
      </c>
      <c r="J33" s="11"/>
      <c r="K33" s="11"/>
      <c r="L33" s="11"/>
      <c r="M33" s="11">
        <v>3</v>
      </c>
      <c r="N33" s="11"/>
      <c r="O33" s="11"/>
      <c r="P33" s="11"/>
      <c r="Q33" s="11">
        <v>4</v>
      </c>
      <c r="R33" s="11"/>
      <c r="S33" s="11"/>
      <c r="T33" s="11"/>
      <c r="U33" s="11">
        <v>5</v>
      </c>
      <c r="V33" s="11"/>
      <c r="W33" s="11"/>
      <c r="X33" s="39"/>
    </row>
    <row r="34" ht="15" customHeight="1" spans="1:24">
      <c r="A34" s="10" t="s">
        <v>92</v>
      </c>
      <c r="B34" s="11"/>
      <c r="C34" s="11"/>
      <c r="D34" s="11"/>
      <c r="E34" s="11" t="s">
        <v>93</v>
      </c>
      <c r="F34" s="11"/>
      <c r="G34" s="11"/>
      <c r="H34" s="11"/>
      <c r="I34" s="11" t="s">
        <v>93</v>
      </c>
      <c r="J34" s="11"/>
      <c r="K34" s="11"/>
      <c r="L34" s="11"/>
      <c r="M34" s="11" t="s">
        <v>93</v>
      </c>
      <c r="N34" s="11"/>
      <c r="O34" s="11"/>
      <c r="P34" s="11"/>
      <c r="Q34" s="11" t="s">
        <v>93</v>
      </c>
      <c r="R34" s="11"/>
      <c r="S34" s="11"/>
      <c r="T34" s="11"/>
      <c r="U34" s="11" t="s">
        <v>93</v>
      </c>
      <c r="V34" s="11"/>
      <c r="W34" s="11"/>
      <c r="X34" s="11"/>
    </row>
    <row r="35" ht="15" customHeight="1" spans="1:24">
      <c r="A35" s="10" t="s">
        <v>94</v>
      </c>
      <c r="B35" s="11"/>
      <c r="C35" s="11"/>
      <c r="D35" s="11"/>
      <c r="E35" s="23" t="s">
        <v>93</v>
      </c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43"/>
    </row>
    <row r="36" ht="15" customHeight="1" spans="1:24">
      <c r="A36" s="10" t="s">
        <v>95</v>
      </c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39"/>
    </row>
    <row r="37" ht="17.25" customHeight="1" spans="1:24">
      <c r="A37" s="20" t="s">
        <v>81</v>
      </c>
      <c r="B37" s="21"/>
      <c r="C37" s="21"/>
      <c r="D37" s="21"/>
      <c r="E37" s="23">
        <v>1</v>
      </c>
      <c r="F37" s="21"/>
      <c r="G37" s="21"/>
      <c r="H37" s="22"/>
      <c r="I37" s="11">
        <v>2</v>
      </c>
      <c r="J37" s="11"/>
      <c r="K37" s="11"/>
      <c r="L37" s="11"/>
      <c r="M37" s="11">
        <v>3</v>
      </c>
      <c r="N37" s="11"/>
      <c r="O37" s="11"/>
      <c r="P37" s="11"/>
      <c r="Q37" s="11">
        <v>4</v>
      </c>
      <c r="R37" s="11"/>
      <c r="S37" s="11"/>
      <c r="T37" s="11"/>
      <c r="U37" s="11">
        <v>5</v>
      </c>
      <c r="V37" s="11"/>
      <c r="W37" s="11"/>
      <c r="X37" s="39"/>
    </row>
    <row r="38" ht="23.25" customHeight="1" spans="1:24">
      <c r="A38" s="20" t="s">
        <v>96</v>
      </c>
      <c r="B38" s="21"/>
      <c r="C38" s="21"/>
      <c r="D38" s="21"/>
      <c r="E38" s="23">
        <v>5</v>
      </c>
      <c r="F38" s="21"/>
      <c r="G38" s="21"/>
      <c r="H38" s="22"/>
      <c r="I38" s="11">
        <v>4</v>
      </c>
      <c r="J38" s="11"/>
      <c r="K38" s="11"/>
      <c r="L38" s="11"/>
      <c r="M38" s="11">
        <v>5</v>
      </c>
      <c r="N38" s="11"/>
      <c r="O38" s="11"/>
      <c r="P38" s="11"/>
      <c r="Q38" s="11">
        <v>5</v>
      </c>
      <c r="R38" s="11"/>
      <c r="S38" s="11"/>
      <c r="T38" s="11"/>
      <c r="U38" s="11">
        <v>4</v>
      </c>
      <c r="V38" s="11"/>
      <c r="W38" s="11"/>
      <c r="X38" s="39"/>
    </row>
    <row r="39" ht="23.25" customHeight="1" spans="1:24">
      <c r="A39" s="20" t="s">
        <v>97</v>
      </c>
      <c r="B39" s="21"/>
      <c r="C39" s="21"/>
      <c r="D39" s="21"/>
      <c r="E39" s="23">
        <v>6</v>
      </c>
      <c r="F39" s="21"/>
      <c r="G39" s="21"/>
      <c r="H39" s="22"/>
      <c r="I39" s="11">
        <v>7</v>
      </c>
      <c r="J39" s="11"/>
      <c r="K39" s="11"/>
      <c r="L39" s="11"/>
      <c r="M39" s="11">
        <v>6</v>
      </c>
      <c r="N39" s="11"/>
      <c r="O39" s="11"/>
      <c r="P39" s="11"/>
      <c r="Q39" s="11">
        <v>8</v>
      </c>
      <c r="R39" s="11"/>
      <c r="S39" s="11"/>
      <c r="T39" s="11"/>
      <c r="U39" s="11">
        <v>6</v>
      </c>
      <c r="V39" s="11"/>
      <c r="W39" s="11"/>
      <c r="X39" s="39"/>
    </row>
    <row r="40" ht="40.5" customHeight="1" spans="1:24">
      <c r="A40" s="24" t="s">
        <v>62</v>
      </c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50"/>
    </row>
    <row r="41" s="1" customFormat="1" ht="24.75" customHeight="1" spans="1:24">
      <c r="A41" s="26" t="s">
        <v>63</v>
      </c>
      <c r="B41" s="26"/>
      <c r="C41" s="26"/>
      <c r="D41" s="27"/>
      <c r="E41" s="27"/>
      <c r="F41" s="27"/>
      <c r="G41" s="27"/>
      <c r="H41" s="27"/>
      <c r="I41" s="26" t="s">
        <v>64</v>
      </c>
      <c r="J41" s="26"/>
      <c r="K41" s="26"/>
      <c r="L41" s="27"/>
      <c r="M41" s="27"/>
      <c r="N41" s="33"/>
      <c r="O41" s="27"/>
      <c r="P41" s="27"/>
      <c r="Q41" s="26" t="s">
        <v>65</v>
      </c>
      <c r="R41" s="26"/>
      <c r="S41" s="26"/>
      <c r="T41" s="27"/>
      <c r="U41" s="27"/>
      <c r="V41" s="27"/>
      <c r="W41" s="27"/>
      <c r="X41" s="27"/>
    </row>
    <row r="42" spans="1:24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</row>
    <row r="43" spans="1:24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</row>
    <row r="44" spans="1:2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</row>
    <row r="45" spans="1:24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</row>
    <row r="46" spans="1:24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</row>
    <row r="47" spans="1:24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</row>
    <row r="48" spans="1:24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</row>
    <row r="49" spans="1:24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</row>
    <row r="50" spans="1:24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</row>
    <row r="51" spans="1:24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</row>
    <row r="52" spans="1:24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</row>
    <row r="53" spans="1:24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</row>
    <row r="54" spans="1:2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</row>
    <row r="55" spans="1:24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</row>
    <row r="56" spans="1:24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</row>
    <row r="57" spans="1:24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</row>
    <row r="58" spans="1:24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</row>
    <row r="59" spans="1:24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</row>
    <row r="60" spans="1:24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</row>
    <row r="61" spans="1:24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</row>
    <row r="62" spans="1:24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</row>
    <row r="63" spans="1:24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</row>
    <row r="64" spans="1:2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</row>
    <row r="65" spans="1:24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</row>
    <row r="66" spans="1:24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</row>
    <row r="67" spans="1:24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</row>
    <row r="68" spans="1:24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</row>
    <row r="69" spans="1:24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</row>
    <row r="70" spans="1:24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</row>
    <row r="71" spans="1:24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</row>
    <row r="72" spans="1:24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</row>
    <row r="73" spans="1:24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</row>
    <row r="74" spans="1:2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</row>
  </sheetData>
  <mergeCells count="173">
    <mergeCell ref="Q1:X1"/>
    <mergeCell ref="Q2:X2"/>
    <mergeCell ref="A4:C4"/>
    <mergeCell ref="D4:N4"/>
    <mergeCell ref="O4:Q4"/>
    <mergeCell ref="R4:X4"/>
    <mergeCell ref="A5:C5"/>
    <mergeCell ref="D5:N5"/>
    <mergeCell ref="O5:Q5"/>
    <mergeCell ref="R5:X5"/>
    <mergeCell ref="A6:C6"/>
    <mergeCell ref="D6:N6"/>
    <mergeCell ref="O6:Q6"/>
    <mergeCell ref="R6:X6"/>
    <mergeCell ref="A7:C7"/>
    <mergeCell ref="D7:N7"/>
    <mergeCell ref="O7:Q7"/>
    <mergeCell ref="R7:X7"/>
    <mergeCell ref="E9:H9"/>
    <mergeCell ref="I9:K9"/>
    <mergeCell ref="L9:N9"/>
    <mergeCell ref="O9:Q9"/>
    <mergeCell ref="R9:T9"/>
    <mergeCell ref="U9:V9"/>
    <mergeCell ref="W9:X9"/>
    <mergeCell ref="E10:H10"/>
    <mergeCell ref="I10:K10"/>
    <mergeCell ref="L10:N10"/>
    <mergeCell ref="O10:Q10"/>
    <mergeCell ref="R10:T10"/>
    <mergeCell ref="E11:H11"/>
    <mergeCell ref="I11:K11"/>
    <mergeCell ref="L11:N11"/>
    <mergeCell ref="O11:Q11"/>
    <mergeCell ref="R11:T11"/>
    <mergeCell ref="E12:H12"/>
    <mergeCell ref="I12:K12"/>
    <mergeCell ref="L12:N12"/>
    <mergeCell ref="O12:Q12"/>
    <mergeCell ref="R12:T12"/>
    <mergeCell ref="A13:D13"/>
    <mergeCell ref="E13:N13"/>
    <mergeCell ref="O13:Q13"/>
    <mergeCell ref="R13:X13"/>
    <mergeCell ref="A14:X14"/>
    <mergeCell ref="G15:L15"/>
    <mergeCell ref="M15:R15"/>
    <mergeCell ref="S15:X15"/>
    <mergeCell ref="G16:I16"/>
    <mergeCell ref="J16:L16"/>
    <mergeCell ref="M16:O16"/>
    <mergeCell ref="P16:R16"/>
    <mergeCell ref="S16:U16"/>
    <mergeCell ref="V16:X16"/>
    <mergeCell ref="D17:F17"/>
    <mergeCell ref="G17:I17"/>
    <mergeCell ref="J17:L17"/>
    <mergeCell ref="M17:R17"/>
    <mergeCell ref="S17:X17"/>
    <mergeCell ref="A18:C18"/>
    <mergeCell ref="D18:F18"/>
    <mergeCell ref="G18:I18"/>
    <mergeCell ref="J18:L18"/>
    <mergeCell ref="M18:O18"/>
    <mergeCell ref="S18:U18"/>
    <mergeCell ref="A19:C19"/>
    <mergeCell ref="D19:F19"/>
    <mergeCell ref="G19:I19"/>
    <mergeCell ref="J19:L19"/>
    <mergeCell ref="M19:O19"/>
    <mergeCell ref="S19:U19"/>
    <mergeCell ref="A20:C20"/>
    <mergeCell ref="D20:F20"/>
    <mergeCell ref="G20:I20"/>
    <mergeCell ref="J20:L20"/>
    <mergeCell ref="M20:O20"/>
    <mergeCell ref="S20:U20"/>
    <mergeCell ref="A21:C21"/>
    <mergeCell ref="D21:F21"/>
    <mergeCell ref="G21:I21"/>
    <mergeCell ref="J21:L21"/>
    <mergeCell ref="M21:O21"/>
    <mergeCell ref="S21:U21"/>
    <mergeCell ref="A22:C22"/>
    <mergeCell ref="D22:F22"/>
    <mergeCell ref="G22:I22"/>
    <mergeCell ref="J22:L22"/>
    <mergeCell ref="M22:O22"/>
    <mergeCell ref="S22:U22"/>
    <mergeCell ref="A23:X23"/>
    <mergeCell ref="Q24:X24"/>
    <mergeCell ref="Q25:T25"/>
    <mergeCell ref="U25:X25"/>
    <mergeCell ref="A26:C26"/>
    <mergeCell ref="D26:F26"/>
    <mergeCell ref="G26:I26"/>
    <mergeCell ref="J26:P26"/>
    <mergeCell ref="Q26:T26"/>
    <mergeCell ref="A27:C27"/>
    <mergeCell ref="D27:F27"/>
    <mergeCell ref="G27:I27"/>
    <mergeCell ref="J27:P27"/>
    <mergeCell ref="Q27:T27"/>
    <mergeCell ref="A28:C28"/>
    <mergeCell ref="D28:F28"/>
    <mergeCell ref="G28:I28"/>
    <mergeCell ref="J28:P28"/>
    <mergeCell ref="Q28:T28"/>
    <mergeCell ref="A29:C29"/>
    <mergeCell ref="D29:F29"/>
    <mergeCell ref="G29:I29"/>
    <mergeCell ref="J29:P29"/>
    <mergeCell ref="Q29:T29"/>
    <mergeCell ref="A30:C30"/>
    <mergeCell ref="D30:F30"/>
    <mergeCell ref="G30:I30"/>
    <mergeCell ref="J30:P30"/>
    <mergeCell ref="Q30:T30"/>
    <mergeCell ref="A31:X31"/>
    <mergeCell ref="A32:D32"/>
    <mergeCell ref="E32:L32"/>
    <mergeCell ref="M32:P32"/>
    <mergeCell ref="Q32:X32"/>
    <mergeCell ref="A33:D33"/>
    <mergeCell ref="E33:H33"/>
    <mergeCell ref="I33:L33"/>
    <mergeCell ref="M33:P33"/>
    <mergeCell ref="Q33:T33"/>
    <mergeCell ref="U33:X33"/>
    <mergeCell ref="A34:D34"/>
    <mergeCell ref="E34:H34"/>
    <mergeCell ref="I34:L34"/>
    <mergeCell ref="M34:P34"/>
    <mergeCell ref="Q34:T34"/>
    <mergeCell ref="U34:X34"/>
    <mergeCell ref="A35:D35"/>
    <mergeCell ref="E35:X35"/>
    <mergeCell ref="A36:X36"/>
    <mergeCell ref="A37:D37"/>
    <mergeCell ref="E37:H37"/>
    <mergeCell ref="I37:L37"/>
    <mergeCell ref="M37:P37"/>
    <mergeCell ref="Q37:T37"/>
    <mergeCell ref="U37:X37"/>
    <mergeCell ref="A38:D38"/>
    <mergeCell ref="E38:H38"/>
    <mergeCell ref="I38:L38"/>
    <mergeCell ref="M38:P38"/>
    <mergeCell ref="Q38:T38"/>
    <mergeCell ref="U38:X38"/>
    <mergeCell ref="A39:D39"/>
    <mergeCell ref="E39:H39"/>
    <mergeCell ref="I39:L39"/>
    <mergeCell ref="M39:P39"/>
    <mergeCell ref="Q39:T39"/>
    <mergeCell ref="U39:X39"/>
    <mergeCell ref="A40:X40"/>
    <mergeCell ref="A41:C41"/>
    <mergeCell ref="I41:K41"/>
    <mergeCell ref="Q41:S41"/>
    <mergeCell ref="A1:P2"/>
    <mergeCell ref="U26:X30"/>
    <mergeCell ref="U10:V12"/>
    <mergeCell ref="W10:X12"/>
    <mergeCell ref="A9:D12"/>
    <mergeCell ref="D15:F16"/>
    <mergeCell ref="A15:C17"/>
    <mergeCell ref="P18:R22"/>
    <mergeCell ref="V18:X22"/>
    <mergeCell ref="A24:C25"/>
    <mergeCell ref="D24:F25"/>
    <mergeCell ref="G24:I25"/>
    <mergeCell ref="J24:P25"/>
  </mergeCells>
  <pageMargins left="0.8" right="0.61" top="1" bottom="1" header="0.5" footer="0.5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烧结普通砖试验记录（一）</vt:lpstr>
      <vt:lpstr>烧结普通砖试验记录（二）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潘天保</cp:lastModifiedBy>
  <dcterms:created xsi:type="dcterms:W3CDTF">1996-12-17T01:32:00Z</dcterms:created>
  <cp:lastPrinted>2009-06-28T12:22:00Z</cp:lastPrinted>
  <dcterms:modified xsi:type="dcterms:W3CDTF">2019-05-29T03:42:57Z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2052-11.1.0.8696</vt:lpwstr>
  </property>
</Properties>
</file>