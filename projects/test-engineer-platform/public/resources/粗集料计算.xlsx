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620" activeTab="1"/>
  </bookViews>
  <sheets>
    <sheet name="报告" sheetId="1" r:id="rId1"/>
    <sheet name="筛分" sheetId="2" r:id="rId2"/>
    <sheet name="针片状" sheetId="3" r:id="rId3"/>
    <sheet name="压碎值" sheetId="4" r:id="rId4"/>
    <sheet name="含泥量、泥块含量" sheetId="5" r:id="rId5"/>
    <sheet name="堆积密度" sheetId="6" r:id="rId6"/>
    <sheet name="密度(网篮)" sheetId="7" r:id="rId7"/>
    <sheet name="Sheet3" sheetId="8" r:id="rId8"/>
  </sheets>
  <definedNames>
    <definedName name="_xlnm.Print_Area" localSheetId="0">报告!$A$1:$H$23</definedName>
    <definedName name="_xlnm.Print_Area" localSheetId="5">堆积密度!$A$1:$I$21</definedName>
    <definedName name="_xlnm.Print_Area" localSheetId="4">含泥量、泥块含量!$A$1:$F$18</definedName>
    <definedName name="_xlnm.Print_Area" localSheetId="6">'密度(网篮)'!$A$1:$I$25</definedName>
    <definedName name="_xlnm.Print_Area" localSheetId="1">筛分!$A$1:$J$27</definedName>
    <definedName name="_xlnm.Print_Area" localSheetId="3">压碎值!$A$1:$H$20</definedName>
    <definedName name="_xlnm.Print_Area" localSheetId="2">针片状!$A$1:$F$20</definedName>
  </definedNames>
  <calcPr calcId="144525"/>
</workbook>
</file>

<file path=xl/sharedStrings.xml><?xml version="1.0" encoding="utf-8"?>
<sst xmlns="http://schemas.openxmlformats.org/spreadsheetml/2006/main" count="360" uniqueCount="170">
  <si>
    <r>
      <rPr>
        <b/>
        <sz val="18"/>
        <color indexed="8"/>
        <rFont val="宋体"/>
        <charset val="134"/>
      </rPr>
      <t>粗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集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料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试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验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分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析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报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告</t>
    </r>
  </si>
  <si>
    <t>试验单位</t>
  </si>
  <si>
    <t>合 同 段</t>
  </si>
  <si>
    <t>试样名称</t>
  </si>
  <si>
    <t>碎石(5～25)mm</t>
  </si>
  <si>
    <t>试验规程</t>
  </si>
  <si>
    <t>《公路工程集料试验规程》
JTG E42-2005</t>
  </si>
  <si>
    <t>试样来源</t>
  </si>
  <si>
    <t>试验日期</t>
  </si>
  <si>
    <t>2012-09-17～2012-09-18</t>
  </si>
  <si>
    <t>拟使用部位</t>
  </si>
  <si>
    <t>筛                     分</t>
  </si>
  <si>
    <t>筛孔尺寸</t>
  </si>
  <si>
    <t>累计筛余</t>
  </si>
  <si>
    <t>上限（%）</t>
  </si>
  <si>
    <t>下限（%）</t>
  </si>
  <si>
    <t>（mm）</t>
  </si>
  <si>
    <t>（%）</t>
  </si>
  <si>
    <t>/</t>
  </si>
  <si>
    <t>-</t>
  </si>
  <si>
    <t>压碎值</t>
  </si>
  <si>
    <t>针片状含量</t>
  </si>
  <si>
    <t>含泥量</t>
  </si>
  <si>
    <t>表观密度</t>
  </si>
  <si>
    <r>
      <rPr>
        <sz val="12"/>
        <color indexed="8"/>
        <rFont val="宋体"/>
        <charset val="134"/>
      </rPr>
      <t xml:space="preserve">   2.613(g/cm</t>
    </r>
    <r>
      <rPr>
        <vertAlign val="super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)</t>
    </r>
  </si>
  <si>
    <t>洛杉矶磨耗值</t>
  </si>
  <si>
    <t>堆积密度</t>
  </si>
  <si>
    <r>
      <rPr>
        <sz val="12"/>
        <color indexed="8"/>
        <rFont val="宋体"/>
        <charset val="134"/>
      </rPr>
      <t>1.54(g/cm</t>
    </r>
    <r>
      <rPr>
        <vertAlign val="super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)</t>
    </r>
  </si>
  <si>
    <t>坚固性</t>
  </si>
  <si>
    <t xml:space="preserve">/    </t>
  </si>
  <si>
    <t>粗集料定名</t>
  </si>
  <si>
    <t>结论</t>
  </si>
  <si>
    <t>该碎石级配符合《公路桥涵施工技术规范》JTG/T F50-2011中粗集料(5～31.5)mm连续级配的要求，其他所检项目均符合粗集料技术指标Ⅱ类的要求。</t>
  </si>
  <si>
    <t>备注</t>
  </si>
  <si>
    <r>
      <rPr>
        <sz val="12"/>
        <color indexed="8"/>
        <rFont val="宋体"/>
        <charset val="134"/>
      </rPr>
      <t>振实状态下的堆积密度为1.61g/cm</t>
    </r>
    <r>
      <rPr>
        <vertAlign val="super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。</t>
    </r>
  </si>
  <si>
    <t xml:space="preserve">试验：                         复核：                     审核：
</t>
  </si>
  <si>
    <r>
      <rPr>
        <sz val="10.5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粗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集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料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筛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分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试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验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记</t>
    </r>
    <r>
      <rPr>
        <b/>
        <sz val="18"/>
        <color indexed="8"/>
        <rFont val="Times New Roman"/>
        <charset val="134"/>
      </rPr>
      <t xml:space="preserve">  </t>
    </r>
    <r>
      <rPr>
        <b/>
        <sz val="18"/>
        <color indexed="8"/>
        <rFont val="宋体"/>
        <charset val="134"/>
      </rPr>
      <t>录</t>
    </r>
  </si>
  <si>
    <t>合 同 号</t>
  </si>
  <si>
    <r>
      <rPr>
        <sz val="12"/>
        <color indexed="8"/>
        <rFont val="宋体"/>
        <charset val="134"/>
      </rPr>
      <t>干燥试样总量m</t>
    </r>
    <r>
      <rPr>
        <vertAlign val="subscript"/>
        <sz val="12"/>
        <color indexed="8"/>
        <rFont val="宋体"/>
        <charset val="134"/>
      </rPr>
      <t>0</t>
    </r>
    <r>
      <rPr>
        <sz val="12"/>
        <color indexed="8"/>
        <rFont val="宋体"/>
        <charset val="134"/>
      </rPr>
      <t>(g)</t>
    </r>
  </si>
  <si>
    <t>第1组</t>
  </si>
  <si>
    <t>第2组</t>
  </si>
  <si>
    <t>平均</t>
  </si>
  <si>
    <t>级配
情况</t>
  </si>
  <si>
    <t>公称粒
级(mm)</t>
  </si>
  <si>
    <t>累计筛余（%）</t>
  </si>
  <si>
    <t>方孔筛尺寸（mm）</t>
  </si>
  <si>
    <t xml:space="preserve">筛孔尺寸
(mm) </t>
  </si>
  <si>
    <r>
      <rPr>
        <sz val="12"/>
        <color indexed="8"/>
        <rFont val="宋体"/>
        <charset val="134"/>
      </rPr>
      <t>筛上重m</t>
    </r>
    <r>
      <rPr>
        <vertAlign val="subscript"/>
        <sz val="12"/>
        <color indexed="8"/>
        <rFont val="宋体"/>
        <charset val="134"/>
      </rPr>
      <t>i</t>
    </r>
    <r>
      <rPr>
        <sz val="12"/>
        <color indexed="8"/>
        <rFont val="宋体"/>
        <charset val="134"/>
      </rPr>
      <t>(g)</t>
    </r>
  </si>
  <si>
    <t>分计筛余(%)</t>
  </si>
  <si>
    <t>累计筛余(%)</t>
  </si>
  <si>
    <t>通过百分率(%)</t>
  </si>
  <si>
    <t>连续
级配</t>
  </si>
  <si>
    <t>5～10</t>
  </si>
  <si>
    <t>95～100</t>
  </si>
  <si>
    <t>80～100</t>
  </si>
  <si>
    <t>0～15</t>
  </si>
  <si>
    <t>5～16</t>
  </si>
  <si>
    <t>85～100</t>
  </si>
  <si>
    <t>30～60</t>
  </si>
  <si>
    <t>0～10</t>
  </si>
  <si>
    <t>5～20</t>
  </si>
  <si>
    <t>90～100</t>
  </si>
  <si>
    <t>40～80</t>
  </si>
  <si>
    <t>5～25</t>
  </si>
  <si>
    <t>30～70</t>
  </si>
  <si>
    <t>0～5</t>
  </si>
  <si>
    <t>5～31.5</t>
  </si>
  <si>
    <t>70～90</t>
  </si>
  <si>
    <t>15～45</t>
  </si>
  <si>
    <t>5～40</t>
  </si>
  <si>
    <t>30～65</t>
  </si>
  <si>
    <t>单粒
级配</t>
  </si>
  <si>
    <t>10～20</t>
  </si>
  <si>
    <t>16～31.5</t>
  </si>
  <si>
    <t>筛底m</t>
  </si>
  <si>
    <t>20～40</t>
  </si>
  <si>
    <t>筛分后总量 Σmi(g)</t>
  </si>
  <si>
    <t>31.5～63</t>
  </si>
  <si>
    <t>75～100</t>
  </si>
  <si>
    <t>45～75</t>
  </si>
  <si>
    <r>
      <rPr>
        <sz val="12"/>
        <color indexed="8"/>
        <rFont val="宋体"/>
        <charset val="134"/>
      </rPr>
      <t>损耗m</t>
    </r>
    <r>
      <rPr>
        <vertAlign val="subscript"/>
        <sz val="12"/>
        <color indexed="8"/>
        <rFont val="宋体"/>
        <charset val="134"/>
      </rPr>
      <t>5</t>
    </r>
    <r>
      <rPr>
        <sz val="12"/>
        <color indexed="8"/>
        <rFont val="宋体"/>
        <charset val="134"/>
      </rPr>
      <t>(g)</t>
    </r>
  </si>
  <si>
    <t>70～100</t>
  </si>
  <si>
    <t>损耗率(%)</t>
  </si>
  <si>
    <t xml:space="preserve">试验：                           记录：                       复核：                                                                 </t>
  </si>
  <si>
    <t>水泥混凝土用粗集料针片状颗粒含量试验</t>
  </si>
  <si>
    <t>试样粒级</t>
  </si>
  <si>
    <t>试样质量（g）</t>
  </si>
  <si>
    <t>针状颗粒质量（g）</t>
  </si>
  <si>
    <t>片状颗粒质量（g）</t>
  </si>
  <si>
    <t>4.75～9.5</t>
  </si>
  <si>
    <t>9.5～16</t>
  </si>
  <si>
    <t>16～19</t>
  </si>
  <si>
    <t>19～26.5</t>
  </si>
  <si>
    <t>26.5～31.5</t>
  </si>
  <si>
    <t>31.5～37.5</t>
  </si>
  <si>
    <t>试样总质量（g）</t>
  </si>
  <si>
    <t>针片状颗粒总质量（g）</t>
  </si>
  <si>
    <t>试样针片状颗粒含量（%）</t>
  </si>
  <si>
    <t xml:space="preserve">试验：                          记录：                     复核：                      </t>
  </si>
  <si>
    <t>水泥混凝土用粗集料压碎指标值试验记录</t>
  </si>
  <si>
    <t>试样编号</t>
  </si>
  <si>
    <t>9.5～13.2mm筛取干试样质量(g)</t>
  </si>
  <si>
    <t>2.36mm筛筛余质量(g)</t>
  </si>
  <si>
    <t>压碎值(%)</t>
  </si>
  <si>
    <t>平均值(%)</t>
  </si>
  <si>
    <t>1#</t>
  </si>
  <si>
    <t>2#</t>
  </si>
  <si>
    <t>3#</t>
  </si>
  <si>
    <t xml:space="preserve">试验：                           记录：                           复核：                      </t>
  </si>
  <si>
    <t>粗集料含泥量、泥块含量试验记录（筛洗法）</t>
  </si>
  <si>
    <t>2013-10-17～2012-10-18</t>
  </si>
  <si>
    <t>含   泥   量   试   验   记   录</t>
  </si>
  <si>
    <t>水洗前烘干试样质量（g）</t>
  </si>
  <si>
    <t>水洗后留1.18 mm及0.075mm筛烘干颗粒质量（g）</t>
  </si>
  <si>
    <t>含泥量（%）</t>
  </si>
  <si>
    <t>平均值（%）</t>
  </si>
  <si>
    <t>含   泥   块   试   验   记   录</t>
  </si>
  <si>
    <r>
      <rPr>
        <sz val="12"/>
        <color indexed="8"/>
        <rFont val="宋体"/>
        <charset val="134"/>
      </rPr>
      <t>水洗前烘干试样质量m</t>
    </r>
    <r>
      <rPr>
        <vertAlign val="subscript"/>
        <sz val="12"/>
        <color indexed="8"/>
        <rFont val="宋体"/>
        <charset val="134"/>
      </rPr>
      <t>1</t>
    </r>
    <r>
      <rPr>
        <sz val="12"/>
        <color indexed="8"/>
        <rFont val="宋体"/>
        <charset val="134"/>
      </rPr>
      <t>（g）</t>
    </r>
  </si>
  <si>
    <r>
      <rPr>
        <sz val="12"/>
        <color indexed="8"/>
        <rFont val="宋体"/>
        <charset val="134"/>
      </rPr>
      <t>4.75mm筛筛余质量m</t>
    </r>
    <r>
      <rPr>
        <vertAlign val="subscript"/>
        <sz val="12"/>
        <color indexed="8"/>
        <rFont val="宋体"/>
        <charset val="134"/>
      </rPr>
      <t>2</t>
    </r>
    <r>
      <rPr>
        <sz val="12"/>
        <color indexed="8"/>
        <rFont val="宋体"/>
        <charset val="134"/>
      </rPr>
      <t>（g）</t>
    </r>
  </si>
  <si>
    <r>
      <rPr>
        <sz val="12"/>
        <color indexed="8"/>
        <rFont val="宋体"/>
        <charset val="134"/>
      </rPr>
      <t>水洗后留2.36mm筛烘干质量m</t>
    </r>
    <r>
      <rPr>
        <vertAlign val="sub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（g）</t>
    </r>
  </si>
  <si>
    <r>
      <rPr>
        <sz val="12"/>
        <color indexed="8"/>
        <rFont val="宋体"/>
        <charset val="134"/>
      </rPr>
      <t xml:space="preserve">  含泥量（%）
100(m</t>
    </r>
    <r>
      <rPr>
        <vertAlign val="subscript"/>
        <sz val="12"/>
        <color indexed="8"/>
        <rFont val="宋体"/>
        <charset val="134"/>
      </rPr>
      <t>2</t>
    </r>
    <r>
      <rPr>
        <sz val="12"/>
        <color indexed="8"/>
        <rFont val="宋体"/>
        <charset val="134"/>
      </rPr>
      <t>—m</t>
    </r>
    <r>
      <rPr>
        <vertAlign val="sub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)/m</t>
    </r>
    <r>
      <rPr>
        <vertAlign val="subscript"/>
        <sz val="12"/>
        <color indexed="8"/>
        <rFont val="宋体"/>
        <charset val="134"/>
      </rPr>
      <t>2</t>
    </r>
  </si>
  <si>
    <t xml:space="preserve">试验：                     记录：                          复核：                        </t>
  </si>
  <si>
    <t>粗 集 料 堆 积 密 度 试 验 记 录</t>
  </si>
  <si>
    <t>堆积密度（自然堆积状态）</t>
  </si>
  <si>
    <t xml:space="preserve">容积升体积(mL)  </t>
  </si>
  <si>
    <t>容积升重量（g)</t>
  </si>
  <si>
    <t>石子+容积升重量（g)</t>
  </si>
  <si>
    <t>石子重（g)</t>
  </si>
  <si>
    <r>
      <rPr>
        <sz val="12"/>
        <rFont val="宋体"/>
        <charset val="134"/>
      </rPr>
      <t>石子堆积密度（g/cm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)</t>
    </r>
  </si>
  <si>
    <r>
      <rPr>
        <sz val="12"/>
        <rFont val="宋体"/>
        <charset val="134"/>
      </rPr>
      <t>石子堆积密度平均值（g/cm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)</t>
    </r>
  </si>
  <si>
    <t>堆积密度（振实状态）</t>
  </si>
  <si>
    <t>堆积密度（捣实状态）</t>
  </si>
  <si>
    <t xml:space="preserve">试验：                        记录：                         复核：                                                                                                </t>
  </si>
  <si>
    <t xml:space="preserve">                                                        </t>
  </si>
  <si>
    <t xml:space="preserve">粗集料密度及吸水率试验记录（网篮法）  </t>
  </si>
  <si>
    <t>合同号</t>
  </si>
  <si>
    <t>2013-10-17～2013-10-18</t>
  </si>
  <si>
    <t>试验水温</t>
  </si>
  <si>
    <r>
      <rPr>
        <sz val="12"/>
        <color indexed="8"/>
        <rFont val="宋体"/>
        <charset val="134"/>
      </rPr>
      <t>23</t>
    </r>
    <r>
      <rPr>
        <vertAlign val="superscript"/>
        <sz val="12"/>
        <color indexed="8"/>
        <rFont val="宋体"/>
        <charset val="134"/>
      </rPr>
      <t>o</t>
    </r>
    <r>
      <rPr>
        <sz val="12"/>
        <color indexed="8"/>
        <rFont val="宋体"/>
        <charset val="134"/>
      </rPr>
      <t>C</t>
    </r>
  </si>
  <si>
    <t xml:space="preserve"> </t>
  </si>
  <si>
    <t>粗集料水中重</t>
  </si>
  <si>
    <r>
      <rPr>
        <sz val="12"/>
        <color indexed="8"/>
        <rFont val="宋体"/>
        <charset val="134"/>
      </rPr>
      <t>m</t>
    </r>
    <r>
      <rPr>
        <vertAlign val="subscript"/>
        <sz val="12"/>
        <color indexed="8"/>
        <rFont val="宋体"/>
        <charset val="134"/>
      </rPr>
      <t xml:space="preserve">W      </t>
    </r>
    <r>
      <rPr>
        <sz val="12"/>
        <color indexed="8"/>
        <rFont val="宋体"/>
        <charset val="134"/>
      </rPr>
      <t>（g）</t>
    </r>
    <r>
      <rPr>
        <vertAlign val="subscript"/>
        <sz val="12"/>
        <color indexed="8"/>
        <rFont val="宋体"/>
        <charset val="134"/>
      </rPr>
      <t xml:space="preserve">  </t>
    </r>
  </si>
  <si>
    <t>粗集料表干质量</t>
  </si>
  <si>
    <r>
      <rPr>
        <sz val="12"/>
        <color indexed="8"/>
        <rFont val="宋体"/>
        <charset val="134"/>
      </rPr>
      <t>m</t>
    </r>
    <r>
      <rPr>
        <vertAlign val="subscript"/>
        <sz val="12"/>
        <color indexed="8"/>
        <rFont val="宋体"/>
        <charset val="134"/>
      </rPr>
      <t xml:space="preserve">f      </t>
    </r>
    <r>
      <rPr>
        <sz val="12"/>
        <color indexed="8"/>
        <rFont val="宋体"/>
        <charset val="134"/>
      </rPr>
      <t>（g）</t>
    </r>
  </si>
  <si>
    <t>粗集料烘干质量</t>
  </si>
  <si>
    <r>
      <rPr>
        <sz val="12"/>
        <color indexed="8"/>
        <rFont val="宋体"/>
        <charset val="134"/>
      </rPr>
      <t>m</t>
    </r>
    <r>
      <rPr>
        <vertAlign val="subscript"/>
        <sz val="12"/>
        <color indexed="8"/>
        <rFont val="宋体"/>
        <charset val="134"/>
      </rPr>
      <t xml:space="preserve">a      </t>
    </r>
    <r>
      <rPr>
        <sz val="12"/>
        <color indexed="8"/>
        <rFont val="宋体"/>
        <charset val="134"/>
      </rPr>
      <t>（g）</t>
    </r>
  </si>
  <si>
    <t>表观相对密度</t>
  </si>
  <si>
    <r>
      <rPr>
        <sz val="12"/>
        <color indexed="8"/>
        <rFont val="宋体"/>
        <charset val="134"/>
      </rPr>
      <t>γ</t>
    </r>
    <r>
      <rPr>
        <vertAlign val="subscript"/>
        <sz val="12"/>
        <color indexed="8"/>
        <rFont val="宋体"/>
        <charset val="134"/>
      </rPr>
      <t>a</t>
    </r>
    <r>
      <rPr>
        <sz val="12"/>
        <color indexed="8"/>
        <rFont val="宋体"/>
        <charset val="134"/>
      </rPr>
      <t>= m</t>
    </r>
    <r>
      <rPr>
        <vertAlign val="subscript"/>
        <sz val="12"/>
        <color indexed="8"/>
        <rFont val="宋体"/>
        <charset val="134"/>
      </rPr>
      <t>a</t>
    </r>
    <r>
      <rPr>
        <sz val="12"/>
        <color indexed="8"/>
        <rFont val="宋体"/>
        <charset val="134"/>
      </rPr>
      <t>÷（m</t>
    </r>
    <r>
      <rPr>
        <vertAlign val="subscript"/>
        <sz val="12"/>
        <color indexed="8"/>
        <rFont val="宋体"/>
        <charset val="134"/>
      </rPr>
      <t>a</t>
    </r>
    <r>
      <rPr>
        <sz val="12"/>
        <color indexed="8"/>
        <rFont val="宋体"/>
        <charset val="134"/>
      </rPr>
      <t>- m</t>
    </r>
    <r>
      <rPr>
        <vertAlign val="subscript"/>
        <sz val="12"/>
        <color indexed="8"/>
        <rFont val="宋体"/>
        <charset val="134"/>
      </rPr>
      <t>W</t>
    </r>
    <r>
      <rPr>
        <sz val="12"/>
        <color indexed="8"/>
        <rFont val="宋体"/>
        <charset val="134"/>
      </rPr>
      <t>）</t>
    </r>
  </si>
  <si>
    <t>表观相对密度平均值</t>
  </si>
  <si>
    <r>
      <rPr>
        <sz val="12"/>
        <color indexed="8"/>
        <rFont val="宋体"/>
        <charset val="134"/>
      </rPr>
      <t>γ</t>
    </r>
    <r>
      <rPr>
        <vertAlign val="subscript"/>
        <sz val="12"/>
        <color indexed="8"/>
        <rFont val="宋体"/>
        <charset val="134"/>
      </rPr>
      <t>a</t>
    </r>
  </si>
  <si>
    <t>表观密度（视密度）</t>
  </si>
  <si>
    <r>
      <rPr>
        <sz val="12"/>
        <color indexed="8"/>
        <rFont val="宋体"/>
        <charset val="134"/>
      </rPr>
      <t>ρ</t>
    </r>
    <r>
      <rPr>
        <vertAlign val="subscript"/>
        <sz val="12"/>
        <color indexed="8"/>
        <rFont val="宋体"/>
        <charset val="134"/>
      </rPr>
      <t>a</t>
    </r>
    <r>
      <rPr>
        <sz val="12"/>
        <color indexed="8"/>
        <rFont val="宋体"/>
        <charset val="134"/>
      </rPr>
      <t>=γ</t>
    </r>
    <r>
      <rPr>
        <vertAlign val="subscript"/>
        <sz val="12"/>
        <color indexed="8"/>
        <rFont val="宋体"/>
        <charset val="134"/>
      </rPr>
      <t>a</t>
    </r>
    <r>
      <rPr>
        <sz val="12"/>
        <color indexed="8"/>
        <rFont val="宋体"/>
        <charset val="134"/>
      </rPr>
      <t>×ρ</t>
    </r>
    <r>
      <rPr>
        <vertAlign val="subscript"/>
        <sz val="12"/>
        <color indexed="8"/>
        <rFont val="宋体"/>
        <charset val="134"/>
      </rPr>
      <t xml:space="preserve">T   </t>
    </r>
    <r>
      <rPr>
        <sz val="12"/>
        <color indexed="8"/>
        <rFont val="宋体"/>
        <charset val="134"/>
      </rPr>
      <t>(g/cm</t>
    </r>
    <r>
      <rPr>
        <vertAlign val="super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)</t>
    </r>
  </si>
  <si>
    <t>毛体积相对密度</t>
  </si>
  <si>
    <r>
      <rPr>
        <sz val="12"/>
        <color indexed="8"/>
        <rFont val="宋体"/>
        <charset val="134"/>
      </rPr>
      <t>γ</t>
    </r>
    <r>
      <rPr>
        <vertAlign val="subscript"/>
        <sz val="12"/>
        <color indexed="8"/>
        <rFont val="宋体"/>
        <charset val="134"/>
      </rPr>
      <t>b</t>
    </r>
    <r>
      <rPr>
        <sz val="12"/>
        <color indexed="8"/>
        <rFont val="宋体"/>
        <charset val="134"/>
      </rPr>
      <t>= m</t>
    </r>
    <r>
      <rPr>
        <vertAlign val="subscript"/>
        <sz val="12"/>
        <color indexed="8"/>
        <rFont val="宋体"/>
        <charset val="134"/>
      </rPr>
      <t>a</t>
    </r>
    <r>
      <rPr>
        <sz val="12"/>
        <color indexed="8"/>
        <rFont val="宋体"/>
        <charset val="134"/>
      </rPr>
      <t>÷(m</t>
    </r>
    <r>
      <rPr>
        <vertAlign val="subscript"/>
        <sz val="12"/>
        <color indexed="8"/>
        <rFont val="宋体"/>
        <charset val="134"/>
      </rPr>
      <t xml:space="preserve">f  </t>
    </r>
    <r>
      <rPr>
        <sz val="12"/>
        <color indexed="8"/>
        <rFont val="宋体"/>
        <charset val="134"/>
      </rPr>
      <t>-</t>
    </r>
    <r>
      <rPr>
        <vertAlign val="superscript"/>
        <sz val="12"/>
        <color indexed="8"/>
        <rFont val="宋体"/>
        <charset val="134"/>
      </rPr>
      <t xml:space="preserve"> </t>
    </r>
    <r>
      <rPr>
        <sz val="12"/>
        <color indexed="8"/>
        <rFont val="宋体"/>
        <charset val="134"/>
      </rPr>
      <t>m</t>
    </r>
    <r>
      <rPr>
        <vertAlign val="subscript"/>
        <sz val="12"/>
        <color indexed="8"/>
        <rFont val="宋体"/>
        <charset val="134"/>
      </rPr>
      <t xml:space="preserve">W  </t>
    </r>
    <r>
      <rPr>
        <sz val="12"/>
        <color indexed="8"/>
        <rFont val="宋体"/>
        <charset val="134"/>
      </rPr>
      <t>)</t>
    </r>
  </si>
  <si>
    <t>毛体积相对密度平均值</t>
  </si>
  <si>
    <r>
      <rPr>
        <sz val="12"/>
        <color indexed="8"/>
        <rFont val="宋体"/>
        <charset val="134"/>
      </rPr>
      <t>γ</t>
    </r>
    <r>
      <rPr>
        <vertAlign val="subscript"/>
        <sz val="12"/>
        <color indexed="8"/>
        <rFont val="宋体"/>
        <charset val="134"/>
      </rPr>
      <t>b</t>
    </r>
  </si>
  <si>
    <t>毛体积密度</t>
  </si>
  <si>
    <r>
      <rPr>
        <sz val="12"/>
        <color indexed="8"/>
        <rFont val="宋体"/>
        <charset val="134"/>
      </rPr>
      <t>ρ</t>
    </r>
    <r>
      <rPr>
        <vertAlign val="subscript"/>
        <sz val="12"/>
        <color indexed="8"/>
        <rFont val="宋体"/>
        <charset val="134"/>
      </rPr>
      <t>b</t>
    </r>
    <r>
      <rPr>
        <sz val="12"/>
        <color indexed="8"/>
        <rFont val="宋体"/>
        <charset val="134"/>
      </rPr>
      <t>=γ</t>
    </r>
    <r>
      <rPr>
        <vertAlign val="subscript"/>
        <sz val="12"/>
        <color indexed="8"/>
        <rFont val="宋体"/>
        <charset val="134"/>
      </rPr>
      <t>b</t>
    </r>
    <r>
      <rPr>
        <sz val="12"/>
        <color indexed="8"/>
        <rFont val="宋体"/>
        <charset val="134"/>
      </rPr>
      <t>×ρ</t>
    </r>
    <r>
      <rPr>
        <vertAlign val="subscript"/>
        <sz val="12"/>
        <color indexed="8"/>
        <rFont val="宋体"/>
        <charset val="134"/>
      </rPr>
      <t xml:space="preserve">T   </t>
    </r>
    <r>
      <rPr>
        <sz val="12"/>
        <color indexed="8"/>
        <rFont val="宋体"/>
        <charset val="134"/>
      </rPr>
      <t>(g/cm</t>
    </r>
    <r>
      <rPr>
        <vertAlign val="super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)</t>
    </r>
  </si>
  <si>
    <t>表干相对密度</t>
  </si>
  <si>
    <r>
      <rPr>
        <sz val="12"/>
        <color indexed="8"/>
        <rFont val="宋体"/>
        <charset val="134"/>
      </rPr>
      <t>γ</t>
    </r>
    <r>
      <rPr>
        <vertAlign val="subscript"/>
        <sz val="12"/>
        <color indexed="8"/>
        <rFont val="宋体"/>
        <charset val="134"/>
      </rPr>
      <t>S</t>
    </r>
    <r>
      <rPr>
        <sz val="12"/>
        <color indexed="8"/>
        <rFont val="宋体"/>
        <charset val="134"/>
      </rPr>
      <t>= m</t>
    </r>
    <r>
      <rPr>
        <vertAlign val="subscript"/>
        <sz val="12"/>
        <color indexed="8"/>
        <rFont val="宋体"/>
        <charset val="134"/>
      </rPr>
      <t>f</t>
    </r>
    <r>
      <rPr>
        <sz val="12"/>
        <color indexed="8"/>
        <rFont val="宋体"/>
        <charset val="134"/>
      </rPr>
      <t>÷(m</t>
    </r>
    <r>
      <rPr>
        <vertAlign val="subscript"/>
        <sz val="12"/>
        <color indexed="8"/>
        <rFont val="宋体"/>
        <charset val="134"/>
      </rPr>
      <t xml:space="preserve">f  </t>
    </r>
    <r>
      <rPr>
        <sz val="12"/>
        <color indexed="8"/>
        <rFont val="宋体"/>
        <charset val="134"/>
      </rPr>
      <t>-</t>
    </r>
    <r>
      <rPr>
        <vertAlign val="superscript"/>
        <sz val="12"/>
        <color indexed="8"/>
        <rFont val="宋体"/>
        <charset val="134"/>
      </rPr>
      <t xml:space="preserve"> </t>
    </r>
    <r>
      <rPr>
        <sz val="12"/>
        <color indexed="8"/>
        <rFont val="宋体"/>
        <charset val="134"/>
      </rPr>
      <t>m</t>
    </r>
    <r>
      <rPr>
        <vertAlign val="subscript"/>
        <sz val="12"/>
        <color indexed="8"/>
        <rFont val="宋体"/>
        <charset val="134"/>
      </rPr>
      <t xml:space="preserve">W  </t>
    </r>
    <r>
      <rPr>
        <sz val="12"/>
        <color indexed="8"/>
        <rFont val="宋体"/>
        <charset val="134"/>
      </rPr>
      <t>)</t>
    </r>
  </si>
  <si>
    <t>表干相对密度平均值</t>
  </si>
  <si>
    <r>
      <rPr>
        <sz val="12"/>
        <color indexed="8"/>
        <rFont val="宋体"/>
        <charset val="134"/>
      </rPr>
      <t>γ</t>
    </r>
    <r>
      <rPr>
        <vertAlign val="subscript"/>
        <sz val="12"/>
        <color indexed="8"/>
        <rFont val="宋体"/>
        <charset val="134"/>
      </rPr>
      <t>S</t>
    </r>
  </si>
  <si>
    <t>表干密度</t>
  </si>
  <si>
    <r>
      <rPr>
        <sz val="12"/>
        <color indexed="8"/>
        <rFont val="宋体"/>
        <charset val="134"/>
      </rPr>
      <t>ρ</t>
    </r>
    <r>
      <rPr>
        <vertAlign val="subscript"/>
        <sz val="12"/>
        <color indexed="8"/>
        <rFont val="宋体"/>
        <charset val="134"/>
      </rPr>
      <t>S</t>
    </r>
    <r>
      <rPr>
        <sz val="12"/>
        <color indexed="8"/>
        <rFont val="宋体"/>
        <charset val="134"/>
      </rPr>
      <t>=γ</t>
    </r>
    <r>
      <rPr>
        <vertAlign val="subscript"/>
        <sz val="12"/>
        <color indexed="8"/>
        <rFont val="宋体"/>
        <charset val="134"/>
      </rPr>
      <t>s</t>
    </r>
    <r>
      <rPr>
        <sz val="12"/>
        <color indexed="8"/>
        <rFont val="宋体"/>
        <charset val="134"/>
      </rPr>
      <t>×ρ</t>
    </r>
    <r>
      <rPr>
        <vertAlign val="subscript"/>
        <sz val="12"/>
        <color indexed="8"/>
        <rFont val="宋体"/>
        <charset val="134"/>
      </rPr>
      <t xml:space="preserve">T    </t>
    </r>
    <r>
      <rPr>
        <sz val="12"/>
        <color indexed="8"/>
        <rFont val="宋体"/>
        <charset val="134"/>
      </rPr>
      <t>(g/cm</t>
    </r>
    <r>
      <rPr>
        <vertAlign val="super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)</t>
    </r>
  </si>
  <si>
    <t>粗集料吸水率</t>
  </si>
  <si>
    <r>
      <rPr>
        <sz val="12"/>
        <color indexed="8"/>
        <rFont val="宋体"/>
        <charset val="134"/>
      </rPr>
      <t>W</t>
    </r>
    <r>
      <rPr>
        <vertAlign val="subscript"/>
        <sz val="12"/>
        <color indexed="8"/>
        <rFont val="宋体"/>
        <charset val="134"/>
      </rPr>
      <t>x</t>
    </r>
    <r>
      <rPr>
        <sz val="12"/>
        <color indexed="8"/>
        <rFont val="宋体"/>
        <charset val="134"/>
      </rPr>
      <t>=(m</t>
    </r>
    <r>
      <rPr>
        <vertAlign val="subscript"/>
        <sz val="12"/>
        <color indexed="8"/>
        <rFont val="宋体"/>
        <charset val="134"/>
      </rPr>
      <t>f</t>
    </r>
    <r>
      <rPr>
        <sz val="12"/>
        <color indexed="8"/>
        <rFont val="宋体"/>
        <charset val="134"/>
      </rPr>
      <t>-m</t>
    </r>
    <r>
      <rPr>
        <vertAlign val="subscript"/>
        <sz val="12"/>
        <color indexed="8"/>
        <rFont val="宋体"/>
        <charset val="134"/>
      </rPr>
      <t>a</t>
    </r>
    <r>
      <rPr>
        <sz val="12"/>
        <color indexed="8"/>
        <rFont val="宋体"/>
        <charset val="134"/>
      </rPr>
      <t>)/m</t>
    </r>
    <r>
      <rPr>
        <vertAlign val="subscript"/>
        <sz val="12"/>
        <color indexed="8"/>
        <rFont val="宋体"/>
        <charset val="134"/>
      </rPr>
      <t xml:space="preserve">a    </t>
    </r>
    <r>
      <rPr>
        <sz val="12"/>
        <color indexed="8"/>
        <rFont val="宋体"/>
        <charset val="134"/>
      </rPr>
      <t xml:space="preserve">  (%)</t>
    </r>
  </si>
  <si>
    <t>粗集料吸水率平均值</t>
  </si>
  <si>
    <r>
      <rPr>
        <sz val="12"/>
        <color indexed="8"/>
        <rFont val="宋体"/>
        <charset val="134"/>
      </rPr>
      <t>W</t>
    </r>
    <r>
      <rPr>
        <vertAlign val="subscript"/>
        <sz val="12"/>
        <color indexed="8"/>
        <rFont val="宋体"/>
        <charset val="134"/>
      </rPr>
      <t xml:space="preserve">x      </t>
    </r>
    <r>
      <rPr>
        <sz val="12"/>
        <color indexed="8"/>
        <rFont val="宋体"/>
        <charset val="134"/>
      </rPr>
      <t>(%)</t>
    </r>
  </si>
  <si>
    <t>结论:
                                                     /</t>
  </si>
  <si>
    <t xml:space="preserve">试验：                       记录：                            复核：                       </t>
  </si>
</sst>
</file>

<file path=xl/styles.xml><?xml version="1.0" encoding="utf-8"?>
<styleSheet xmlns="http://schemas.openxmlformats.org/spreadsheetml/2006/main">
  <numFmts count="13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0_ "/>
    <numFmt numFmtId="178" formatCode="0.0_ "/>
    <numFmt numFmtId="179" formatCode="yyyy\-mm\-dd"/>
    <numFmt numFmtId="180" formatCode="0_);[Red]\(0\)"/>
    <numFmt numFmtId="181" formatCode="0.0_);[Red]\(0.0\)"/>
    <numFmt numFmtId="182" formatCode="0.00_);[Red]\(0.00\)"/>
    <numFmt numFmtId="183" formatCode="0.0%"/>
    <numFmt numFmtId="184" formatCode="0_ "/>
  </numFmts>
  <fonts count="41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vertAlign val="superscript"/>
      <sz val="12"/>
      <color indexed="8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20"/>
      <name val="宋体"/>
      <charset val="134"/>
    </font>
    <font>
      <b/>
      <sz val="12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name val="Times New Roman"/>
      <charset val="134"/>
    </font>
    <font>
      <b/>
      <sz val="18"/>
      <color indexed="8"/>
      <name val="宋体"/>
      <charset val="134"/>
    </font>
    <font>
      <sz val="12"/>
      <color rgb="FFFF0000"/>
      <name val="宋体"/>
      <charset val="134"/>
    </font>
    <font>
      <sz val="10.5"/>
      <color indexed="8"/>
      <name val="Times New Roman"/>
      <charset val="134"/>
    </font>
    <font>
      <sz val="11"/>
      <color indexed="30"/>
      <name val="宋体"/>
      <charset val="134"/>
    </font>
    <font>
      <sz val="9"/>
      <color indexed="8"/>
      <name val="宋体"/>
      <charset val="134"/>
    </font>
    <font>
      <sz val="9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vertAlign val="subscript"/>
      <sz val="12"/>
      <color indexed="8"/>
      <name val="宋体"/>
      <charset val="134"/>
    </font>
    <font>
      <vertAlign val="superscript"/>
      <sz val="12"/>
      <name val="宋体"/>
      <charset val="134"/>
    </font>
    <font>
      <b/>
      <sz val="18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10" borderId="9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25" borderId="13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5" fillId="11" borderId="15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31" fillId="19" borderId="11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5" fillId="0" borderId="0" xfId="49">
      <alignment vertical="center"/>
    </xf>
    <xf numFmtId="0" fontId="6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 vertical="center" wrapText="1"/>
    </xf>
    <xf numFmtId="0" fontId="8" fillId="0" borderId="0" xfId="49" applyFont="1" applyBorder="1" applyAlignment="1">
      <alignment horizontal="right" vertical="center" wrapText="1"/>
    </xf>
    <xf numFmtId="0" fontId="5" fillId="0" borderId="0" xfId="49" applyFont="1" applyBorder="1" applyAlignment="1">
      <alignment horizontal="right" vertical="center" wrapText="1"/>
    </xf>
    <xf numFmtId="0" fontId="5" fillId="0" borderId="1" xfId="49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2" xfId="49" applyFont="1" applyBorder="1" applyAlignment="1">
      <alignment horizontal="center" vertical="center" wrapText="1"/>
    </xf>
    <xf numFmtId="0" fontId="5" fillId="0" borderId="4" xfId="49" applyFont="1" applyBorder="1" applyAlignment="1">
      <alignment horizontal="center" vertical="center" wrapText="1"/>
    </xf>
    <xf numFmtId="0" fontId="5" fillId="0" borderId="3" xfId="49" applyFont="1" applyBorder="1" applyAlignment="1">
      <alignment horizontal="center" vertical="center" wrapText="1"/>
    </xf>
    <xf numFmtId="0" fontId="10" fillId="0" borderId="2" xfId="49" applyFont="1" applyBorder="1" applyAlignment="1">
      <alignment horizontal="center" vertical="center" wrapText="1"/>
    </xf>
    <xf numFmtId="179" fontId="5" fillId="0" borderId="1" xfId="49" applyNumberFormat="1" applyFont="1" applyBorder="1" applyAlignment="1">
      <alignment horizontal="center" vertical="center" wrapText="1"/>
    </xf>
    <xf numFmtId="180" fontId="5" fillId="0" borderId="1" xfId="49" applyNumberFormat="1" applyFont="1" applyBorder="1" applyAlignment="1">
      <alignment horizontal="center" vertical="center" wrapText="1"/>
    </xf>
    <xf numFmtId="180" fontId="5" fillId="0" borderId="2" xfId="49" applyNumberFormat="1" applyFont="1" applyBorder="1" applyAlignment="1">
      <alignment horizontal="center" vertical="center" wrapText="1"/>
    </xf>
    <xf numFmtId="180" fontId="5" fillId="0" borderId="4" xfId="49" applyNumberFormat="1" applyFont="1" applyBorder="1" applyAlignment="1">
      <alignment horizontal="center" vertical="center" wrapText="1"/>
    </xf>
    <xf numFmtId="182" fontId="5" fillId="0" borderId="2" xfId="49" applyNumberFormat="1" applyFont="1" applyBorder="1" applyAlignment="1">
      <alignment horizontal="center" vertical="center" wrapText="1"/>
    </xf>
    <xf numFmtId="182" fontId="5" fillId="0" borderId="4" xfId="49" applyNumberFormat="1" applyFont="1" applyBorder="1" applyAlignment="1">
      <alignment horizontal="center" vertical="center" wrapText="1"/>
    </xf>
    <xf numFmtId="0" fontId="5" fillId="0" borderId="5" xfId="49" applyFont="1" applyBorder="1" applyAlignment="1">
      <alignment horizontal="left" vertical="center" wrapText="1"/>
    </xf>
    <xf numFmtId="0" fontId="11" fillId="0" borderId="0" xfId="49" applyFont="1" applyAlignment="1">
      <alignment horizontal="left" vertical="center" wrapText="1"/>
    </xf>
    <xf numFmtId="0" fontId="5" fillId="0" borderId="0" xfId="49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49" applyFont="1" applyBorder="1" applyAlignment="1">
      <alignment horizontal="center" vertical="center" wrapText="1"/>
    </xf>
    <xf numFmtId="182" fontId="5" fillId="0" borderId="1" xfId="49" applyNumberFormat="1" applyFont="1" applyBorder="1" applyAlignment="1">
      <alignment horizontal="center" vertical="center" wrapText="1"/>
    </xf>
    <xf numFmtId="176" fontId="5" fillId="0" borderId="0" xfId="49" applyNumberForma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255" wrapText="1"/>
    </xf>
    <xf numFmtId="0" fontId="3" fillId="0" borderId="0" xfId="0" applyFont="1" applyBorder="1" applyAlignment="1">
      <alignment horizontal="left" vertical="center"/>
    </xf>
    <xf numFmtId="178" fontId="3" fillId="0" borderId="2" xfId="0" applyNumberFormat="1" applyFont="1" applyBorder="1" applyAlignment="1">
      <alignment vertical="center" wrapText="1"/>
    </xf>
    <xf numFmtId="178" fontId="3" fillId="0" borderId="4" xfId="0" applyNumberFormat="1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178" fontId="13" fillId="0" borderId="1" xfId="0" applyNumberFormat="1" applyFont="1" applyBorder="1" applyAlignment="1">
      <alignment horizontal="center" vertical="center" shrinkToFit="1"/>
    </xf>
    <xf numFmtId="178" fontId="10" fillId="0" borderId="1" xfId="0" applyNumberFormat="1" applyFont="1" applyBorder="1" applyAlignment="1">
      <alignment horizontal="center" vertical="center" shrinkToFit="1"/>
    </xf>
    <xf numFmtId="178" fontId="3" fillId="0" borderId="0" xfId="0" applyNumberFormat="1" applyFont="1" applyBorder="1" applyAlignment="1">
      <alignment horizontal="center" vertical="center" wrapText="1"/>
    </xf>
    <xf numFmtId="181" fontId="0" fillId="0" borderId="0" xfId="0" applyNumberFormat="1" applyBorder="1">
      <alignment vertical="center"/>
    </xf>
    <xf numFmtId="181" fontId="0" fillId="0" borderId="0" xfId="0" applyNumberFormat="1">
      <alignment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84" fontId="3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wrapText="1"/>
    </xf>
    <xf numFmtId="0" fontId="15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0" fillId="0" borderId="0" xfId="0" applyNumberFormat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67386251274804"/>
          <c:y val="0.0175335891806379"/>
          <c:w val="0.837354453757597"/>
          <c:h val="0.623652068990438"/>
        </c:manualLayout>
      </c:layout>
      <c:lineChart>
        <c:grouping val="standard"/>
        <c:varyColors val="0"/>
        <c:ser>
          <c:idx val="0"/>
          <c:order val="0"/>
          <c:tx>
            <c:strRef>
              <c:f>筛分!$A$31:$H$31</c:f>
              <c:strCache>
                <c:ptCount val="1"/>
                <c:pt idx="0">
                  <c:v>5 10 30 85 100 100</c:v>
                </c:pt>
              </c:strCache>
            </c:strRef>
          </c:tx>
          <c:spPr>
            <a:ln w="127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dLbls>
            <c:delete val="1"/>
          </c:dLbls>
          <c:cat>
            <c:numRef>
              <c:f>筛分!$A$30:$H$30</c:f>
              <c:numCache>
                <c:formatCode>General</c:formatCode>
                <c:ptCount val="8"/>
                <c:pt idx="0">
                  <c:v>2.36</c:v>
                </c:pt>
                <c:pt idx="1">
                  <c:v>4.75</c:v>
                </c:pt>
                <c:pt idx="2">
                  <c:v>9.5</c:v>
                </c:pt>
                <c:pt idx="3">
                  <c:v>16</c:v>
                </c:pt>
                <c:pt idx="4">
                  <c:v>19</c:v>
                </c:pt>
                <c:pt idx="5">
                  <c:v>26.5</c:v>
                </c:pt>
                <c:pt idx="6">
                  <c:v>31.5</c:v>
                </c:pt>
                <c:pt idx="7">
                  <c:v>37.5</c:v>
                </c:pt>
              </c:numCache>
            </c:numRef>
          </c:cat>
          <c:val>
            <c:numRef>
              <c:f>筛分!$A$32:$H$32</c:f>
              <c:numCache>
                <c:formatCode>General</c:formatCode>
                <c:ptCount val="8"/>
                <c:pt idx="0">
                  <c:v>1.09999999999999</c:v>
                </c:pt>
                <c:pt idx="1">
                  <c:v>6.5</c:v>
                </c:pt>
                <c:pt idx="2">
                  <c:v>17.1</c:v>
                </c:pt>
                <c:pt idx="3">
                  <c:v>35</c:v>
                </c:pt>
                <c:pt idx="4">
                  <c:v>63</c:v>
                </c:pt>
                <c:pt idx="5">
                  <c:v>88.7</c:v>
                </c:pt>
                <c:pt idx="6">
                  <c:v>99</c:v>
                </c:pt>
                <c:pt idx="7">
                  <c:v>100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筛分!$A$30:$H$30</c:f>
              <c:strCache>
                <c:ptCount val="1"/>
                <c:pt idx="0">
                  <c:v>2.36 4.75 9.5 16 19 26.5 31.5 37.5</c:v>
                </c:pt>
              </c:strCache>
            </c:strRef>
          </c:tx>
          <c:spPr>
            <a:ln w="12700" cap="rnd" cmpd="sng" algn="ctr">
              <a:solidFill>
                <a:schemeClr val="bg2">
                  <a:lumMod val="10000"/>
                </a:schemeClr>
              </a:solidFill>
              <a:prstDash val="solid"/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筛分!$A$30:$H$30</c:f>
              <c:numCache>
                <c:formatCode>General</c:formatCode>
                <c:ptCount val="8"/>
                <c:pt idx="0">
                  <c:v>2.36</c:v>
                </c:pt>
                <c:pt idx="1">
                  <c:v>4.75</c:v>
                </c:pt>
                <c:pt idx="2">
                  <c:v>9.5</c:v>
                </c:pt>
                <c:pt idx="3">
                  <c:v>16</c:v>
                </c:pt>
                <c:pt idx="4">
                  <c:v>19</c:v>
                </c:pt>
                <c:pt idx="5">
                  <c:v>26.5</c:v>
                </c:pt>
                <c:pt idx="6">
                  <c:v>31.5</c:v>
                </c:pt>
                <c:pt idx="7">
                  <c:v>37.5</c:v>
                </c:pt>
              </c:numCache>
            </c:numRef>
          </c:cat>
          <c:val>
            <c:numRef>
              <c:f>筛分!$A$31:$H$31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4">
                  <c:v>85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筛分!$A$30:$H$30</c:f>
              <c:strCache>
                <c:ptCount val="1"/>
                <c:pt idx="0">
                  <c:v>2.36 4.75 9.5 16 19 26.5 31.5 37.5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筛分!$A$30:$H$30</c:f>
              <c:numCache>
                <c:formatCode>General</c:formatCode>
                <c:ptCount val="8"/>
                <c:pt idx="0">
                  <c:v>2.36</c:v>
                </c:pt>
                <c:pt idx="1">
                  <c:v>4.75</c:v>
                </c:pt>
                <c:pt idx="2">
                  <c:v>9.5</c:v>
                </c:pt>
                <c:pt idx="3">
                  <c:v>16</c:v>
                </c:pt>
                <c:pt idx="4">
                  <c:v>19</c:v>
                </c:pt>
                <c:pt idx="5">
                  <c:v>26.5</c:v>
                </c:pt>
                <c:pt idx="6">
                  <c:v>31.5</c:v>
                </c:pt>
                <c:pt idx="7">
                  <c:v>37.5</c:v>
                </c:pt>
              </c:numCache>
            </c:numRef>
          </c:cat>
          <c:val>
            <c:numRef>
              <c:f>筛分!$A$33:$H$33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4">
                  <c:v>55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119519872"/>
        <c:axId val="120197504"/>
      </c:lineChart>
      <c:catAx>
        <c:axId val="119519872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0197504"/>
        <c:crosses val="autoZero"/>
        <c:auto val="1"/>
        <c:lblAlgn val="ctr"/>
        <c:lblOffset val="100"/>
        <c:tickLblSkip val="1"/>
        <c:noMultiLvlLbl val="0"/>
      </c:catAx>
      <c:valAx>
        <c:axId val="120197504"/>
        <c:scaling>
          <c:orientation val="minMax"/>
          <c:max val="100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9519872"/>
        <c:crosses val="autoZero"/>
        <c:crossBetween val="between"/>
        <c:minorUnit val="10"/>
      </c:valAx>
    </c:plotArea>
    <c:plotVisOnly val="1"/>
    <c:dispBlanksAs val="span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609600</xdr:colOff>
      <xdr:row>22</xdr:row>
      <xdr:rowOff>85725</xdr:rowOff>
    </xdr:from>
    <xdr:to>
      <xdr:col>7</xdr:col>
      <xdr:colOff>95250</xdr:colOff>
      <xdr:row>22</xdr:row>
      <xdr:rowOff>1628774</xdr:rowOff>
    </xdr:to>
    <xdr:graphicFrame>
      <xdr:nvGraphicFramePr>
        <xdr:cNvPr id="2049" name="图表 17"/>
        <xdr:cNvGraphicFramePr/>
      </xdr:nvGraphicFramePr>
      <xdr:xfrm>
        <a:off x="1466850" y="6905625"/>
        <a:ext cx="3081655" cy="1542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0.05711</cdr:x>
      <cdr:y>0.05774</cdr:y>
    </cdr:from>
    <cdr:to>
      <cdr:x>0.08903</cdr:x>
      <cdr:y>0.79826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403409" y="89647"/>
          <a:ext cx="223557" cy="1152381"/>
        </a:xfrm>
        <a:prstGeom prst="rect">
          <a:avLst/>
        </a:prstGeom>
      </cdr:spPr>
    </cdr:pic>
  </cdr:relSizeAnchor>
  <cdr:relSizeAnchor xmlns:cdr="http://schemas.openxmlformats.org/drawingml/2006/chartDrawing">
    <cdr:from>
      <cdr:x>0.52575</cdr:x>
      <cdr:y>0.84876</cdr:y>
    </cdr:from>
    <cdr:to>
      <cdr:x>0.64042</cdr:x>
      <cdr:y>0.97101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2"/>
        <a:stretch>
          <a:fillRect/>
        </a:stretch>
      </cdr:blipFill>
      <cdr:spPr>
        <a:xfrm>
          <a:off x="3720353" y="1311087"/>
          <a:ext cx="809524" cy="190501"/>
        </a:xfrm>
        <a:prstGeom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opLeftCell="A19" workbookViewId="0">
      <selection activeCell="B26" sqref="B26"/>
    </sheetView>
  </sheetViews>
  <sheetFormatPr defaultColWidth="9" defaultRowHeight="14"/>
  <cols>
    <col min="1" max="1" width="13.8727272727273" customWidth="1"/>
    <col min="2" max="2" width="11.1272727272727" customWidth="1"/>
    <col min="3" max="3" width="10.2545454545455" customWidth="1"/>
    <col min="4" max="4" width="10.3727272727273" customWidth="1"/>
    <col min="5" max="5" width="13.6272727272727" customWidth="1"/>
    <col min="6" max="6" width="10.6272727272727" customWidth="1"/>
    <col min="7" max="7" width="10.1272727272727" customWidth="1"/>
    <col min="8" max="8" width="10.3727272727273" customWidth="1"/>
  </cols>
  <sheetData>
    <row r="1" ht="26.25" customHeight="1" spans="1:8">
      <c r="A1" s="51" t="s">
        <v>0</v>
      </c>
      <c r="B1" s="51"/>
      <c r="C1" s="51"/>
      <c r="D1" s="51"/>
      <c r="E1" s="51"/>
      <c r="F1" s="51"/>
      <c r="G1" s="51"/>
      <c r="H1" s="51"/>
    </row>
    <row r="2" ht="23.25" customHeight="1" spans="1:8">
      <c r="A2" s="2"/>
      <c r="B2" s="2"/>
      <c r="C2" s="2"/>
      <c r="D2" s="2"/>
      <c r="E2" s="2"/>
      <c r="F2" s="2"/>
      <c r="G2" s="2"/>
      <c r="H2" s="2"/>
    </row>
    <row r="3" ht="33.75" customHeight="1" spans="1:8">
      <c r="A3" s="3" t="s">
        <v>1</v>
      </c>
      <c r="B3" s="3"/>
      <c r="C3" s="3"/>
      <c r="D3" s="3"/>
      <c r="E3" s="3" t="s">
        <v>2</v>
      </c>
      <c r="F3" s="4"/>
      <c r="G3" s="4"/>
      <c r="H3" s="4"/>
    </row>
    <row r="4" ht="33.75" customHeight="1" spans="1:8">
      <c r="A4" s="3" t="s">
        <v>3</v>
      </c>
      <c r="B4" s="3" t="s">
        <v>4</v>
      </c>
      <c r="C4" s="3"/>
      <c r="D4" s="3"/>
      <c r="E4" s="3" t="s">
        <v>5</v>
      </c>
      <c r="F4" s="3" t="s">
        <v>6</v>
      </c>
      <c r="G4" s="4"/>
      <c r="H4" s="4"/>
    </row>
    <row r="5" ht="33.75" customHeight="1" spans="1:8">
      <c r="A5" s="3" t="s">
        <v>7</v>
      </c>
      <c r="B5" s="3"/>
      <c r="C5" s="3"/>
      <c r="D5" s="3"/>
      <c r="E5" s="3" t="s">
        <v>8</v>
      </c>
      <c r="F5" s="4" t="s">
        <v>9</v>
      </c>
      <c r="G5" s="4"/>
      <c r="H5" s="4"/>
    </row>
    <row r="6" ht="33.75" customHeight="1" spans="1:8">
      <c r="A6" s="3" t="s">
        <v>10</v>
      </c>
      <c r="B6" s="3"/>
      <c r="C6" s="3"/>
      <c r="D6" s="3"/>
      <c r="E6" s="3"/>
      <c r="F6" s="3"/>
      <c r="G6" s="3"/>
      <c r="H6" s="3"/>
    </row>
    <row r="7" ht="15" spans="1:8">
      <c r="A7" s="17"/>
      <c r="B7" s="6"/>
      <c r="C7" s="6"/>
      <c r="D7" s="6"/>
      <c r="E7" s="6"/>
      <c r="F7" s="6"/>
      <c r="G7" s="6"/>
      <c r="H7" s="6"/>
    </row>
    <row r="8" ht="30.75" customHeight="1" spans="1:8">
      <c r="A8" s="3" t="s">
        <v>11</v>
      </c>
      <c r="B8" s="3"/>
      <c r="C8" s="3"/>
      <c r="D8" s="3"/>
      <c r="E8" s="3"/>
      <c r="F8" s="3"/>
      <c r="G8" s="3"/>
      <c r="H8" s="3"/>
    </row>
    <row r="9" ht="29.25" customHeight="1" spans="1:10">
      <c r="A9" s="3" t="s">
        <v>12</v>
      </c>
      <c r="B9" s="3" t="s">
        <v>13</v>
      </c>
      <c r="C9" s="3" t="s">
        <v>14</v>
      </c>
      <c r="D9" s="3" t="s">
        <v>15</v>
      </c>
      <c r="E9" s="3" t="s">
        <v>12</v>
      </c>
      <c r="F9" s="3" t="s">
        <v>13</v>
      </c>
      <c r="G9" s="3" t="s">
        <v>14</v>
      </c>
      <c r="H9" s="3" t="s">
        <v>15</v>
      </c>
      <c r="J9" s="76"/>
    </row>
    <row r="10" ht="29.25" customHeight="1" spans="1:11">
      <c r="A10" s="3" t="s">
        <v>16</v>
      </c>
      <c r="B10" s="3" t="s">
        <v>17</v>
      </c>
      <c r="C10" s="3"/>
      <c r="D10" s="3"/>
      <c r="E10" s="3" t="s">
        <v>16</v>
      </c>
      <c r="F10" s="3" t="s">
        <v>17</v>
      </c>
      <c r="G10" s="3"/>
      <c r="H10" s="3"/>
      <c r="J10" s="76"/>
      <c r="K10" s="76"/>
    </row>
    <row r="11" ht="29.25" customHeight="1" spans="1:11">
      <c r="A11" s="3">
        <v>90</v>
      </c>
      <c r="B11" s="3" t="s">
        <v>18</v>
      </c>
      <c r="C11" s="3" t="s">
        <v>18</v>
      </c>
      <c r="D11" s="3" t="s">
        <v>18</v>
      </c>
      <c r="E11" s="3">
        <v>26.5</v>
      </c>
      <c r="F11" s="79">
        <v>5.39239675525914</v>
      </c>
      <c r="G11" s="3" t="s">
        <v>19</v>
      </c>
      <c r="H11" s="3" t="s">
        <v>19</v>
      </c>
      <c r="J11" s="76"/>
      <c r="K11" s="76"/>
    </row>
    <row r="12" ht="29.25" customHeight="1" spans="1:11">
      <c r="A12" s="3">
        <v>75</v>
      </c>
      <c r="B12" s="3" t="s">
        <v>18</v>
      </c>
      <c r="C12" s="3" t="s">
        <v>18</v>
      </c>
      <c r="D12" s="3" t="s">
        <v>18</v>
      </c>
      <c r="E12" s="3">
        <v>19</v>
      </c>
      <c r="F12" s="79">
        <v>32.1604471650706</v>
      </c>
      <c r="G12" s="3">
        <v>45</v>
      </c>
      <c r="H12" s="3">
        <v>15</v>
      </c>
      <c r="J12" s="76"/>
      <c r="K12" s="76"/>
    </row>
    <row r="13" ht="29.25" customHeight="1" spans="1:11">
      <c r="A13" s="3">
        <v>63</v>
      </c>
      <c r="B13" s="3" t="s">
        <v>18</v>
      </c>
      <c r="C13" s="3" t="s">
        <v>18</v>
      </c>
      <c r="D13" s="3" t="s">
        <v>18</v>
      </c>
      <c r="E13" s="3">
        <v>16</v>
      </c>
      <c r="F13" s="79">
        <v>50.4597528020683</v>
      </c>
      <c r="G13" s="3" t="s">
        <v>19</v>
      </c>
      <c r="H13" s="3" t="s">
        <v>19</v>
      </c>
      <c r="J13" s="76"/>
      <c r="K13" s="76"/>
    </row>
    <row r="14" ht="29.25" customHeight="1" spans="1:11">
      <c r="A14" s="3">
        <v>53</v>
      </c>
      <c r="B14" s="3" t="s">
        <v>18</v>
      </c>
      <c r="C14" s="3" t="s">
        <v>18</v>
      </c>
      <c r="D14" s="3" t="s">
        <v>18</v>
      </c>
      <c r="E14" s="3">
        <v>9.5</v>
      </c>
      <c r="F14" s="79">
        <v>78.6044937821121</v>
      </c>
      <c r="G14" s="3">
        <v>90</v>
      </c>
      <c r="H14" s="3">
        <v>70</v>
      </c>
      <c r="J14" s="76"/>
      <c r="K14" s="76"/>
    </row>
    <row r="15" ht="29.25" customHeight="1" spans="1:11">
      <c r="A15" s="3">
        <v>37.5</v>
      </c>
      <c r="B15" s="3">
        <v>0</v>
      </c>
      <c r="C15" s="3">
        <v>0</v>
      </c>
      <c r="D15" s="3">
        <v>0</v>
      </c>
      <c r="E15" s="3">
        <v>4.75</v>
      </c>
      <c r="F15" s="79">
        <v>97.2913618452376</v>
      </c>
      <c r="G15" s="3">
        <v>100</v>
      </c>
      <c r="H15" s="3">
        <v>90</v>
      </c>
      <c r="J15" s="76"/>
      <c r="K15" s="76"/>
    </row>
    <row r="16" ht="29.25" customHeight="1" spans="1:11">
      <c r="A16" s="3">
        <v>31.5</v>
      </c>
      <c r="B16" s="11">
        <v>1</v>
      </c>
      <c r="C16" s="3">
        <v>5</v>
      </c>
      <c r="D16" s="3">
        <v>0</v>
      </c>
      <c r="E16" s="3">
        <v>2.36</v>
      </c>
      <c r="F16" s="79">
        <v>99.5</v>
      </c>
      <c r="G16" s="3">
        <v>100</v>
      </c>
      <c r="H16" s="3">
        <v>95</v>
      </c>
      <c r="J16" s="76"/>
      <c r="K16" s="76"/>
    </row>
    <row r="17" ht="29.25" customHeight="1" spans="1:11">
      <c r="A17" s="3" t="s">
        <v>20</v>
      </c>
      <c r="B17" s="80">
        <v>0.19</v>
      </c>
      <c r="C17" s="80"/>
      <c r="D17" s="80"/>
      <c r="E17" s="3" t="s">
        <v>21</v>
      </c>
      <c r="F17" s="80">
        <v>0.049</v>
      </c>
      <c r="G17" s="80"/>
      <c r="H17" s="80"/>
      <c r="J17" s="76"/>
      <c r="K17" s="76"/>
    </row>
    <row r="18" ht="29.25" customHeight="1" spans="1:10">
      <c r="A18" s="3" t="s">
        <v>22</v>
      </c>
      <c r="B18" s="80">
        <v>0.004</v>
      </c>
      <c r="C18" s="80"/>
      <c r="D18" s="80"/>
      <c r="E18" s="3" t="s">
        <v>23</v>
      </c>
      <c r="F18" s="3" t="s">
        <v>24</v>
      </c>
      <c r="G18" s="3"/>
      <c r="H18" s="3"/>
      <c r="J18" s="76"/>
    </row>
    <row r="19" ht="29.25" customHeight="1" spans="1:10">
      <c r="A19" s="3" t="s">
        <v>25</v>
      </c>
      <c r="B19" s="7" t="s">
        <v>18</v>
      </c>
      <c r="C19" s="8"/>
      <c r="D19" s="9"/>
      <c r="E19" s="3" t="s">
        <v>26</v>
      </c>
      <c r="F19" s="3" t="s">
        <v>27</v>
      </c>
      <c r="G19" s="3"/>
      <c r="H19" s="3"/>
      <c r="J19" s="76"/>
    </row>
    <row r="20" ht="29.25" customHeight="1" spans="1:8">
      <c r="A20" s="3" t="s">
        <v>28</v>
      </c>
      <c r="B20" s="3" t="s">
        <v>29</v>
      </c>
      <c r="C20" s="3"/>
      <c r="D20" s="3"/>
      <c r="E20" s="3" t="s">
        <v>30</v>
      </c>
      <c r="F20" s="3" t="s">
        <v>18</v>
      </c>
      <c r="G20" s="3"/>
      <c r="H20" s="3"/>
    </row>
    <row r="21" ht="86.25" customHeight="1" spans="1:8">
      <c r="A21" s="3" t="s">
        <v>31</v>
      </c>
      <c r="B21" s="81" t="s">
        <v>32</v>
      </c>
      <c r="C21" s="82"/>
      <c r="D21" s="83"/>
      <c r="E21" s="3" t="s">
        <v>33</v>
      </c>
      <c r="F21" s="7" t="s">
        <v>34</v>
      </c>
      <c r="G21" s="8"/>
      <c r="H21" s="9"/>
    </row>
    <row r="22" ht="9.75" customHeight="1" spans="1:8">
      <c r="A22" s="5"/>
      <c r="B22" s="6"/>
      <c r="C22" s="6"/>
      <c r="D22" s="6"/>
      <c r="E22" s="6"/>
      <c r="F22" s="6"/>
      <c r="G22" s="6"/>
      <c r="H22" s="6"/>
    </row>
    <row r="23" ht="47.25" customHeight="1" spans="1:8">
      <c r="A23" s="84" t="s">
        <v>35</v>
      </c>
      <c r="B23" s="17"/>
      <c r="C23" s="17"/>
      <c r="D23" s="17"/>
      <c r="E23" s="17"/>
      <c r="F23" s="17"/>
      <c r="G23" s="17"/>
      <c r="H23" s="17"/>
    </row>
  </sheetData>
  <mergeCells count="25">
    <mergeCell ref="A1:H1"/>
    <mergeCell ref="A2:H2"/>
    <mergeCell ref="B3:D3"/>
    <mergeCell ref="F3:H3"/>
    <mergeCell ref="B4:D4"/>
    <mergeCell ref="F4:H4"/>
    <mergeCell ref="B5:D5"/>
    <mergeCell ref="F5:H5"/>
    <mergeCell ref="B6:H6"/>
    <mergeCell ref="A8:H8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A23:H23"/>
    <mergeCell ref="C9:C10"/>
    <mergeCell ref="D9:D10"/>
    <mergeCell ref="G9:G10"/>
    <mergeCell ref="H9:H10"/>
  </mergeCells>
  <pageMargins left="0.579166666666667" right="0.579166666666667" top="0.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33"/>
  <sheetViews>
    <sheetView tabSelected="1" workbookViewId="0">
      <selection activeCell="A2" sqref="A2:J2"/>
    </sheetView>
  </sheetViews>
  <sheetFormatPr defaultColWidth="9" defaultRowHeight="14"/>
  <cols>
    <col min="1" max="1" width="12.5" customWidth="1"/>
    <col min="2" max="5" width="8.5" customWidth="1"/>
    <col min="6" max="9" width="8.62727272727273" customWidth="1"/>
    <col min="10" max="10" width="9.12727272727273" customWidth="1"/>
    <col min="11" max="11" width="5.75454545454545" customWidth="1"/>
    <col min="12" max="12" width="3.5" customWidth="1"/>
    <col min="13" max="13" width="9.62727272727273" customWidth="1"/>
    <col min="14" max="14" width="8.87272727272727" customWidth="1"/>
    <col min="15" max="15" width="8.12727272727273" customWidth="1"/>
    <col min="16" max="28" width="6.75454545454545" customWidth="1"/>
  </cols>
  <sheetData>
    <row r="1" ht="29.25" customHeight="1" spans="1:10">
      <c r="A1" s="65" t="s">
        <v>36</v>
      </c>
      <c r="B1" s="65"/>
      <c r="C1" s="65"/>
      <c r="D1" s="65"/>
      <c r="E1" s="65"/>
      <c r="F1" s="65"/>
      <c r="G1" s="65"/>
      <c r="H1" s="65"/>
      <c r="I1" s="65"/>
      <c r="J1" s="65"/>
    </row>
    <row r="2" ht="14.25" customHeight="1" spans="1:10">
      <c r="A2" s="66"/>
      <c r="B2" s="66"/>
      <c r="C2" s="66"/>
      <c r="D2" s="66"/>
      <c r="E2" s="66"/>
      <c r="F2" s="66"/>
      <c r="G2" s="66"/>
      <c r="H2" s="66"/>
      <c r="I2" s="66"/>
      <c r="J2" s="66"/>
    </row>
    <row r="3" ht="29.25" customHeight="1" spans="1:10">
      <c r="A3" s="3" t="s">
        <v>1</v>
      </c>
      <c r="B3" s="3">
        <f>报告!B3</f>
        <v>0</v>
      </c>
      <c r="C3" s="3"/>
      <c r="D3" s="3"/>
      <c r="E3" s="3"/>
      <c r="F3" s="3" t="s">
        <v>37</v>
      </c>
      <c r="G3" s="3"/>
      <c r="H3" s="7">
        <f>报告!F3</f>
        <v>0</v>
      </c>
      <c r="I3" s="8"/>
      <c r="J3" s="9"/>
    </row>
    <row r="4" ht="29.25" customHeight="1" spans="1:10">
      <c r="A4" s="3" t="s">
        <v>3</v>
      </c>
      <c r="B4" s="3" t="str">
        <f>报告!B4</f>
        <v>碎石(5～25)mm</v>
      </c>
      <c r="C4" s="3"/>
      <c r="D4" s="3"/>
      <c r="E4" s="3"/>
      <c r="F4" s="3" t="s">
        <v>5</v>
      </c>
      <c r="G4" s="3"/>
      <c r="H4" s="3" t="str">
        <f>报告!F4</f>
        <v>《公路工程集料试验规程》
JTG E42-2005</v>
      </c>
      <c r="I4" s="4"/>
      <c r="J4" s="4"/>
    </row>
    <row r="5" ht="29.25" customHeight="1" spans="1:10">
      <c r="A5" s="3" t="s">
        <v>7</v>
      </c>
      <c r="B5" s="3">
        <f>报告!B5</f>
        <v>0</v>
      </c>
      <c r="C5" s="3"/>
      <c r="D5" s="3"/>
      <c r="E5" s="3"/>
      <c r="F5" s="3" t="s">
        <v>8</v>
      </c>
      <c r="G5" s="3"/>
      <c r="H5" s="67">
        <v>41563</v>
      </c>
      <c r="I5" s="67"/>
      <c r="J5" s="67"/>
    </row>
    <row r="6" ht="29.25" customHeight="1" spans="1:10">
      <c r="A6" s="68" t="s">
        <v>10</v>
      </c>
      <c r="B6" s="68">
        <f>报告!B6</f>
        <v>0</v>
      </c>
      <c r="C6" s="68"/>
      <c r="D6" s="68"/>
      <c r="E6" s="68"/>
      <c r="F6" s="68"/>
      <c r="G6" s="68"/>
      <c r="H6" s="68"/>
      <c r="I6" s="68"/>
      <c r="J6" s="68"/>
    </row>
    <row r="7" ht="6.75" customHeight="1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ht="19.5" customHeight="1" spans="1:28">
      <c r="A8" s="69" t="s">
        <v>38</v>
      </c>
      <c r="B8" s="69" t="s">
        <v>39</v>
      </c>
      <c r="C8" s="69"/>
      <c r="D8" s="69"/>
      <c r="E8" s="69"/>
      <c r="F8" s="69" t="s">
        <v>40</v>
      </c>
      <c r="G8" s="69"/>
      <c r="H8" s="69"/>
      <c r="I8" s="69"/>
      <c r="J8" s="69" t="s">
        <v>41</v>
      </c>
      <c r="O8" s="74" t="s">
        <v>42</v>
      </c>
      <c r="P8" s="74" t="s">
        <v>43</v>
      </c>
      <c r="Q8" s="75" t="s">
        <v>44</v>
      </c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</row>
    <row r="9" ht="23.25" customHeight="1" spans="1:28">
      <c r="A9" s="3"/>
      <c r="B9" s="11">
        <v>4896</v>
      </c>
      <c r="C9" s="11"/>
      <c r="D9" s="11"/>
      <c r="E9" s="11"/>
      <c r="F9" s="11">
        <v>4896</v>
      </c>
      <c r="G9" s="11"/>
      <c r="H9" s="11"/>
      <c r="I9" s="11"/>
      <c r="J9" s="3"/>
      <c r="O9" s="75"/>
      <c r="P9" s="74"/>
      <c r="Q9" s="75" t="s">
        <v>45</v>
      </c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</row>
    <row r="10" ht="33.75" customHeight="1" spans="1:28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47</v>
      </c>
      <c r="G10" s="3" t="s">
        <v>48</v>
      </c>
      <c r="H10" s="3" t="s">
        <v>49</v>
      </c>
      <c r="I10" s="3" t="s">
        <v>50</v>
      </c>
      <c r="J10" s="3" t="s">
        <v>50</v>
      </c>
      <c r="O10" s="75"/>
      <c r="P10" s="74"/>
      <c r="Q10" s="75">
        <v>2.36</v>
      </c>
      <c r="R10" s="75">
        <v>4.75</v>
      </c>
      <c r="S10" s="75">
        <v>9.5</v>
      </c>
      <c r="T10" s="75">
        <v>16</v>
      </c>
      <c r="U10" s="75">
        <v>19</v>
      </c>
      <c r="V10" s="75">
        <v>26.5</v>
      </c>
      <c r="W10" s="75">
        <v>31.5</v>
      </c>
      <c r="X10" s="75">
        <v>37.5</v>
      </c>
      <c r="Y10" s="75">
        <v>53</v>
      </c>
      <c r="Z10" s="75">
        <v>63</v>
      </c>
      <c r="AA10" s="75">
        <v>75</v>
      </c>
      <c r="AB10" s="75">
        <v>90</v>
      </c>
    </row>
    <row r="11" ht="24" customHeight="1" spans="1:28">
      <c r="A11" s="3">
        <v>37.5</v>
      </c>
      <c r="B11" s="70">
        <v>0</v>
      </c>
      <c r="C11" s="70">
        <v>0</v>
      </c>
      <c r="D11" s="70">
        <f>C11</f>
        <v>0</v>
      </c>
      <c r="E11" s="70">
        <f t="shared" ref="E11" si="0">100-D11</f>
        <v>100</v>
      </c>
      <c r="F11" s="70">
        <v>0</v>
      </c>
      <c r="G11" s="70">
        <v>0</v>
      </c>
      <c r="H11" s="70">
        <f>G11</f>
        <v>0</v>
      </c>
      <c r="I11" s="70">
        <f t="shared" ref="I11:I18" si="1">100-H11</f>
        <v>100</v>
      </c>
      <c r="J11" s="11">
        <v>100</v>
      </c>
      <c r="K11" s="76"/>
      <c r="L11" s="76"/>
      <c r="M11" s="76"/>
      <c r="N11" s="76"/>
      <c r="O11" s="74" t="s">
        <v>51</v>
      </c>
      <c r="P11" s="77" t="s">
        <v>52</v>
      </c>
      <c r="Q11" s="77" t="s">
        <v>53</v>
      </c>
      <c r="R11" s="77" t="s">
        <v>54</v>
      </c>
      <c r="S11" s="77" t="s">
        <v>55</v>
      </c>
      <c r="T11" s="77">
        <v>0</v>
      </c>
      <c r="U11" s="77"/>
      <c r="V11" s="77"/>
      <c r="W11" s="77"/>
      <c r="X11" s="77"/>
      <c r="Y11" s="77"/>
      <c r="Z11" s="77"/>
      <c r="AA11" s="77"/>
      <c r="AB11" s="77"/>
    </row>
    <row r="12" ht="24" customHeight="1" spans="1:28">
      <c r="A12" s="3">
        <v>31.5</v>
      </c>
      <c r="B12" s="71">
        <v>0</v>
      </c>
      <c r="C12" s="11">
        <f t="shared" ref="C12:C19" si="2">IF((M12/0.1)-INT((M12/0.1))&lt;&gt;0.5,INT((M12/0.1)+0.5)*0.1,IF(MOD(RIGHT(INT((M12/0.1)),1),2)=0,INT((M12/0.1))*0.1,INT((M12/0.1)+0.5)*0.1))</f>
        <v>0</v>
      </c>
      <c r="D12" s="11">
        <f t="shared" ref="D12:D19" si="3">D11+C12</f>
        <v>0</v>
      </c>
      <c r="E12" s="11">
        <f t="shared" ref="E12:E18" si="4">100-D12</f>
        <v>100</v>
      </c>
      <c r="F12" s="71">
        <v>0</v>
      </c>
      <c r="G12" s="11">
        <f t="shared" ref="G12:G19" si="5">IF((N12/0.1)-INT((N12/0.1))&lt;&gt;0.5,INT((N12/0.1)+0.5)*0.1,IF(MOD(RIGHT(INT((N12/0.1)),1),2)=0,INT((N12/0.1))*0.1,INT((N12/0.1)+0.5)*0.1))</f>
        <v>0</v>
      </c>
      <c r="H12" s="11">
        <f t="shared" ref="H12:H19" si="6">H11+G12</f>
        <v>0</v>
      </c>
      <c r="I12" s="11">
        <f t="shared" si="1"/>
        <v>100</v>
      </c>
      <c r="J12" s="11">
        <v>100</v>
      </c>
      <c r="K12" s="76"/>
      <c r="L12" s="76"/>
      <c r="M12" s="12">
        <f>B12/B20*100</f>
        <v>0</v>
      </c>
      <c r="N12" s="12">
        <f>F12/F20*100</f>
        <v>0</v>
      </c>
      <c r="O12" s="75"/>
      <c r="P12" s="77" t="s">
        <v>56</v>
      </c>
      <c r="Q12" s="77" t="s">
        <v>53</v>
      </c>
      <c r="R12" s="77" t="s">
        <v>57</v>
      </c>
      <c r="S12" s="77" t="s">
        <v>58</v>
      </c>
      <c r="T12" s="77" t="s">
        <v>59</v>
      </c>
      <c r="U12" s="77">
        <v>0</v>
      </c>
      <c r="V12" s="77"/>
      <c r="W12" s="77"/>
      <c r="X12" s="77"/>
      <c r="Y12" s="77"/>
      <c r="Z12" s="77"/>
      <c r="AA12" s="77"/>
      <c r="AB12" s="77"/>
    </row>
    <row r="13" ht="24" customHeight="1" spans="1:28">
      <c r="A13" s="3">
        <v>26.5</v>
      </c>
      <c r="B13" s="60">
        <v>555</v>
      </c>
      <c r="C13" s="11">
        <f t="shared" si="2"/>
        <v>11.3</v>
      </c>
      <c r="D13" s="11">
        <f t="shared" si="3"/>
        <v>11.3</v>
      </c>
      <c r="E13" s="11">
        <f t="shared" si="4"/>
        <v>88.7</v>
      </c>
      <c r="F13" s="60">
        <v>555</v>
      </c>
      <c r="G13" s="11">
        <f t="shared" si="5"/>
        <v>11.3</v>
      </c>
      <c r="H13" s="11">
        <f t="shared" si="6"/>
        <v>11.3</v>
      </c>
      <c r="I13" s="11">
        <f t="shared" si="1"/>
        <v>88.7</v>
      </c>
      <c r="J13" s="11">
        <f t="shared" ref="J13:J18" si="7">AVERAGE(E13,I13)</f>
        <v>88.7</v>
      </c>
      <c r="K13" s="76"/>
      <c r="L13" s="76"/>
      <c r="M13" s="12">
        <f>B13/B20*100</f>
        <v>11.3357843137255</v>
      </c>
      <c r="N13" s="12">
        <f>F13/F20*100</f>
        <v>11.3357843137255</v>
      </c>
      <c r="O13" s="75"/>
      <c r="P13" s="77" t="s">
        <v>60</v>
      </c>
      <c r="Q13" s="77" t="s">
        <v>53</v>
      </c>
      <c r="R13" s="77" t="s">
        <v>61</v>
      </c>
      <c r="S13" s="77" t="s">
        <v>62</v>
      </c>
      <c r="T13" s="77"/>
      <c r="U13" s="77" t="s">
        <v>59</v>
      </c>
      <c r="V13" s="77">
        <v>0</v>
      </c>
      <c r="W13" s="77"/>
      <c r="X13" s="77"/>
      <c r="Y13" s="77"/>
      <c r="Z13" s="77"/>
      <c r="AA13" s="77"/>
      <c r="AB13" s="77"/>
    </row>
    <row r="14" ht="24" customHeight="1" spans="1:28">
      <c r="A14" s="3">
        <v>19</v>
      </c>
      <c r="B14" s="60">
        <v>1256</v>
      </c>
      <c r="C14" s="11">
        <f t="shared" si="2"/>
        <v>25.7</v>
      </c>
      <c r="D14" s="11">
        <f t="shared" si="3"/>
        <v>37</v>
      </c>
      <c r="E14" s="11">
        <f t="shared" si="4"/>
        <v>63</v>
      </c>
      <c r="F14" s="60">
        <v>1256</v>
      </c>
      <c r="G14" s="11">
        <f t="shared" si="5"/>
        <v>25.7</v>
      </c>
      <c r="H14" s="11">
        <f t="shared" si="6"/>
        <v>37</v>
      </c>
      <c r="I14" s="11">
        <f t="shared" si="1"/>
        <v>63</v>
      </c>
      <c r="J14" s="11">
        <f t="shared" si="7"/>
        <v>63</v>
      </c>
      <c r="K14" s="76"/>
      <c r="L14" s="76"/>
      <c r="M14" s="12">
        <f>B14/B20*100</f>
        <v>25.6535947712418</v>
      </c>
      <c r="N14" s="12">
        <f>F14/F20*100</f>
        <v>25.6535947712418</v>
      </c>
      <c r="O14" s="75"/>
      <c r="P14" s="77" t="s">
        <v>63</v>
      </c>
      <c r="Q14" s="77" t="s">
        <v>53</v>
      </c>
      <c r="R14" s="77" t="s">
        <v>61</v>
      </c>
      <c r="S14" s="77"/>
      <c r="T14" s="77" t="s">
        <v>64</v>
      </c>
      <c r="U14" s="77"/>
      <c r="V14" s="77" t="s">
        <v>65</v>
      </c>
      <c r="W14" s="77">
        <v>0</v>
      </c>
      <c r="X14" s="77"/>
      <c r="Y14" s="77"/>
      <c r="Z14" s="77"/>
      <c r="AA14" s="77"/>
      <c r="AB14" s="77"/>
    </row>
    <row r="15" ht="24" customHeight="1" spans="1:28">
      <c r="A15" s="3">
        <v>16</v>
      </c>
      <c r="B15" s="60">
        <v>1369</v>
      </c>
      <c r="C15" s="11">
        <f t="shared" si="2"/>
        <v>28</v>
      </c>
      <c r="D15" s="11">
        <f t="shared" si="3"/>
        <v>65</v>
      </c>
      <c r="E15" s="11">
        <f t="shared" si="4"/>
        <v>35</v>
      </c>
      <c r="F15" s="60">
        <v>1369</v>
      </c>
      <c r="G15" s="11">
        <f t="shared" si="5"/>
        <v>28</v>
      </c>
      <c r="H15" s="11">
        <f t="shared" si="6"/>
        <v>65</v>
      </c>
      <c r="I15" s="11">
        <f t="shared" si="1"/>
        <v>35</v>
      </c>
      <c r="J15" s="11">
        <f t="shared" si="7"/>
        <v>35</v>
      </c>
      <c r="K15" s="76"/>
      <c r="L15" s="76"/>
      <c r="M15" s="12">
        <f>B15/B20*100</f>
        <v>27.9616013071895</v>
      </c>
      <c r="N15" s="12">
        <f>F15/F20*100</f>
        <v>27.9616013071895</v>
      </c>
      <c r="O15" s="75"/>
      <c r="P15" s="78" t="s">
        <v>66</v>
      </c>
      <c r="Q15" s="78" t="s">
        <v>53</v>
      </c>
      <c r="R15" s="78" t="s">
        <v>61</v>
      </c>
      <c r="S15" s="78" t="s">
        <v>67</v>
      </c>
      <c r="T15" s="78"/>
      <c r="U15" s="78" t="s">
        <v>68</v>
      </c>
      <c r="V15" s="78"/>
      <c r="W15" s="78" t="s">
        <v>65</v>
      </c>
      <c r="X15" s="78">
        <v>0</v>
      </c>
      <c r="Y15" s="78"/>
      <c r="Z15" s="78"/>
      <c r="AA15" s="78"/>
      <c r="AB15" s="78"/>
    </row>
    <row r="16" ht="24" customHeight="1" spans="1:28">
      <c r="A16" s="3">
        <v>9.5</v>
      </c>
      <c r="B16" s="60">
        <v>876</v>
      </c>
      <c r="C16" s="11">
        <f t="shared" si="2"/>
        <v>17.9</v>
      </c>
      <c r="D16" s="11">
        <f t="shared" si="3"/>
        <v>82.9</v>
      </c>
      <c r="E16" s="11">
        <f t="shared" si="4"/>
        <v>17.1</v>
      </c>
      <c r="F16" s="60">
        <v>876</v>
      </c>
      <c r="G16" s="11">
        <f t="shared" si="5"/>
        <v>17.9</v>
      </c>
      <c r="H16" s="11">
        <f t="shared" si="6"/>
        <v>82.9</v>
      </c>
      <c r="I16" s="11">
        <f t="shared" si="1"/>
        <v>17.1</v>
      </c>
      <c r="J16" s="11">
        <f t="shared" si="7"/>
        <v>17.1</v>
      </c>
      <c r="K16" s="76"/>
      <c r="L16" s="76"/>
      <c r="M16" s="12">
        <f>B16/B20*100</f>
        <v>17.8921568627451</v>
      </c>
      <c r="N16" s="12">
        <f>F16/F20*100</f>
        <v>17.8921568627451</v>
      </c>
      <c r="O16" s="75"/>
      <c r="P16" s="77" t="s">
        <v>69</v>
      </c>
      <c r="Q16" s="77"/>
      <c r="R16" s="77" t="s">
        <v>53</v>
      </c>
      <c r="S16" s="77" t="s">
        <v>67</v>
      </c>
      <c r="T16" s="77"/>
      <c r="U16" s="77" t="s">
        <v>70</v>
      </c>
      <c r="V16" s="77"/>
      <c r="W16" s="77"/>
      <c r="X16" s="77" t="s">
        <v>65</v>
      </c>
      <c r="Y16" s="77">
        <v>0</v>
      </c>
      <c r="Z16" s="77"/>
      <c r="AA16" s="77"/>
      <c r="AB16" s="77"/>
    </row>
    <row r="17" ht="24" customHeight="1" spans="1:28">
      <c r="A17" s="3">
        <v>4.75</v>
      </c>
      <c r="B17" s="60">
        <v>520</v>
      </c>
      <c r="C17" s="11">
        <f t="shared" si="2"/>
        <v>10.6</v>
      </c>
      <c r="D17" s="11">
        <f t="shared" si="3"/>
        <v>93.5</v>
      </c>
      <c r="E17" s="11">
        <f t="shared" si="4"/>
        <v>6.5</v>
      </c>
      <c r="F17" s="60">
        <v>520</v>
      </c>
      <c r="G17" s="11">
        <f t="shared" si="5"/>
        <v>10.6</v>
      </c>
      <c r="H17" s="11">
        <f t="shared" si="6"/>
        <v>93.5</v>
      </c>
      <c r="I17" s="11">
        <f t="shared" si="1"/>
        <v>6.5</v>
      </c>
      <c r="J17" s="11">
        <f t="shared" si="7"/>
        <v>6.5</v>
      </c>
      <c r="K17" s="76"/>
      <c r="L17" s="76"/>
      <c r="M17" s="12">
        <f>B17/B20*100</f>
        <v>10.6209150326797</v>
      </c>
      <c r="N17" s="12">
        <f>F17/F20*100</f>
        <v>10.6209150326797</v>
      </c>
      <c r="O17" s="74" t="s">
        <v>71</v>
      </c>
      <c r="P17" s="77" t="s">
        <v>72</v>
      </c>
      <c r="Q17" s="77"/>
      <c r="R17" s="77" t="s">
        <v>53</v>
      </c>
      <c r="S17" s="77" t="s">
        <v>57</v>
      </c>
      <c r="T17" s="77"/>
      <c r="U17" s="77" t="s">
        <v>55</v>
      </c>
      <c r="V17" s="77">
        <v>0</v>
      </c>
      <c r="W17" s="77"/>
      <c r="X17" s="77"/>
      <c r="Y17" s="77"/>
      <c r="Z17" s="77"/>
      <c r="AA17" s="77"/>
      <c r="AB17" s="77"/>
    </row>
    <row r="18" ht="24" customHeight="1" spans="1:28">
      <c r="A18" s="3">
        <v>2.36</v>
      </c>
      <c r="B18" s="60">
        <v>265</v>
      </c>
      <c r="C18" s="11">
        <f t="shared" si="2"/>
        <v>5.4</v>
      </c>
      <c r="D18" s="11">
        <f t="shared" si="3"/>
        <v>98.9</v>
      </c>
      <c r="E18" s="11">
        <f t="shared" si="4"/>
        <v>1.09999999999999</v>
      </c>
      <c r="F18" s="60">
        <v>265</v>
      </c>
      <c r="G18" s="11">
        <f t="shared" si="5"/>
        <v>5.4</v>
      </c>
      <c r="H18" s="11">
        <f t="shared" si="6"/>
        <v>98.9</v>
      </c>
      <c r="I18" s="11">
        <f t="shared" si="1"/>
        <v>1.09999999999999</v>
      </c>
      <c r="J18" s="11">
        <f t="shared" si="7"/>
        <v>1.09999999999999</v>
      </c>
      <c r="K18" s="76"/>
      <c r="L18" s="76"/>
      <c r="M18" s="12">
        <f>B18/B20*100</f>
        <v>5.41258169934641</v>
      </c>
      <c r="N18" s="12">
        <f>F18/F20*100</f>
        <v>5.41258169934641</v>
      </c>
      <c r="O18" s="75"/>
      <c r="P18" s="77" t="s">
        <v>73</v>
      </c>
      <c r="Q18" s="77"/>
      <c r="R18" s="77" t="s">
        <v>53</v>
      </c>
      <c r="S18" s="77"/>
      <c r="T18" s="77" t="s">
        <v>57</v>
      </c>
      <c r="U18" s="77"/>
      <c r="V18" s="77"/>
      <c r="W18" s="77" t="s">
        <v>59</v>
      </c>
      <c r="X18" s="77">
        <v>0</v>
      </c>
      <c r="Y18" s="77"/>
      <c r="Z18" s="77"/>
      <c r="AA18" s="77"/>
      <c r="AB18" s="77"/>
    </row>
    <row r="19" ht="24" customHeight="1" spans="1:28">
      <c r="A19" s="3" t="s">
        <v>74</v>
      </c>
      <c r="B19" s="60">
        <v>55</v>
      </c>
      <c r="C19" s="11">
        <f t="shared" si="2"/>
        <v>1.1</v>
      </c>
      <c r="D19" s="11">
        <f t="shared" si="3"/>
        <v>100</v>
      </c>
      <c r="E19" s="11"/>
      <c r="F19" s="60">
        <v>55</v>
      </c>
      <c r="G19" s="11">
        <f t="shared" si="5"/>
        <v>1.1</v>
      </c>
      <c r="H19" s="11">
        <f t="shared" si="6"/>
        <v>100</v>
      </c>
      <c r="I19" s="11"/>
      <c r="J19" s="11"/>
      <c r="M19" s="12">
        <f>B19/B20*100</f>
        <v>1.1233660130719</v>
      </c>
      <c r="N19" s="12">
        <f>F19/F20*100</f>
        <v>1.1233660130719</v>
      </c>
      <c r="O19" s="75"/>
      <c r="P19" s="77" t="s">
        <v>75</v>
      </c>
      <c r="Q19" s="77"/>
      <c r="R19" s="77"/>
      <c r="S19" s="77" t="s">
        <v>53</v>
      </c>
      <c r="T19" s="77"/>
      <c r="U19" s="77" t="s">
        <v>54</v>
      </c>
      <c r="V19" s="77"/>
      <c r="W19" s="77"/>
      <c r="X19" s="77" t="s">
        <v>59</v>
      </c>
      <c r="Y19" s="77">
        <v>0</v>
      </c>
      <c r="Z19" s="77"/>
      <c r="AA19" s="77"/>
      <c r="AB19" s="77"/>
    </row>
    <row r="20" ht="29.25" customHeight="1" spans="1:28">
      <c r="A20" s="43" t="s">
        <v>76</v>
      </c>
      <c r="B20" s="48">
        <f>SUM(B11:B19)</f>
        <v>4896</v>
      </c>
      <c r="C20" s="48"/>
      <c r="D20" s="48"/>
      <c r="E20" s="48"/>
      <c r="F20" s="48">
        <f>SUM(F11:F19)</f>
        <v>4896</v>
      </c>
      <c r="G20" s="48"/>
      <c r="H20" s="48"/>
      <c r="I20" s="48"/>
      <c r="J20" s="48"/>
      <c r="O20" s="75"/>
      <c r="P20" s="77" t="s">
        <v>77</v>
      </c>
      <c r="Q20" s="77"/>
      <c r="R20" s="77"/>
      <c r="S20" s="77"/>
      <c r="T20" s="77" t="s">
        <v>53</v>
      </c>
      <c r="U20" s="77"/>
      <c r="V20" s="77"/>
      <c r="W20" s="77" t="s">
        <v>78</v>
      </c>
      <c r="X20" s="77" t="s">
        <v>79</v>
      </c>
      <c r="Y20" s="77"/>
      <c r="Z20" s="77" t="s">
        <v>59</v>
      </c>
      <c r="AA20" s="77">
        <v>0</v>
      </c>
      <c r="AB20" s="77"/>
    </row>
    <row r="21" ht="24" customHeight="1" spans="1:28">
      <c r="A21" s="3" t="s">
        <v>80</v>
      </c>
      <c r="B21" s="48">
        <f>B9-B20</f>
        <v>0</v>
      </c>
      <c r="C21" s="48"/>
      <c r="D21" s="48"/>
      <c r="E21" s="48"/>
      <c r="F21" s="48">
        <f>F9-F20</f>
        <v>0</v>
      </c>
      <c r="G21" s="48"/>
      <c r="H21" s="48"/>
      <c r="I21" s="48"/>
      <c r="J21" s="48"/>
      <c r="O21" s="75"/>
      <c r="P21" s="77" t="s">
        <v>62</v>
      </c>
      <c r="Q21" s="77"/>
      <c r="R21" s="77"/>
      <c r="S21" s="77"/>
      <c r="T21" s="77"/>
      <c r="U21" s="77" t="s">
        <v>53</v>
      </c>
      <c r="V21" s="77"/>
      <c r="W21" s="77"/>
      <c r="X21" s="77" t="s">
        <v>81</v>
      </c>
      <c r="Y21" s="77"/>
      <c r="Z21" s="77" t="s">
        <v>58</v>
      </c>
      <c r="AA21" s="77" t="s">
        <v>59</v>
      </c>
      <c r="AB21" s="77">
        <v>0</v>
      </c>
    </row>
    <row r="22" ht="24" customHeight="1" spans="1:15">
      <c r="A22" s="3" t="s">
        <v>82</v>
      </c>
      <c r="B22" s="14">
        <f>B21/B9*100</f>
        <v>0</v>
      </c>
      <c r="C22" s="14"/>
      <c r="D22" s="14"/>
      <c r="E22" s="14"/>
      <c r="F22" s="14">
        <f>F21/F9*100</f>
        <v>0</v>
      </c>
      <c r="G22" s="14"/>
      <c r="H22" s="14"/>
      <c r="I22" s="14"/>
      <c r="J22" s="14"/>
      <c r="O22">
        <v>127</v>
      </c>
    </row>
    <row r="23" ht="129.75" customHeight="1" spans="1:10">
      <c r="A23" s="72"/>
      <c r="B23" s="72"/>
      <c r="C23" s="72"/>
      <c r="D23" s="72"/>
      <c r="E23" s="72"/>
      <c r="F23" s="72"/>
      <c r="G23" s="72"/>
      <c r="H23" s="72"/>
      <c r="I23" s="72"/>
      <c r="J23" s="72"/>
    </row>
    <row r="24" ht="57" customHeight="1" spans="1:10">
      <c r="A24" s="3" t="s">
        <v>31</v>
      </c>
      <c r="B24" s="3" t="s">
        <v>18</v>
      </c>
      <c r="C24" s="3"/>
      <c r="D24" s="3"/>
      <c r="E24" s="3"/>
      <c r="F24" s="3"/>
      <c r="G24" s="3"/>
      <c r="H24" s="3"/>
      <c r="I24" s="3"/>
      <c r="J24" s="3"/>
    </row>
    <row r="25" ht="50.25" customHeight="1" spans="1:10">
      <c r="A25" s="3" t="s">
        <v>33</v>
      </c>
      <c r="B25" s="3" t="s">
        <v>18</v>
      </c>
      <c r="C25" s="3"/>
      <c r="D25" s="3"/>
      <c r="E25" s="3"/>
      <c r="F25" s="3"/>
      <c r="G25" s="3"/>
      <c r="H25" s="3"/>
      <c r="I25" s="3"/>
      <c r="J25" s="3"/>
    </row>
    <row r="26" ht="6.75" customHeight="1" spans="1:10">
      <c r="A26" s="50"/>
      <c r="B26" s="50"/>
      <c r="C26" s="50"/>
      <c r="D26" s="50"/>
      <c r="E26" s="50"/>
      <c r="F26" s="50"/>
      <c r="G26" s="50"/>
      <c r="H26" s="50"/>
      <c r="I26" s="50"/>
      <c r="J26" s="50"/>
    </row>
    <row r="27" ht="17.25" customHeight="1" spans="1:10">
      <c r="A27" s="17" t="s">
        <v>83</v>
      </c>
      <c r="B27" s="17"/>
      <c r="C27" s="17"/>
      <c r="D27" s="17"/>
      <c r="E27" s="17"/>
      <c r="F27" s="17"/>
      <c r="G27" s="17"/>
      <c r="H27" s="17"/>
      <c r="I27" s="17"/>
      <c r="J27" s="17"/>
    </row>
    <row r="30" spans="1:8">
      <c r="A30">
        <v>2.36</v>
      </c>
      <c r="B30">
        <v>4.75</v>
      </c>
      <c r="C30">
        <v>9.5</v>
      </c>
      <c r="D30">
        <v>16</v>
      </c>
      <c r="E30">
        <v>19</v>
      </c>
      <c r="F30">
        <v>26.5</v>
      </c>
      <c r="G30">
        <v>31.5</v>
      </c>
      <c r="H30">
        <v>37.5</v>
      </c>
    </row>
    <row r="31" spans="1:8">
      <c r="A31">
        <v>5</v>
      </c>
      <c r="B31">
        <v>10</v>
      </c>
      <c r="C31">
        <v>30</v>
      </c>
      <c r="E31">
        <v>85</v>
      </c>
      <c r="G31">
        <v>100</v>
      </c>
      <c r="H31">
        <v>100</v>
      </c>
    </row>
    <row r="32" spans="1:8">
      <c r="A32" s="73">
        <f>J18</f>
        <v>1.09999999999999</v>
      </c>
      <c r="B32" s="73">
        <f>J17</f>
        <v>6.5</v>
      </c>
      <c r="C32" s="73">
        <f>J16</f>
        <v>17.1</v>
      </c>
      <c r="D32" s="73">
        <f>J15</f>
        <v>35</v>
      </c>
      <c r="E32" s="73">
        <f>J14</f>
        <v>63</v>
      </c>
      <c r="F32" s="73">
        <f>J13</f>
        <v>88.7</v>
      </c>
      <c r="G32" s="73">
        <v>99</v>
      </c>
      <c r="H32" s="73">
        <f>J11</f>
        <v>100</v>
      </c>
    </row>
    <row r="33" spans="1:8">
      <c r="A33">
        <v>0</v>
      </c>
      <c r="B33">
        <v>0</v>
      </c>
      <c r="C33">
        <v>10</v>
      </c>
      <c r="E33">
        <v>55</v>
      </c>
      <c r="G33">
        <v>95</v>
      </c>
      <c r="H33">
        <v>100</v>
      </c>
    </row>
  </sheetData>
  <mergeCells count="29">
    <mergeCell ref="A1:J1"/>
    <mergeCell ref="A2:J2"/>
    <mergeCell ref="B3:E3"/>
    <mergeCell ref="F3:G3"/>
    <mergeCell ref="H3:J3"/>
    <mergeCell ref="B4:E4"/>
    <mergeCell ref="F4:G4"/>
    <mergeCell ref="H4:J4"/>
    <mergeCell ref="B5:E5"/>
    <mergeCell ref="F5:G5"/>
    <mergeCell ref="H5:J5"/>
    <mergeCell ref="B6:J6"/>
    <mergeCell ref="A7:J7"/>
    <mergeCell ref="B8:E8"/>
    <mergeCell ref="F8:I8"/>
    <mergeCell ref="Q8:AB8"/>
    <mergeCell ref="B9:E9"/>
    <mergeCell ref="F9:I9"/>
    <mergeCell ref="Q9:AB9"/>
    <mergeCell ref="A23:J23"/>
    <mergeCell ref="B24:J24"/>
    <mergeCell ref="B25:J25"/>
    <mergeCell ref="A27:J27"/>
    <mergeCell ref="A8:A9"/>
    <mergeCell ref="J8:J9"/>
    <mergeCell ref="O8:O10"/>
    <mergeCell ref="O11:O16"/>
    <mergeCell ref="O17:O21"/>
    <mergeCell ref="P8:P10"/>
  </mergeCells>
  <pageMargins left="0.438888888888889" right="0.5" top="0.3" bottom="0.259027777777778" header="0.229166666666667" footer="0.238888888888889"/>
  <pageSetup paperSize="9" orientation="portrait" horizontalDpi="2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M20"/>
  <sheetViews>
    <sheetView workbookViewId="0">
      <selection activeCell="A2" sqref="A2:F2"/>
    </sheetView>
  </sheetViews>
  <sheetFormatPr defaultColWidth="9" defaultRowHeight="14"/>
  <cols>
    <col min="1" max="1" width="15.3727272727273" customWidth="1"/>
    <col min="2" max="2" width="6.12727272727273" customWidth="1"/>
    <col min="3" max="3" width="23.5" customWidth="1"/>
    <col min="4" max="4" width="16" customWidth="1"/>
    <col min="5" max="5" width="7.75454545454545" customWidth="1"/>
    <col min="6" max="6" width="21.5" customWidth="1"/>
  </cols>
  <sheetData>
    <row r="1" ht="33.75" customHeight="1" spans="1:6">
      <c r="A1" s="51" t="s">
        <v>84</v>
      </c>
      <c r="B1" s="51"/>
      <c r="C1" s="51"/>
      <c r="D1" s="51"/>
      <c r="E1" s="51"/>
      <c r="F1" s="51"/>
    </row>
    <row r="2" ht="26.25" customHeight="1" spans="1:6">
      <c r="A2" s="57"/>
      <c r="B2" s="58"/>
      <c r="C2" s="58"/>
      <c r="D2" s="58"/>
      <c r="E2" s="58"/>
      <c r="F2" s="58"/>
    </row>
    <row r="3" ht="33.75" customHeight="1" spans="1:6">
      <c r="A3" s="3" t="s">
        <v>1</v>
      </c>
      <c r="B3" s="3">
        <f>报告!B3</f>
        <v>0</v>
      </c>
      <c r="C3" s="3"/>
      <c r="D3" s="3" t="s">
        <v>2</v>
      </c>
      <c r="E3" s="3">
        <f>报告!F3</f>
        <v>0</v>
      </c>
      <c r="F3" s="3"/>
    </row>
    <row r="4" ht="33.75" customHeight="1" spans="1:6">
      <c r="A4" s="3" t="s">
        <v>3</v>
      </c>
      <c r="B4" s="3" t="str">
        <f>报告!B4</f>
        <v>碎石(5～25)mm</v>
      </c>
      <c r="C4" s="3"/>
      <c r="D4" s="3" t="s">
        <v>5</v>
      </c>
      <c r="E4" s="3" t="str">
        <f>报告!F4</f>
        <v>《公路工程集料试验规程》
JTG E42-2005</v>
      </c>
      <c r="F4" s="3"/>
    </row>
    <row r="5" ht="33.75" customHeight="1" spans="1:6">
      <c r="A5" s="3" t="s">
        <v>7</v>
      </c>
      <c r="B5" s="3">
        <f>报告!B5</f>
        <v>0</v>
      </c>
      <c r="C5" s="3"/>
      <c r="D5" s="3" t="s">
        <v>8</v>
      </c>
      <c r="E5" s="52">
        <v>41169</v>
      </c>
      <c r="F5" s="52"/>
    </row>
    <row r="6" ht="33.75" customHeight="1" spans="1:6">
      <c r="A6" s="3" t="s">
        <v>10</v>
      </c>
      <c r="B6" s="3">
        <f>报告!B6</f>
        <v>0</v>
      </c>
      <c r="C6" s="3"/>
      <c r="D6" s="3"/>
      <c r="E6" s="3"/>
      <c r="F6" s="3"/>
    </row>
    <row r="7" ht="15" spans="1:13">
      <c r="A7" s="5"/>
      <c r="B7" s="5"/>
      <c r="C7" s="6"/>
      <c r="D7" s="6"/>
      <c r="E7" s="6"/>
      <c r="F7" s="6"/>
      <c r="H7" s="59"/>
      <c r="I7" s="59"/>
      <c r="J7" s="59"/>
      <c r="K7" s="59"/>
      <c r="L7" s="59"/>
      <c r="M7" s="59"/>
    </row>
    <row r="8" ht="51.75" customHeight="1" spans="1:13">
      <c r="A8" s="3" t="s">
        <v>85</v>
      </c>
      <c r="B8" s="3"/>
      <c r="C8" s="3" t="s">
        <v>86</v>
      </c>
      <c r="D8" s="3" t="s">
        <v>87</v>
      </c>
      <c r="E8" s="3"/>
      <c r="F8" s="3" t="s">
        <v>88</v>
      </c>
      <c r="H8" s="59"/>
      <c r="I8" s="59"/>
      <c r="J8" s="59"/>
      <c r="K8" s="59"/>
      <c r="L8" s="59"/>
      <c r="M8" s="59"/>
    </row>
    <row r="9" ht="33" customHeight="1" spans="1:13">
      <c r="A9" s="3" t="s">
        <v>89</v>
      </c>
      <c r="B9" s="3"/>
      <c r="C9" s="60">
        <v>701</v>
      </c>
      <c r="D9" s="11">
        <v>35</v>
      </c>
      <c r="E9" s="11"/>
      <c r="F9" s="11">
        <v>33</v>
      </c>
      <c r="H9" s="61">
        <v>76</v>
      </c>
      <c r="I9" s="49"/>
      <c r="J9" s="59"/>
      <c r="K9" s="62"/>
      <c r="L9" s="59"/>
      <c r="M9" s="59"/>
    </row>
    <row r="10" ht="33" customHeight="1" spans="1:13">
      <c r="A10" s="3" t="s">
        <v>90</v>
      </c>
      <c r="B10" s="3"/>
      <c r="C10" s="60">
        <v>1231</v>
      </c>
      <c r="D10" s="11">
        <v>50</v>
      </c>
      <c r="E10" s="11"/>
      <c r="F10" s="11">
        <v>45</v>
      </c>
      <c r="H10" s="61">
        <v>193.5</v>
      </c>
      <c r="I10" s="49"/>
      <c r="J10" s="59"/>
      <c r="K10" s="62"/>
      <c r="L10" s="59"/>
      <c r="M10" s="59"/>
    </row>
    <row r="11" ht="33" customHeight="1" spans="1:13">
      <c r="A11" s="3" t="s">
        <v>91</v>
      </c>
      <c r="B11" s="3"/>
      <c r="C11" s="60">
        <v>1305</v>
      </c>
      <c r="D11" s="11">
        <v>56</v>
      </c>
      <c r="E11" s="11"/>
      <c r="F11" s="11">
        <v>51</v>
      </c>
      <c r="H11" s="61">
        <v>1347.5</v>
      </c>
      <c r="I11" s="49"/>
      <c r="J11" s="59"/>
      <c r="K11" s="62"/>
      <c r="L11" s="59"/>
      <c r="M11" s="59"/>
    </row>
    <row r="12" ht="33" customHeight="1" spans="1:13">
      <c r="A12" s="3" t="s">
        <v>92</v>
      </c>
      <c r="B12" s="3"/>
      <c r="C12" s="60">
        <v>1197</v>
      </c>
      <c r="D12" s="11">
        <v>66</v>
      </c>
      <c r="E12" s="11"/>
      <c r="F12" s="11">
        <v>62</v>
      </c>
      <c r="H12" s="61">
        <v>919.5</v>
      </c>
      <c r="I12" s="49"/>
      <c r="J12" s="59"/>
      <c r="K12" s="62"/>
      <c r="L12" s="59"/>
      <c r="M12" s="59"/>
    </row>
    <row r="13" ht="33" customHeight="1" spans="1:13">
      <c r="A13" s="3" t="s">
        <v>93</v>
      </c>
      <c r="B13" s="3"/>
      <c r="C13" s="11">
        <v>576</v>
      </c>
      <c r="D13" s="11">
        <v>63</v>
      </c>
      <c r="E13" s="11"/>
      <c r="F13" s="11">
        <v>61</v>
      </c>
      <c r="H13" s="61">
        <v>1415</v>
      </c>
      <c r="I13" s="49"/>
      <c r="J13" s="59"/>
      <c r="K13" s="62"/>
      <c r="L13" s="59"/>
      <c r="M13" s="59"/>
    </row>
    <row r="14" ht="33" customHeight="1" spans="1:13">
      <c r="A14" s="3" t="s">
        <v>94</v>
      </c>
      <c r="B14" s="3"/>
      <c r="C14" s="11">
        <v>0</v>
      </c>
      <c r="D14" s="11">
        <v>0</v>
      </c>
      <c r="E14" s="11"/>
      <c r="F14" s="11">
        <v>0</v>
      </c>
      <c r="H14" s="61">
        <v>947.5</v>
      </c>
      <c r="I14" s="49"/>
      <c r="J14" s="59"/>
      <c r="K14" s="62"/>
      <c r="L14" s="59"/>
      <c r="M14" s="59"/>
    </row>
    <row r="15" ht="33" customHeight="1" spans="1:13">
      <c r="A15" s="3" t="s">
        <v>95</v>
      </c>
      <c r="B15" s="3"/>
      <c r="C15" s="11">
        <v>5174</v>
      </c>
      <c r="D15" s="11"/>
      <c r="E15" s="11"/>
      <c r="F15" s="11"/>
      <c r="H15" s="61"/>
      <c r="I15" s="49"/>
      <c r="J15" s="59"/>
      <c r="K15" s="59"/>
      <c r="L15" s="59"/>
      <c r="M15" s="59"/>
    </row>
    <row r="16" ht="33" customHeight="1" spans="1:13">
      <c r="A16" s="3" t="s">
        <v>96</v>
      </c>
      <c r="B16" s="3"/>
      <c r="C16" s="11">
        <f>SUM(D9:F14)</f>
        <v>522</v>
      </c>
      <c r="D16" s="11"/>
      <c r="E16" s="11"/>
      <c r="F16" s="11"/>
      <c r="H16" s="61"/>
      <c r="I16" s="63"/>
      <c r="J16" s="59"/>
      <c r="K16" s="59"/>
      <c r="L16" s="59"/>
      <c r="M16" s="59"/>
    </row>
    <row r="17" ht="33" customHeight="1" spans="1:9">
      <c r="A17" s="3" t="s">
        <v>97</v>
      </c>
      <c r="B17" s="3"/>
      <c r="C17" s="11">
        <f>C16/C15*100</f>
        <v>10.0889060688056</v>
      </c>
      <c r="D17" s="11"/>
      <c r="E17" s="11"/>
      <c r="F17" s="11"/>
      <c r="I17" s="64"/>
    </row>
    <row r="18" ht="69.75" customHeight="1" spans="1:9">
      <c r="A18" s="3" t="s">
        <v>31</v>
      </c>
      <c r="B18" s="3"/>
      <c r="C18" s="3" t="s">
        <v>18</v>
      </c>
      <c r="D18" s="3"/>
      <c r="E18" s="3"/>
      <c r="F18" s="3"/>
      <c r="I18" s="64"/>
    </row>
    <row r="19" ht="69.75" customHeight="1" spans="1:9">
      <c r="A19" s="3" t="s">
        <v>33</v>
      </c>
      <c r="B19" s="3"/>
      <c r="C19" s="3" t="s">
        <v>18</v>
      </c>
      <c r="D19" s="3"/>
      <c r="E19" s="3"/>
      <c r="F19" s="3"/>
      <c r="I19" s="64"/>
    </row>
    <row r="20" ht="23.25" customHeight="1" spans="1:6">
      <c r="A20" s="54" t="s">
        <v>98</v>
      </c>
      <c r="B20" s="54"/>
      <c r="C20" s="54"/>
      <c r="D20" s="54"/>
      <c r="E20" s="54"/>
      <c r="F20" s="54"/>
    </row>
  </sheetData>
  <mergeCells count="34">
    <mergeCell ref="A1:F1"/>
    <mergeCell ref="A2:F2"/>
    <mergeCell ref="B3:C3"/>
    <mergeCell ref="E3:F3"/>
    <mergeCell ref="B4:C4"/>
    <mergeCell ref="E4:F4"/>
    <mergeCell ref="B5:C5"/>
    <mergeCell ref="E5:F5"/>
    <mergeCell ref="B6:F6"/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D12:E12"/>
    <mergeCell ref="A13:B13"/>
    <mergeCell ref="D13:E13"/>
    <mergeCell ref="A14:B14"/>
    <mergeCell ref="D14:E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F20"/>
  </mergeCells>
  <pageMargins left="0.51875" right="0.388888888888889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20"/>
  <sheetViews>
    <sheetView workbookViewId="0">
      <selection activeCell="A2" sqref="A2:H2"/>
    </sheetView>
  </sheetViews>
  <sheetFormatPr defaultColWidth="9" defaultRowHeight="14"/>
  <cols>
    <col min="1" max="1" width="12" customWidth="1"/>
    <col min="2" max="2" width="5" customWidth="1"/>
    <col min="3" max="3" width="15" customWidth="1"/>
    <col min="4" max="4" width="14.6272727272727" customWidth="1"/>
    <col min="5" max="5" width="6.5" customWidth="1"/>
    <col min="6" max="6" width="12.1272727272727" customWidth="1"/>
    <col min="8" max="8" width="20.2545454545455" customWidth="1"/>
  </cols>
  <sheetData>
    <row r="1" ht="33.75" customHeight="1" spans="1:8">
      <c r="A1" s="51" t="s">
        <v>99</v>
      </c>
      <c r="B1" s="51"/>
      <c r="C1" s="51"/>
      <c r="D1" s="51"/>
      <c r="E1" s="51"/>
      <c r="F1" s="51"/>
      <c r="G1" s="51"/>
      <c r="H1" s="51"/>
    </row>
    <row r="2" ht="23.25" customHeight="1" spans="1:8">
      <c r="A2" s="2"/>
      <c r="B2" s="2"/>
      <c r="C2" s="2"/>
      <c r="D2" s="2"/>
      <c r="E2" s="2"/>
      <c r="F2" s="2"/>
      <c r="G2" s="2"/>
      <c r="H2" s="2"/>
    </row>
    <row r="3" ht="33" customHeight="1" spans="1:8">
      <c r="A3" s="3" t="s">
        <v>1</v>
      </c>
      <c r="B3" s="3"/>
      <c r="C3" s="3">
        <f>报告!B3</f>
        <v>0</v>
      </c>
      <c r="D3" s="3"/>
      <c r="E3" s="3" t="s">
        <v>2</v>
      </c>
      <c r="F3" s="3"/>
      <c r="G3" s="3">
        <f>报告!F3</f>
        <v>0</v>
      </c>
      <c r="H3" s="3"/>
    </row>
    <row r="4" ht="33" customHeight="1" spans="1:8">
      <c r="A4" s="3" t="s">
        <v>3</v>
      </c>
      <c r="B4" s="3"/>
      <c r="C4" s="3" t="str">
        <f>报告!B4</f>
        <v>碎石(5～25)mm</v>
      </c>
      <c r="D4" s="3"/>
      <c r="E4" s="3" t="s">
        <v>5</v>
      </c>
      <c r="F4" s="3"/>
      <c r="G4" s="3" t="str">
        <f>报告!F4</f>
        <v>《公路工程集料试验规程》
JTG E42-2005</v>
      </c>
      <c r="H4" s="3"/>
    </row>
    <row r="5" ht="33" customHeight="1" spans="1:8">
      <c r="A5" s="3" t="s">
        <v>7</v>
      </c>
      <c r="B5" s="3"/>
      <c r="C5" s="3">
        <f>报告!B5</f>
        <v>0</v>
      </c>
      <c r="D5" s="3"/>
      <c r="E5" s="3" t="s">
        <v>8</v>
      </c>
      <c r="F5" s="3"/>
      <c r="G5" s="52">
        <v>41568</v>
      </c>
      <c r="H5" s="52"/>
    </row>
    <row r="6" ht="33" customHeight="1" spans="1:8">
      <c r="A6" s="3" t="s">
        <v>10</v>
      </c>
      <c r="B6" s="3"/>
      <c r="C6" s="7">
        <f>报告!B6</f>
        <v>0</v>
      </c>
      <c r="D6" s="8"/>
      <c r="E6" s="8"/>
      <c r="F6" s="8"/>
      <c r="G6" s="8"/>
      <c r="H6" s="9"/>
    </row>
    <row r="7" ht="15" spans="1:8">
      <c r="A7" s="17"/>
      <c r="B7" s="17"/>
      <c r="C7" s="6"/>
      <c r="D7" s="6"/>
      <c r="E7" s="6"/>
      <c r="F7" s="6"/>
      <c r="G7" s="6"/>
      <c r="H7" s="6"/>
    </row>
    <row r="8" ht="36.75" customHeight="1" spans="1:8">
      <c r="A8" s="3" t="s">
        <v>100</v>
      </c>
      <c r="B8" s="3" t="s">
        <v>101</v>
      </c>
      <c r="C8" s="3"/>
      <c r="D8" s="3" t="s">
        <v>102</v>
      </c>
      <c r="E8" s="3"/>
      <c r="F8" s="3" t="s">
        <v>103</v>
      </c>
      <c r="G8" s="3"/>
      <c r="H8" s="3" t="s">
        <v>104</v>
      </c>
    </row>
    <row r="9" ht="36.75" customHeight="1" spans="1:12">
      <c r="A9" s="3" t="s">
        <v>105</v>
      </c>
      <c r="B9" s="3">
        <v>2710</v>
      </c>
      <c r="C9" s="3"/>
      <c r="D9" s="3">
        <v>2211</v>
      </c>
      <c r="E9" s="3"/>
      <c r="F9" s="11">
        <f t="shared" ref="F9:F11" si="0">IF((K9/0.1)-INT((K9/0.1))&lt;&gt;0.5,INT((K9/0.1)+0.5)*0.1,IF(MOD(RIGHT(INT((K9/0.1)),1),2)=0,INT((K9/0.1))*0.1,INT((K9/0.1)+0.5)*0.1))</f>
        <v>18.4</v>
      </c>
      <c r="G9" s="11"/>
      <c r="H9" s="11">
        <f>AVERAGE(F9:G11)</f>
        <v>18.5</v>
      </c>
      <c r="K9" s="55">
        <f>(B9-D9)/B9*100</f>
        <v>18.4132841328413</v>
      </c>
      <c r="L9" s="56"/>
    </row>
    <row r="10" ht="36.75" customHeight="1" spans="1:12">
      <c r="A10" s="3" t="s">
        <v>106</v>
      </c>
      <c r="B10" s="3">
        <f>B9</f>
        <v>2710</v>
      </c>
      <c r="C10" s="3"/>
      <c r="D10" s="3">
        <v>2215</v>
      </c>
      <c r="E10" s="3"/>
      <c r="F10" s="11">
        <f t="shared" si="0"/>
        <v>18.3</v>
      </c>
      <c r="G10" s="11"/>
      <c r="H10" s="11"/>
      <c r="K10" s="55">
        <f t="shared" ref="K9:K11" si="1">(B10-D10)/B10*100</f>
        <v>18.2656826568266</v>
      </c>
      <c r="L10" s="56"/>
    </row>
    <row r="11" ht="36.75" customHeight="1" spans="1:12">
      <c r="A11" s="3" t="s">
        <v>107</v>
      </c>
      <c r="B11" s="3">
        <f>B9</f>
        <v>2710</v>
      </c>
      <c r="C11" s="3"/>
      <c r="D11" s="3">
        <v>2201</v>
      </c>
      <c r="E11" s="3"/>
      <c r="F11" s="11">
        <f t="shared" si="0"/>
        <v>18.8</v>
      </c>
      <c r="G11" s="11"/>
      <c r="H11" s="11"/>
      <c r="K11" s="55">
        <f t="shared" si="1"/>
        <v>18.7822878228782</v>
      </c>
      <c r="L11" s="56"/>
    </row>
    <row r="12" ht="36.75" customHeight="1" spans="1:8">
      <c r="A12" s="3" t="s">
        <v>18</v>
      </c>
      <c r="B12" s="3" t="s">
        <v>18</v>
      </c>
      <c r="C12" s="3"/>
      <c r="D12" s="3" t="s">
        <v>18</v>
      </c>
      <c r="E12" s="3"/>
      <c r="F12" s="3" t="s">
        <v>18</v>
      </c>
      <c r="G12" s="3"/>
      <c r="H12" s="3" t="s">
        <v>18</v>
      </c>
    </row>
    <row r="13" ht="36.75" customHeight="1" spans="1:8">
      <c r="A13" s="3" t="s">
        <v>18</v>
      </c>
      <c r="B13" s="3" t="s">
        <v>18</v>
      </c>
      <c r="C13" s="3"/>
      <c r="D13" s="3" t="s">
        <v>18</v>
      </c>
      <c r="E13" s="3"/>
      <c r="F13" s="3" t="s">
        <v>18</v>
      </c>
      <c r="G13" s="3"/>
      <c r="H13" s="3"/>
    </row>
    <row r="14" ht="36.75" customHeight="1" spans="1:8">
      <c r="A14" s="3" t="s">
        <v>18</v>
      </c>
      <c r="B14" s="3" t="s">
        <v>18</v>
      </c>
      <c r="C14" s="3"/>
      <c r="D14" s="3" t="s">
        <v>18</v>
      </c>
      <c r="E14" s="3"/>
      <c r="F14" s="3" t="s">
        <v>18</v>
      </c>
      <c r="G14" s="3"/>
      <c r="H14" s="3"/>
    </row>
    <row r="15" ht="36.75" customHeight="1" spans="1:8">
      <c r="A15" s="3" t="s">
        <v>18</v>
      </c>
      <c r="B15" s="3" t="s">
        <v>18</v>
      </c>
      <c r="C15" s="3"/>
      <c r="D15" s="3" t="s">
        <v>18</v>
      </c>
      <c r="E15" s="3"/>
      <c r="F15" s="3" t="s">
        <v>18</v>
      </c>
      <c r="G15" s="3"/>
      <c r="H15" s="3" t="s">
        <v>18</v>
      </c>
    </row>
    <row r="16" ht="36.75" customHeight="1" spans="1:8">
      <c r="A16" s="3" t="s">
        <v>18</v>
      </c>
      <c r="B16" s="3" t="s">
        <v>18</v>
      </c>
      <c r="C16" s="3"/>
      <c r="D16" s="3" t="s">
        <v>18</v>
      </c>
      <c r="E16" s="3"/>
      <c r="F16" s="3" t="s">
        <v>18</v>
      </c>
      <c r="G16" s="3"/>
      <c r="H16" s="3"/>
    </row>
    <row r="17" ht="36.75" customHeight="1" spans="1:8">
      <c r="A17" s="3" t="s">
        <v>18</v>
      </c>
      <c r="B17" s="3" t="s">
        <v>18</v>
      </c>
      <c r="C17" s="3"/>
      <c r="D17" s="3" t="s">
        <v>18</v>
      </c>
      <c r="E17" s="3"/>
      <c r="F17" s="3" t="s">
        <v>18</v>
      </c>
      <c r="G17" s="3"/>
      <c r="H17" s="3"/>
    </row>
    <row r="18" ht="93.75" customHeight="1" spans="1:8">
      <c r="A18" s="53" t="s">
        <v>31</v>
      </c>
      <c r="B18" s="53" t="s">
        <v>18</v>
      </c>
      <c r="C18" s="53"/>
      <c r="D18" s="53"/>
      <c r="E18" s="53"/>
      <c r="F18" s="53"/>
      <c r="G18" s="53"/>
      <c r="H18" s="53"/>
    </row>
    <row r="19" ht="86.25" customHeight="1" spans="1:8">
      <c r="A19" s="53" t="s">
        <v>33</v>
      </c>
      <c r="B19" s="53" t="s">
        <v>18</v>
      </c>
      <c r="C19" s="53"/>
      <c r="D19" s="53"/>
      <c r="E19" s="53"/>
      <c r="F19" s="53"/>
      <c r="G19" s="53"/>
      <c r="H19" s="53"/>
    </row>
    <row r="20" ht="23.25" customHeight="1" spans="1:8">
      <c r="A20" s="54" t="s">
        <v>108</v>
      </c>
      <c r="B20" s="54"/>
      <c r="C20" s="54"/>
      <c r="D20" s="54"/>
      <c r="E20" s="54"/>
      <c r="F20" s="54"/>
      <c r="G20" s="54"/>
      <c r="H20" s="54"/>
    </row>
  </sheetData>
  <mergeCells count="52">
    <mergeCell ref="A1:H1"/>
    <mergeCell ref="A2:H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H6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H18"/>
    <mergeCell ref="B19:H19"/>
    <mergeCell ref="A20:H20"/>
    <mergeCell ref="H9:H11"/>
    <mergeCell ref="H12:H14"/>
    <mergeCell ref="H15:H17"/>
  </mergeCells>
  <pageMargins left="0.409027777777778" right="0.459027777777778" top="0.36875" bottom="0.45" header="0.259027777777778" footer="0.3"/>
  <pageSetup paperSize="9" orientation="portrait" horizontalDpi="2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8"/>
  <sheetViews>
    <sheetView workbookViewId="0">
      <selection activeCell="A2" sqref="A2:F2"/>
    </sheetView>
  </sheetViews>
  <sheetFormatPr defaultColWidth="9" defaultRowHeight="14" outlineLevelCol="7"/>
  <cols>
    <col min="1" max="3" width="14.2545454545455" customWidth="1"/>
    <col min="4" max="4" width="16.7545454545455" customWidth="1"/>
    <col min="5" max="6" width="14.2545454545455" customWidth="1"/>
  </cols>
  <sheetData>
    <row r="1" ht="39.75" customHeight="1" spans="1:6">
      <c r="A1" s="1" t="s">
        <v>109</v>
      </c>
      <c r="B1" s="1"/>
      <c r="C1" s="1"/>
      <c r="D1" s="1"/>
      <c r="E1" s="1"/>
      <c r="F1" s="1"/>
    </row>
    <row r="2" ht="33.75" customHeight="1" spans="1:6">
      <c r="A2" s="2"/>
      <c r="B2" s="2"/>
      <c r="C2" s="2"/>
      <c r="D2" s="2"/>
      <c r="E2" s="2"/>
      <c r="F2" s="2"/>
    </row>
    <row r="3" ht="33.75" customHeight="1" spans="1:6">
      <c r="A3" s="3" t="s">
        <v>1</v>
      </c>
      <c r="B3" s="43">
        <f>报告!B3</f>
        <v>0</v>
      </c>
      <c r="C3" s="43"/>
      <c r="D3" s="3" t="s">
        <v>2</v>
      </c>
      <c r="E3" s="44">
        <f>报告!F3</f>
        <v>0</v>
      </c>
      <c r="F3" s="44"/>
    </row>
    <row r="4" ht="33.75" customHeight="1" spans="1:6">
      <c r="A4" s="3" t="s">
        <v>3</v>
      </c>
      <c r="B4" s="43" t="str">
        <f>报告!B4</f>
        <v>碎石(5～25)mm</v>
      </c>
      <c r="C4" s="43"/>
      <c r="D4" s="3" t="s">
        <v>5</v>
      </c>
      <c r="E4" s="43" t="s">
        <v>6</v>
      </c>
      <c r="F4" s="44"/>
    </row>
    <row r="5" ht="33.75" customHeight="1" spans="1:6">
      <c r="A5" s="3" t="s">
        <v>7</v>
      </c>
      <c r="B5" s="3">
        <f>报告!B5</f>
        <v>0</v>
      </c>
      <c r="C5" s="3"/>
      <c r="D5" s="3"/>
      <c r="E5" s="3"/>
      <c r="F5" s="3"/>
    </row>
    <row r="6" ht="33.75" customHeight="1" spans="1:6">
      <c r="A6" s="3" t="s">
        <v>10</v>
      </c>
      <c r="B6" s="7"/>
      <c r="C6" s="9"/>
      <c r="D6" s="3" t="s">
        <v>8</v>
      </c>
      <c r="E6" s="45" t="s">
        <v>110</v>
      </c>
      <c r="F6" s="46"/>
    </row>
    <row r="7" ht="15" spans="1:6">
      <c r="A7" s="47"/>
      <c r="B7" s="47"/>
      <c r="C7" s="47"/>
      <c r="D7" s="47"/>
      <c r="E7" s="47"/>
      <c r="F7" s="47"/>
    </row>
    <row r="8" ht="33.75" customHeight="1" spans="1:6">
      <c r="A8" s="3" t="s">
        <v>111</v>
      </c>
      <c r="B8" s="3"/>
      <c r="C8" s="3"/>
      <c r="D8" s="3"/>
      <c r="E8" s="3"/>
      <c r="F8" s="3"/>
    </row>
    <row r="9" ht="59.25" customHeight="1" spans="1:6">
      <c r="A9" s="3" t="s">
        <v>100</v>
      </c>
      <c r="B9" s="3" t="s">
        <v>112</v>
      </c>
      <c r="C9" s="3"/>
      <c r="D9" s="3" t="s">
        <v>113</v>
      </c>
      <c r="E9" s="3" t="s">
        <v>114</v>
      </c>
      <c r="F9" s="3" t="s">
        <v>115</v>
      </c>
    </row>
    <row r="10" ht="33.75" customHeight="1" spans="1:8">
      <c r="A10" s="3" t="s">
        <v>105</v>
      </c>
      <c r="B10" s="11">
        <v>5086</v>
      </c>
      <c r="C10" s="11"/>
      <c r="D10" s="48">
        <v>5050</v>
      </c>
      <c r="E10" s="11">
        <f>IF((H10/0.1)-INT((H10/0.1))&lt;&gt;0.5,INT((H10/0.1)+0.5)*0.1,IF(MOD(RIGHT(INT((H10/0.1)),1),2)=0,INT((H10/0.1))*0.1,INT((H10/0.1)+0.5)*0.1))</f>
        <v>0.7</v>
      </c>
      <c r="F10" s="11">
        <f>AVERAGE(E10:E11)</f>
        <v>0.65</v>
      </c>
      <c r="H10">
        <f>(B10-D10)/B10*100</f>
        <v>0.707825403067243</v>
      </c>
    </row>
    <row r="11" ht="33.75" customHeight="1" spans="1:8">
      <c r="A11" s="3" t="s">
        <v>106</v>
      </c>
      <c r="B11" s="11">
        <v>5066</v>
      </c>
      <c r="C11" s="11"/>
      <c r="D11" s="48">
        <v>5035</v>
      </c>
      <c r="E11" s="11">
        <f>IF((H11/0.1)-INT((H11/0.1))&lt;&gt;0.5,INT((H11/0.1)+0.5)*0.1,IF(MOD(RIGHT(INT((H11/0.1)),1),2)=0,INT((H11/0.1))*0.1,INT((H11/0.1)+0.5)*0.1))</f>
        <v>0.6</v>
      </c>
      <c r="F11" s="3"/>
      <c r="H11">
        <f>(B11-D11)/B11*100</f>
        <v>0.611922621397552</v>
      </c>
    </row>
    <row r="12" ht="26.25" customHeight="1" spans="1:6">
      <c r="A12" s="49" t="s">
        <v>116</v>
      </c>
      <c r="B12" s="49"/>
      <c r="C12" s="49"/>
      <c r="D12" s="49"/>
      <c r="E12" s="49"/>
      <c r="F12" s="49"/>
    </row>
    <row r="13" ht="62.25" customHeight="1" spans="1:6">
      <c r="A13" s="3" t="s">
        <v>100</v>
      </c>
      <c r="B13" s="3" t="s">
        <v>117</v>
      </c>
      <c r="C13" s="3" t="s">
        <v>118</v>
      </c>
      <c r="D13" s="3" t="s">
        <v>119</v>
      </c>
      <c r="E13" s="3" t="s">
        <v>120</v>
      </c>
      <c r="F13" s="3" t="s">
        <v>115</v>
      </c>
    </row>
    <row r="14" ht="33.75" customHeight="1" spans="1:6">
      <c r="A14" s="3" t="s">
        <v>18</v>
      </c>
      <c r="B14" s="3" t="s">
        <v>18</v>
      </c>
      <c r="C14" s="3" t="s">
        <v>18</v>
      </c>
      <c r="D14" s="3" t="s">
        <v>18</v>
      </c>
      <c r="E14" s="11" t="s">
        <v>18</v>
      </c>
      <c r="F14" s="11" t="s">
        <v>18</v>
      </c>
    </row>
    <row r="15" ht="33.75" customHeight="1" spans="1:6">
      <c r="A15" s="3" t="s">
        <v>18</v>
      </c>
      <c r="B15" s="3" t="s">
        <v>18</v>
      </c>
      <c r="C15" s="3" t="s">
        <v>18</v>
      </c>
      <c r="D15" s="3" t="s">
        <v>18</v>
      </c>
      <c r="E15" s="11" t="s">
        <v>18</v>
      </c>
      <c r="F15" s="11"/>
    </row>
    <row r="16" ht="101.25" customHeight="1" spans="1:6">
      <c r="A16" s="3" t="s">
        <v>31</v>
      </c>
      <c r="B16" s="3" t="s">
        <v>18</v>
      </c>
      <c r="C16" s="3"/>
      <c r="D16" s="3" t="s">
        <v>33</v>
      </c>
      <c r="E16" s="3" t="s">
        <v>18</v>
      </c>
      <c r="F16" s="3"/>
    </row>
    <row r="17" ht="9.75" customHeight="1" spans="1:6">
      <c r="A17" s="50"/>
      <c r="B17" s="50"/>
      <c r="C17" s="50"/>
      <c r="D17" s="50"/>
      <c r="E17" s="50"/>
      <c r="F17" s="50"/>
    </row>
    <row r="18" ht="23.25" customHeight="1" spans="1:6">
      <c r="A18" s="17" t="s">
        <v>121</v>
      </c>
      <c r="B18" s="17"/>
      <c r="C18" s="17"/>
      <c r="D18" s="17"/>
      <c r="E18" s="17"/>
      <c r="F18" s="17"/>
    </row>
  </sheetData>
  <mergeCells count="19">
    <mergeCell ref="A1:F1"/>
    <mergeCell ref="A2:F2"/>
    <mergeCell ref="B3:C3"/>
    <mergeCell ref="E3:F3"/>
    <mergeCell ref="B4:C4"/>
    <mergeCell ref="E4:F4"/>
    <mergeCell ref="B5:F5"/>
    <mergeCell ref="B6:C6"/>
    <mergeCell ref="E6:F6"/>
    <mergeCell ref="A8:F8"/>
    <mergeCell ref="B9:C9"/>
    <mergeCell ref="B10:C10"/>
    <mergeCell ref="B11:C11"/>
    <mergeCell ref="A12:F12"/>
    <mergeCell ref="B16:C16"/>
    <mergeCell ref="E16:F16"/>
    <mergeCell ref="A18:F18"/>
    <mergeCell ref="F10:F11"/>
    <mergeCell ref="F14:F15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H4" sqref="H4:I4"/>
    </sheetView>
  </sheetViews>
  <sheetFormatPr defaultColWidth="9" defaultRowHeight="15"/>
  <cols>
    <col min="1" max="1" width="10" style="19" customWidth="1"/>
    <col min="2" max="2" width="10.1272727272727" style="19" customWidth="1"/>
    <col min="3" max="3" width="14.5" style="19" customWidth="1"/>
    <col min="4" max="4" width="8.12727272727273" style="19" customWidth="1"/>
    <col min="5" max="5" width="6.62727272727273" style="19" customWidth="1"/>
    <col min="6" max="6" width="13.2545454545455" style="19" customWidth="1"/>
    <col min="7" max="7" width="8.62727272727273" style="19" customWidth="1"/>
    <col min="8" max="8" width="5.75454545454545" style="19" customWidth="1"/>
    <col min="9" max="9" width="17" style="19" customWidth="1"/>
    <col min="10" max="16384" width="9" style="19"/>
  </cols>
  <sheetData>
    <row r="1" ht="29.25" customHeight="1" spans="1:9">
      <c r="A1" s="20" t="s">
        <v>122</v>
      </c>
      <c r="B1" s="21"/>
      <c r="C1" s="21"/>
      <c r="D1" s="21"/>
      <c r="E1" s="21"/>
      <c r="F1" s="21"/>
      <c r="G1" s="21"/>
      <c r="H1" s="21"/>
      <c r="I1" s="21"/>
    </row>
    <row r="2" ht="23.25" customHeight="1" spans="1:9">
      <c r="A2" s="22"/>
      <c r="B2" s="23"/>
      <c r="C2" s="23"/>
      <c r="D2" s="23"/>
      <c r="E2" s="23"/>
      <c r="F2" s="23"/>
      <c r="G2" s="23"/>
      <c r="H2" s="23"/>
      <c r="I2" s="23"/>
    </row>
    <row r="3" ht="36.75" customHeight="1" spans="1:9">
      <c r="A3" s="24" t="s">
        <v>1</v>
      </c>
      <c r="B3" s="24"/>
      <c r="C3" s="24"/>
      <c r="D3" s="24"/>
      <c r="E3" s="24"/>
      <c r="F3" s="24" t="s">
        <v>2</v>
      </c>
      <c r="G3" s="24"/>
      <c r="H3" s="25"/>
      <c r="I3" s="39"/>
    </row>
    <row r="4" ht="36.75" customHeight="1" spans="1:9">
      <c r="A4" s="26" t="s">
        <v>3</v>
      </c>
      <c r="B4" s="27"/>
      <c r="C4" s="26" t="str">
        <f>报告!B4</f>
        <v>碎石(5～25)mm</v>
      </c>
      <c r="D4" s="28"/>
      <c r="E4" s="27"/>
      <c r="F4" s="26" t="s">
        <v>5</v>
      </c>
      <c r="G4" s="27"/>
      <c r="H4" s="29" t="s">
        <v>6</v>
      </c>
      <c r="I4" s="40"/>
    </row>
    <row r="5" ht="36.75" customHeight="1" spans="1:9">
      <c r="A5" s="24" t="s">
        <v>7</v>
      </c>
      <c r="B5" s="24"/>
      <c r="C5" s="24"/>
      <c r="D5" s="24"/>
      <c r="E5" s="24"/>
      <c r="F5" s="24" t="s">
        <v>8</v>
      </c>
      <c r="G5" s="24"/>
      <c r="H5" s="30">
        <v>41170</v>
      </c>
      <c r="I5" s="30"/>
    </row>
    <row r="6" ht="36.75" customHeight="1" spans="1:9">
      <c r="A6" s="26" t="s">
        <v>10</v>
      </c>
      <c r="B6" s="27"/>
      <c r="C6" s="26">
        <f>报告!B6</f>
        <v>0</v>
      </c>
      <c r="D6" s="28"/>
      <c r="E6" s="28"/>
      <c r="F6" s="28"/>
      <c r="G6" s="28"/>
      <c r="H6" s="28"/>
      <c r="I6" s="27"/>
    </row>
    <row r="7" ht="26.25" customHeight="1" spans="1:9">
      <c r="A7" s="26" t="s">
        <v>123</v>
      </c>
      <c r="B7" s="28"/>
      <c r="C7" s="28"/>
      <c r="D7" s="28"/>
      <c r="E7" s="28"/>
      <c r="F7" s="28"/>
      <c r="G7" s="28"/>
      <c r="H7" s="28"/>
      <c r="I7" s="27"/>
    </row>
    <row r="8" ht="36.75" customHeight="1" spans="1:9">
      <c r="A8" s="24" t="s">
        <v>100</v>
      </c>
      <c r="B8" s="24" t="s">
        <v>124</v>
      </c>
      <c r="C8" s="24" t="s">
        <v>125</v>
      </c>
      <c r="D8" s="26" t="s">
        <v>126</v>
      </c>
      <c r="E8" s="27"/>
      <c r="F8" s="24" t="s">
        <v>127</v>
      </c>
      <c r="G8" s="28" t="s">
        <v>128</v>
      </c>
      <c r="H8" s="27"/>
      <c r="I8" s="24" t="s">
        <v>129</v>
      </c>
    </row>
    <row r="9" ht="36.75" customHeight="1" spans="1:11">
      <c r="A9" s="24" t="s">
        <v>105</v>
      </c>
      <c r="B9" s="24">
        <v>10012</v>
      </c>
      <c r="C9" s="31">
        <v>1275</v>
      </c>
      <c r="D9" s="32">
        <v>16643</v>
      </c>
      <c r="E9" s="33"/>
      <c r="F9" s="31">
        <f t="shared" ref="F9:F14" si="0">D9-C9</f>
        <v>15368</v>
      </c>
      <c r="G9" s="34">
        <f t="shared" ref="G9:G14" si="1">F9/B9</f>
        <v>1.53495805033959</v>
      </c>
      <c r="H9" s="35"/>
      <c r="I9" s="41">
        <f>AVERAGE(K9:K10)</f>
        <v>1.535</v>
      </c>
      <c r="K9" s="42">
        <f>IF((G9/0.01)-INT((G9/0.01))&lt;&gt;0.5,INT((G9/0.01)+0.5)*0.01,IF(MOD(RIGHT(INT((G9/0.01)),1),2)=0,INT((G9/0.01))*0.01,INT((G9/0.01)+0.5)*0.01))</f>
        <v>1.53</v>
      </c>
    </row>
    <row r="10" ht="36.75" customHeight="1" spans="1:11">
      <c r="A10" s="24" t="s">
        <v>106</v>
      </c>
      <c r="B10" s="24">
        <v>10012</v>
      </c>
      <c r="C10" s="31">
        <v>1275</v>
      </c>
      <c r="D10" s="32">
        <v>16659</v>
      </c>
      <c r="E10" s="33"/>
      <c r="F10" s="31">
        <f t="shared" si="0"/>
        <v>15384</v>
      </c>
      <c r="G10" s="34">
        <f t="shared" si="1"/>
        <v>1.53655613264083</v>
      </c>
      <c r="H10" s="35"/>
      <c r="I10" s="41"/>
      <c r="K10" s="42">
        <f>IF((G10/0.01)-INT((G10/0.01))&lt;&gt;0.5,INT((G10/0.01)+0.5)*0.01,IF(MOD(RIGHT(INT((G10/0.01)),1),2)=0,INT((G10/0.01))*0.01,INT((G10/0.01)+0.5)*0.01))</f>
        <v>1.54</v>
      </c>
    </row>
    <row r="11" ht="26.25" customHeight="1" spans="1:9">
      <c r="A11" s="26" t="s">
        <v>130</v>
      </c>
      <c r="B11" s="28"/>
      <c r="C11" s="28"/>
      <c r="D11" s="28"/>
      <c r="E11" s="28"/>
      <c r="F11" s="28"/>
      <c r="G11" s="28"/>
      <c r="H11" s="28"/>
      <c r="I11" s="27"/>
    </row>
    <row r="12" ht="36.75" customHeight="1" spans="1:9">
      <c r="A12" s="24" t="s">
        <v>100</v>
      </c>
      <c r="B12" s="24" t="s">
        <v>124</v>
      </c>
      <c r="C12" s="24" t="s">
        <v>125</v>
      </c>
      <c r="D12" s="26" t="s">
        <v>126</v>
      </c>
      <c r="E12" s="27"/>
      <c r="F12" s="24" t="s">
        <v>127</v>
      </c>
      <c r="G12" s="28" t="s">
        <v>128</v>
      </c>
      <c r="H12" s="27"/>
      <c r="I12" s="24" t="s">
        <v>129</v>
      </c>
    </row>
    <row r="13" ht="36.75" customHeight="1" spans="1:9">
      <c r="A13" s="24" t="s">
        <v>105</v>
      </c>
      <c r="B13" s="24">
        <v>10012</v>
      </c>
      <c r="C13" s="31">
        <v>1275</v>
      </c>
      <c r="D13" s="32">
        <v>17346</v>
      </c>
      <c r="E13" s="33"/>
      <c r="F13" s="31">
        <f t="shared" si="0"/>
        <v>16071</v>
      </c>
      <c r="G13" s="34">
        <f t="shared" si="1"/>
        <v>1.60517379145026</v>
      </c>
      <c r="H13" s="35"/>
      <c r="I13" s="41">
        <f>AVERAGE(G13:H14)</f>
        <v>1.60916899720336</v>
      </c>
    </row>
    <row r="14" ht="36.75" customHeight="1" spans="1:9">
      <c r="A14" s="24" t="s">
        <v>106</v>
      </c>
      <c r="B14" s="24">
        <v>10012</v>
      </c>
      <c r="C14" s="31">
        <v>1275</v>
      </c>
      <c r="D14" s="32">
        <v>17426</v>
      </c>
      <c r="E14" s="33"/>
      <c r="F14" s="31">
        <f t="shared" si="0"/>
        <v>16151</v>
      </c>
      <c r="G14" s="34">
        <f t="shared" si="1"/>
        <v>1.61316420295645</v>
      </c>
      <c r="H14" s="35"/>
      <c r="I14" s="41"/>
    </row>
    <row r="15" ht="26.25" customHeight="1" spans="1:9">
      <c r="A15" s="26" t="s">
        <v>131</v>
      </c>
      <c r="B15" s="28"/>
      <c r="C15" s="28"/>
      <c r="D15" s="28"/>
      <c r="E15" s="28"/>
      <c r="F15" s="28"/>
      <c r="G15" s="28"/>
      <c r="H15" s="28"/>
      <c r="I15" s="27"/>
    </row>
    <row r="16" ht="36.75" customHeight="1" spans="1:9">
      <c r="A16" s="24" t="s">
        <v>100</v>
      </c>
      <c r="B16" s="24" t="s">
        <v>124</v>
      </c>
      <c r="C16" s="24" t="s">
        <v>125</v>
      </c>
      <c r="D16" s="26" t="s">
        <v>126</v>
      </c>
      <c r="E16" s="27"/>
      <c r="F16" s="24" t="s">
        <v>127</v>
      </c>
      <c r="G16" s="28" t="s">
        <v>128</v>
      </c>
      <c r="H16" s="27"/>
      <c r="I16" s="24" t="s">
        <v>129</v>
      </c>
    </row>
    <row r="17" ht="36.75" customHeight="1" spans="1:9">
      <c r="A17" s="24" t="s">
        <v>18</v>
      </c>
      <c r="B17" s="24" t="s">
        <v>18</v>
      </c>
      <c r="C17" s="24" t="s">
        <v>18</v>
      </c>
      <c r="D17" s="26" t="s">
        <v>18</v>
      </c>
      <c r="E17" s="27"/>
      <c r="F17" s="24" t="s">
        <v>18</v>
      </c>
      <c r="G17" s="26" t="s">
        <v>18</v>
      </c>
      <c r="H17" s="27"/>
      <c r="I17" s="24" t="s">
        <v>18</v>
      </c>
    </row>
    <row r="18" ht="36.75" customHeight="1" spans="1:9">
      <c r="A18" s="24" t="s">
        <v>18</v>
      </c>
      <c r="B18" s="24" t="s">
        <v>18</v>
      </c>
      <c r="C18" s="24" t="s">
        <v>18</v>
      </c>
      <c r="D18" s="26" t="s">
        <v>18</v>
      </c>
      <c r="E18" s="27"/>
      <c r="F18" s="24" t="s">
        <v>18</v>
      </c>
      <c r="G18" s="26" t="s">
        <v>18</v>
      </c>
      <c r="H18" s="27"/>
      <c r="I18" s="24"/>
    </row>
    <row r="19" ht="69.75" customHeight="1" spans="1:9">
      <c r="A19" s="24" t="s">
        <v>31</v>
      </c>
      <c r="B19" s="24" t="s">
        <v>18</v>
      </c>
      <c r="C19" s="24"/>
      <c r="D19" s="24"/>
      <c r="E19" s="24"/>
      <c r="F19" s="24"/>
      <c r="G19" s="24"/>
      <c r="H19" s="24"/>
      <c r="I19" s="24"/>
    </row>
    <row r="20" ht="69.75" customHeight="1" spans="1:9">
      <c r="A20" s="24" t="s">
        <v>33</v>
      </c>
      <c r="B20" s="24" t="s">
        <v>18</v>
      </c>
      <c r="C20" s="24"/>
      <c r="D20" s="24"/>
      <c r="E20" s="24"/>
      <c r="F20" s="24"/>
      <c r="G20" s="24"/>
      <c r="H20" s="24"/>
      <c r="I20" s="24"/>
    </row>
    <row r="21" ht="26.1" customHeight="1" spans="1:9">
      <c r="A21" s="36" t="s">
        <v>132</v>
      </c>
      <c r="B21" s="36"/>
      <c r="C21" s="36"/>
      <c r="D21" s="36"/>
      <c r="E21" s="36"/>
      <c r="F21" s="36"/>
      <c r="G21" s="36"/>
      <c r="H21" s="36"/>
      <c r="I21" s="36"/>
    </row>
    <row r="22" ht="26.1" customHeight="1" spans="1:9">
      <c r="A22" s="37" t="s">
        <v>133</v>
      </c>
      <c r="B22" s="38"/>
      <c r="C22" s="38"/>
      <c r="D22" s="38"/>
      <c r="E22" s="38"/>
      <c r="F22" s="38"/>
      <c r="G22" s="38"/>
      <c r="H22" s="38"/>
      <c r="I22" s="38"/>
    </row>
  </sheetData>
  <mergeCells count="44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5:B5"/>
    <mergeCell ref="C5:E5"/>
    <mergeCell ref="F5:G5"/>
    <mergeCell ref="H5:I5"/>
    <mergeCell ref="A6:B6"/>
    <mergeCell ref="C6:I6"/>
    <mergeCell ref="A7:I7"/>
    <mergeCell ref="D8:E8"/>
    <mergeCell ref="G8:H8"/>
    <mergeCell ref="D9:E9"/>
    <mergeCell ref="G9:H9"/>
    <mergeCell ref="D10:E10"/>
    <mergeCell ref="G10:H10"/>
    <mergeCell ref="A11:I11"/>
    <mergeCell ref="D12:E12"/>
    <mergeCell ref="G12:H12"/>
    <mergeCell ref="D13:E13"/>
    <mergeCell ref="G13:H13"/>
    <mergeCell ref="D14:E14"/>
    <mergeCell ref="G14:H14"/>
    <mergeCell ref="A15:I15"/>
    <mergeCell ref="D16:E16"/>
    <mergeCell ref="G16:H16"/>
    <mergeCell ref="D17:E17"/>
    <mergeCell ref="G17:H17"/>
    <mergeCell ref="D18:E18"/>
    <mergeCell ref="G18:H18"/>
    <mergeCell ref="B19:I19"/>
    <mergeCell ref="B20:I20"/>
    <mergeCell ref="A21:I21"/>
    <mergeCell ref="A22:I22"/>
    <mergeCell ref="I9:I10"/>
    <mergeCell ref="I13:I14"/>
    <mergeCell ref="I17:I18"/>
  </mergeCells>
  <printOptions horizontalCentered="1"/>
  <pageMargins left="0.529166666666667" right="0.379166666666667" top="0.438888888888889" bottom="0.388888888888889" header="0.329166666666667" footer="0.279166666666667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25"/>
  <sheetViews>
    <sheetView topLeftCell="A4" workbookViewId="0">
      <selection activeCell="A2" sqref="A2:I2"/>
    </sheetView>
  </sheetViews>
  <sheetFormatPr defaultColWidth="9" defaultRowHeight="14"/>
  <cols>
    <col min="1" max="1" width="15.3727272727273" customWidth="1"/>
    <col min="2" max="2" width="7.25454545454545" customWidth="1"/>
    <col min="3" max="3" width="23.1272727272727" customWidth="1"/>
    <col min="4" max="9" width="8.5" customWidth="1"/>
  </cols>
  <sheetData>
    <row r="1" ht="33.75" customHeight="1" spans="1:9">
      <c r="A1" s="1" t="s">
        <v>134</v>
      </c>
      <c r="B1" s="1"/>
      <c r="C1" s="1"/>
      <c r="D1" s="1"/>
      <c r="E1" s="1"/>
      <c r="F1" s="1"/>
      <c r="G1" s="1"/>
      <c r="H1" s="1"/>
      <c r="I1" s="1"/>
    </row>
    <row r="2" ht="26.25" customHeight="1" spans="1:9">
      <c r="A2" s="2"/>
      <c r="B2" s="2"/>
      <c r="C2" s="2"/>
      <c r="D2" s="2"/>
      <c r="E2" s="2"/>
      <c r="F2" s="2"/>
      <c r="G2" s="2"/>
      <c r="H2" s="2"/>
      <c r="I2" s="2"/>
    </row>
    <row r="3" ht="30.75" customHeight="1" spans="1:9">
      <c r="A3" s="3" t="s">
        <v>1</v>
      </c>
      <c r="B3" s="3">
        <f>报告!B3</f>
        <v>0</v>
      </c>
      <c r="C3" s="3"/>
      <c r="D3" s="3" t="s">
        <v>135</v>
      </c>
      <c r="E3" s="3"/>
      <c r="F3" s="4">
        <f>报告!F3</f>
        <v>0</v>
      </c>
      <c r="G3" s="4"/>
      <c r="H3" s="4"/>
      <c r="I3" s="4"/>
    </row>
    <row r="4" ht="30.75" customHeight="1" spans="1:9">
      <c r="A4" s="3" t="s">
        <v>7</v>
      </c>
      <c r="B4" s="3">
        <f>报告!B5</f>
        <v>0</v>
      </c>
      <c r="C4" s="3"/>
      <c r="D4" s="3" t="s">
        <v>5</v>
      </c>
      <c r="E4" s="3"/>
      <c r="F4" s="3" t="s">
        <v>6</v>
      </c>
      <c r="G4" s="4"/>
      <c r="H4" s="4"/>
      <c r="I4" s="4"/>
    </row>
    <row r="5" ht="30.75" customHeight="1" spans="1:9">
      <c r="A5" s="3" t="s">
        <v>3</v>
      </c>
      <c r="B5" s="3" t="str">
        <f>报告!B4</f>
        <v>碎石(5～25)mm</v>
      </c>
      <c r="C5" s="3"/>
      <c r="D5" s="3" t="s">
        <v>8</v>
      </c>
      <c r="E5" s="3"/>
      <c r="F5" s="4" t="s">
        <v>136</v>
      </c>
      <c r="G5" s="4"/>
      <c r="H5" s="4"/>
      <c r="I5" s="4"/>
    </row>
    <row r="6" ht="30.75" customHeight="1" spans="1:9">
      <c r="A6" s="3" t="s">
        <v>137</v>
      </c>
      <c r="B6" s="3" t="s">
        <v>138</v>
      </c>
      <c r="C6" s="3"/>
      <c r="D6" s="3"/>
      <c r="E6" s="3"/>
      <c r="F6" s="3"/>
      <c r="G6" s="3"/>
      <c r="H6" s="3"/>
      <c r="I6" s="3"/>
    </row>
    <row r="7" ht="15" spans="1:9">
      <c r="A7" s="5" t="s">
        <v>139</v>
      </c>
      <c r="B7" s="5"/>
      <c r="C7" s="6"/>
      <c r="D7" s="6"/>
      <c r="E7" s="6"/>
      <c r="F7" s="6"/>
      <c r="G7" s="6"/>
      <c r="H7" s="6"/>
      <c r="I7" s="6"/>
    </row>
    <row r="8" ht="26.25" customHeight="1" spans="1:9">
      <c r="A8" s="7" t="s">
        <v>18</v>
      </c>
      <c r="B8" s="8"/>
      <c r="C8" s="9"/>
      <c r="D8" s="3"/>
      <c r="E8" s="3"/>
      <c r="F8" s="3"/>
      <c r="G8" s="3"/>
      <c r="H8" s="3"/>
      <c r="I8" s="3"/>
    </row>
    <row r="9" ht="26.25" customHeight="1" spans="1:9">
      <c r="A9" s="3" t="s">
        <v>140</v>
      </c>
      <c r="B9" s="3"/>
      <c r="C9" s="10" t="s">
        <v>141</v>
      </c>
      <c r="D9" s="11">
        <v>952.5</v>
      </c>
      <c r="E9" s="11">
        <v>976.4</v>
      </c>
      <c r="F9" s="11"/>
      <c r="G9" s="11"/>
      <c r="H9" s="11"/>
      <c r="I9" s="11"/>
    </row>
    <row r="10" ht="26.25" customHeight="1" spans="1:9">
      <c r="A10" s="3" t="s">
        <v>142</v>
      </c>
      <c r="B10" s="3"/>
      <c r="C10" s="3" t="s">
        <v>143</v>
      </c>
      <c r="D10" s="11">
        <v>1516.7</v>
      </c>
      <c r="E10" s="11">
        <v>1554.3</v>
      </c>
      <c r="F10" s="11"/>
      <c r="G10" s="11"/>
      <c r="H10" s="11"/>
      <c r="I10" s="11"/>
    </row>
    <row r="11" ht="26.25" customHeight="1" spans="1:9">
      <c r="A11" s="3" t="s">
        <v>144</v>
      </c>
      <c r="B11" s="3"/>
      <c r="C11" s="3" t="s">
        <v>145</v>
      </c>
      <c r="D11" s="11">
        <v>1507.5</v>
      </c>
      <c r="E11" s="11">
        <v>1546.8</v>
      </c>
      <c r="F11" s="11"/>
      <c r="G11" s="11"/>
      <c r="H11" s="11"/>
      <c r="I11" s="11"/>
    </row>
    <row r="12" ht="26.25" customHeight="1" spans="1:9">
      <c r="A12" s="3" t="s">
        <v>146</v>
      </c>
      <c r="B12" s="3"/>
      <c r="C12" s="3" t="s">
        <v>147</v>
      </c>
      <c r="D12" s="12">
        <f>D11/(D11-D9)</f>
        <v>2.71621621621622</v>
      </c>
      <c r="E12" s="12">
        <f>E11/(E11-E9)</f>
        <v>2.71178120617111</v>
      </c>
      <c r="F12" s="12"/>
      <c r="G12" s="12"/>
      <c r="H12" s="12"/>
      <c r="I12" s="12"/>
    </row>
    <row r="13" ht="26.25" customHeight="1" spans="1:9">
      <c r="A13" s="3" t="s">
        <v>148</v>
      </c>
      <c r="B13" s="3"/>
      <c r="C13" s="3" t="s">
        <v>149</v>
      </c>
      <c r="D13" s="12">
        <f>AVERAGE(D12:E12)</f>
        <v>2.71399871119366</v>
      </c>
      <c r="E13" s="12"/>
      <c r="F13" s="12"/>
      <c r="G13" s="12"/>
      <c r="H13" s="12"/>
      <c r="I13" s="12"/>
    </row>
    <row r="14" ht="26.25" customHeight="1" spans="1:9">
      <c r="A14" s="3" t="s">
        <v>150</v>
      </c>
      <c r="B14" s="3"/>
      <c r="C14" s="3" t="s">
        <v>151</v>
      </c>
      <c r="D14" s="12">
        <f>D13*0.9975</f>
        <v>2.70721371441568</v>
      </c>
      <c r="E14" s="12"/>
      <c r="F14" s="12"/>
      <c r="G14" s="12"/>
      <c r="H14" s="12"/>
      <c r="I14" s="12"/>
    </row>
    <row r="15" ht="26.25" customHeight="1" spans="1:9">
      <c r="A15" s="3" t="s">
        <v>152</v>
      </c>
      <c r="B15" s="3"/>
      <c r="C15" s="3" t="s">
        <v>153</v>
      </c>
      <c r="D15" s="12">
        <f>D11/(D10-D9)</f>
        <v>2.6719248493442</v>
      </c>
      <c r="E15" s="13">
        <f>E11/(E10-E9)</f>
        <v>2.67658764492127</v>
      </c>
      <c r="F15" s="12"/>
      <c r="G15" s="12"/>
      <c r="H15" s="12"/>
      <c r="I15" s="12"/>
    </row>
    <row r="16" ht="26.25" customHeight="1" spans="1:9">
      <c r="A16" s="3" t="s">
        <v>154</v>
      </c>
      <c r="B16" s="3"/>
      <c r="C16" s="3" t="s">
        <v>155</v>
      </c>
      <c r="D16" s="12">
        <f>AVERAGE(D15:E15)</f>
        <v>2.67425624713274</v>
      </c>
      <c r="E16" s="12"/>
      <c r="F16" s="12"/>
      <c r="G16" s="12"/>
      <c r="H16" s="12"/>
      <c r="I16" s="12"/>
    </row>
    <row r="17" ht="26.25" customHeight="1" spans="1:9">
      <c r="A17" s="3" t="s">
        <v>156</v>
      </c>
      <c r="B17" s="3"/>
      <c r="C17" s="3" t="s">
        <v>157</v>
      </c>
      <c r="D17" s="12">
        <f>D15*0.9975</f>
        <v>2.66524503722084</v>
      </c>
      <c r="E17" s="12">
        <f>E15*0.9975</f>
        <v>2.66989617580896</v>
      </c>
      <c r="F17" s="12"/>
      <c r="G17" s="12"/>
      <c r="H17" s="12"/>
      <c r="I17" s="12"/>
    </row>
    <row r="18" ht="26.25" customHeight="1" spans="1:9">
      <c r="A18" s="3" t="s">
        <v>158</v>
      </c>
      <c r="B18" s="3"/>
      <c r="C18" s="3" t="s">
        <v>159</v>
      </c>
      <c r="D18" s="12">
        <f>D10/(D10-D9)</f>
        <v>2.68823112371499</v>
      </c>
      <c r="E18" s="12">
        <f>E10/(E10-E9)</f>
        <v>2.68956566880083</v>
      </c>
      <c r="F18" s="12"/>
      <c r="G18" s="12"/>
      <c r="H18" s="12"/>
      <c r="I18" s="12"/>
    </row>
    <row r="19" ht="26.25" customHeight="1" spans="1:9">
      <c r="A19" s="3" t="s">
        <v>160</v>
      </c>
      <c r="B19" s="3"/>
      <c r="C19" s="3" t="s">
        <v>161</v>
      </c>
      <c r="D19" s="12">
        <f>AVERAGE(D18:E18)</f>
        <v>2.68889839625791</v>
      </c>
      <c r="E19" s="12"/>
      <c r="F19" s="12"/>
      <c r="G19" s="12"/>
      <c r="H19" s="12"/>
      <c r="I19" s="12"/>
    </row>
    <row r="20" ht="26.25" customHeight="1" spans="1:9">
      <c r="A20" s="3" t="s">
        <v>162</v>
      </c>
      <c r="B20" s="3"/>
      <c r="C20" s="3" t="s">
        <v>163</v>
      </c>
      <c r="D20" s="12">
        <f>D19*0.9975</f>
        <v>2.68217615026727</v>
      </c>
      <c r="E20" s="12"/>
      <c r="F20" s="12"/>
      <c r="G20" s="12"/>
      <c r="H20" s="12"/>
      <c r="I20" s="12"/>
    </row>
    <row r="21" ht="26.25" customHeight="1" spans="1:9">
      <c r="A21" s="3" t="s">
        <v>164</v>
      </c>
      <c r="B21" s="3"/>
      <c r="C21" s="3" t="s">
        <v>165</v>
      </c>
      <c r="D21" s="14">
        <f>(D10-D11)/D11*100</f>
        <v>0.610281923714763</v>
      </c>
      <c r="E21" s="14">
        <f>(E10-E11)/E11*100</f>
        <v>0.484871993793639</v>
      </c>
      <c r="F21" s="14"/>
      <c r="G21" s="14"/>
      <c r="H21" s="14"/>
      <c r="I21" s="14"/>
    </row>
    <row r="22" ht="26.25" customHeight="1" spans="1:9">
      <c r="A22" s="3" t="s">
        <v>166</v>
      </c>
      <c r="B22" s="3"/>
      <c r="C22" s="3" t="s">
        <v>167</v>
      </c>
      <c r="D22" s="14">
        <f>AVERAGE(D21:E21)</f>
        <v>0.547576958754201</v>
      </c>
      <c r="E22" s="14"/>
      <c r="F22" s="14"/>
      <c r="G22" s="14"/>
      <c r="H22" s="14"/>
      <c r="I22" s="14"/>
    </row>
    <row r="23" ht="94.5" customHeight="1" spans="1:9">
      <c r="A23" s="15" t="s">
        <v>168</v>
      </c>
      <c r="B23" s="16"/>
      <c r="C23" s="16"/>
      <c r="D23" s="16"/>
      <c r="E23" s="16"/>
      <c r="F23" s="16"/>
      <c r="G23" s="16"/>
      <c r="H23" s="16"/>
      <c r="I23" s="18"/>
    </row>
    <row r="24" ht="15" spans="1:9">
      <c r="A24" s="17"/>
      <c r="B24" s="17"/>
      <c r="C24" s="6"/>
      <c r="D24" s="6"/>
      <c r="E24" s="6"/>
      <c r="F24" s="6"/>
      <c r="G24" s="6"/>
      <c r="H24" s="6"/>
      <c r="I24" s="6"/>
    </row>
    <row r="25" ht="23.25" customHeight="1" spans="1:9">
      <c r="A25" s="17" t="s">
        <v>169</v>
      </c>
      <c r="B25" s="17"/>
      <c r="C25" s="17"/>
      <c r="D25" s="17"/>
      <c r="E25" s="17"/>
      <c r="F25" s="17"/>
      <c r="G25" s="17"/>
      <c r="H25" s="17"/>
      <c r="I25" s="17"/>
    </row>
  </sheetData>
  <mergeCells count="50">
    <mergeCell ref="A1:I1"/>
    <mergeCell ref="A2:I2"/>
    <mergeCell ref="B3:C3"/>
    <mergeCell ref="D3:E3"/>
    <mergeCell ref="F3:I3"/>
    <mergeCell ref="B4:C4"/>
    <mergeCell ref="D4:E4"/>
    <mergeCell ref="F4:I4"/>
    <mergeCell ref="B5:C5"/>
    <mergeCell ref="D5:E5"/>
    <mergeCell ref="F5:I5"/>
    <mergeCell ref="B6:I6"/>
    <mergeCell ref="A8:C8"/>
    <mergeCell ref="D8:E8"/>
    <mergeCell ref="F8:G8"/>
    <mergeCell ref="H8:I8"/>
    <mergeCell ref="A9:B9"/>
    <mergeCell ref="A10:B10"/>
    <mergeCell ref="A11:B11"/>
    <mergeCell ref="A12:B12"/>
    <mergeCell ref="A13:B13"/>
    <mergeCell ref="D13:E13"/>
    <mergeCell ref="F13:G13"/>
    <mergeCell ref="H13:I13"/>
    <mergeCell ref="A14:B14"/>
    <mergeCell ref="D14:E14"/>
    <mergeCell ref="F14:G14"/>
    <mergeCell ref="H14:I14"/>
    <mergeCell ref="A15:B15"/>
    <mergeCell ref="A16:B16"/>
    <mergeCell ref="D16:E16"/>
    <mergeCell ref="F16:G16"/>
    <mergeCell ref="H16:I16"/>
    <mergeCell ref="A17:B17"/>
    <mergeCell ref="A18:B18"/>
    <mergeCell ref="A19:B19"/>
    <mergeCell ref="D19:E19"/>
    <mergeCell ref="F19:G19"/>
    <mergeCell ref="H19:I19"/>
    <mergeCell ref="A20:B20"/>
    <mergeCell ref="D20:E20"/>
    <mergeCell ref="F20:G20"/>
    <mergeCell ref="H20:I20"/>
    <mergeCell ref="A21:B21"/>
    <mergeCell ref="A22:B22"/>
    <mergeCell ref="D22:E22"/>
    <mergeCell ref="F22:G22"/>
    <mergeCell ref="H22:I22"/>
    <mergeCell ref="A23:I23"/>
    <mergeCell ref="A25:I25"/>
  </mergeCells>
  <pageMargins left="0.459027777777778" right="0.349305555555556" top="0.75" bottom="0.75" header="0.3" footer="0.3"/>
  <pageSetup paperSize="9" orientation="portrait" horizontalDpi="2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报告</vt:lpstr>
      <vt:lpstr>筛分</vt:lpstr>
      <vt:lpstr>针片状</vt:lpstr>
      <vt:lpstr>压碎值</vt:lpstr>
      <vt:lpstr>含泥量、泥块含量</vt:lpstr>
      <vt:lpstr>堆积密度</vt:lpstr>
      <vt:lpstr>密度(网篮)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潘天保</cp:lastModifiedBy>
  <dcterms:created xsi:type="dcterms:W3CDTF">2006-09-13T11:21:00Z</dcterms:created>
  <cp:lastPrinted>2012-08-29T10:06:00Z</cp:lastPrinted>
  <dcterms:modified xsi:type="dcterms:W3CDTF">2019-05-29T03:15:00Z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