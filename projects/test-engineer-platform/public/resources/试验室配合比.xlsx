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2583" windowHeight="9840"/>
  </bookViews>
  <sheets>
    <sheet name="中心试验室配合比汇总-北京成城" sheetId="4" r:id="rId1"/>
  </sheets>
  <definedNames>
    <definedName name="_xlnm.Print_Titles" localSheetId="0">'中心试验室配合比汇总-北京成城'!$1:$6</definedName>
  </definedNames>
  <calcPr calcId="144525" fullPrecision="0"/>
</workbook>
</file>

<file path=xl/sharedStrings.xml><?xml version="1.0" encoding="utf-8"?>
<sst xmlns="http://schemas.openxmlformats.org/spreadsheetml/2006/main" count="230" uniqueCount="113">
  <si>
    <t>混凝土配合比选用表</t>
  </si>
  <si>
    <t>配合比报告编号</t>
  </si>
  <si>
    <t>施工部位</t>
  </si>
  <si>
    <t>强度
等级</t>
  </si>
  <si>
    <t>每立方米混凝土材料用量（kg）</t>
  </si>
  <si>
    <t>其他指标</t>
  </si>
  <si>
    <t>环境等级</t>
  </si>
  <si>
    <t>混凝土碱含量、氯离子含量、三氧化硫含量报告编号</t>
  </si>
  <si>
    <r>
      <rPr>
        <sz val="9"/>
        <rFont val="宋体"/>
        <charset val="134"/>
      </rPr>
      <t>碱含量
(kg/m</t>
    </r>
    <r>
      <rPr>
        <vertAlign val="superscript"/>
        <sz val="9"/>
        <rFont val="宋体"/>
        <charset val="134"/>
      </rPr>
      <t>3</t>
    </r>
    <r>
      <rPr>
        <sz val="9"/>
        <rFont val="宋体"/>
        <charset val="134"/>
      </rPr>
      <t>)</t>
    </r>
  </si>
  <si>
    <t>材料名称</t>
  </si>
  <si>
    <t>水　泥</t>
  </si>
  <si>
    <t>粉煤灰</t>
  </si>
  <si>
    <t>细骨料</t>
  </si>
  <si>
    <t>粗骨料</t>
  </si>
  <si>
    <t>水</t>
  </si>
  <si>
    <t>外加剂</t>
  </si>
  <si>
    <t>砂率
(%)</t>
  </si>
  <si>
    <t>水胶比</t>
  </si>
  <si>
    <t>坍落度</t>
  </si>
  <si>
    <t>外加剂1</t>
  </si>
  <si>
    <t>外加剂2</t>
  </si>
  <si>
    <t>产    地</t>
  </si>
  <si>
    <t>日照中联
港中水泥</t>
  </si>
  <si>
    <t>日照华能电力有限公司</t>
  </si>
  <si>
    <t>沂南郑家营砂场</t>
  </si>
  <si>
    <t>莒县怀河建材</t>
  </si>
  <si>
    <t>第二拌合站
地下水</t>
  </si>
  <si>
    <t>北京市成城交大建材有限公司</t>
  </si>
  <si>
    <t>规    格</t>
  </si>
  <si>
    <t>P·O42.5</t>
  </si>
  <si>
    <t>Ⅱ级</t>
  </si>
  <si>
    <t>中砂</t>
  </si>
  <si>
    <t>5-20mm</t>
  </si>
  <si>
    <t>16-31.5mm</t>
  </si>
  <si>
    <t>/</t>
  </si>
  <si>
    <t>聚羧酸高性能
减水剂(缓凝型)</t>
  </si>
  <si>
    <t>引气剂</t>
  </si>
  <si>
    <t>ZQⅢ-0-2015-HPB-001</t>
  </si>
  <si>
    <t>桥梁、涵洞、框架涵</t>
  </si>
  <si>
    <t>C30</t>
  </si>
  <si>
    <r>
      <rPr>
        <sz val="9"/>
        <rFont val="宋体"/>
        <charset val="134"/>
      </rPr>
      <t>质量(kg/m</t>
    </r>
    <r>
      <rPr>
        <vertAlign val="superscript"/>
        <sz val="9"/>
        <rFont val="宋体"/>
        <charset val="134"/>
      </rPr>
      <t>3</t>
    </r>
    <r>
      <rPr>
        <sz val="9"/>
        <rFont val="宋体"/>
        <charset val="134"/>
      </rPr>
      <t>)</t>
    </r>
  </si>
  <si>
    <t>160～200</t>
  </si>
  <si>
    <t>T1</t>
  </si>
  <si>
    <t>ZQⅢ-0-2015-HPB-001-1</t>
  </si>
  <si>
    <t>理论配合比</t>
  </si>
  <si>
    <t>ZQⅢ-0-2015-HPB-002</t>
  </si>
  <si>
    <t>桥梁、桩基</t>
  </si>
  <si>
    <t>C30水下</t>
  </si>
  <si>
    <t>180～220</t>
  </si>
  <si>
    <t>T1、H1、L1</t>
  </si>
  <si>
    <t>ZQⅢ-0-2015-HPB-002-1</t>
  </si>
  <si>
    <t>ZQⅢ-0-2015-HPB-003</t>
  </si>
  <si>
    <t>C35</t>
  </si>
  <si>
    <t>H1、T2、L1、Y1</t>
  </si>
  <si>
    <t>ZQⅢ-0-2015-HPB-003-1</t>
  </si>
  <si>
    <t>ZQⅢ-0-2015-HPB-004</t>
  </si>
  <si>
    <t>C35水下</t>
  </si>
  <si>
    <t>ZQⅢ-0-2015-HPB-004-1</t>
  </si>
  <si>
    <t>ZQⅢ-0-2015-HPB-005</t>
  </si>
  <si>
    <t>C40</t>
  </si>
  <si>
    <t>H1、T3、L1、Y1、D2</t>
  </si>
  <si>
    <t>ZQⅢ-0-2015-HPB-005-1</t>
  </si>
  <si>
    <t>ZQⅢ-0-2015-HPB-006</t>
  </si>
  <si>
    <t>C40水下</t>
  </si>
  <si>
    <t>ZQⅢ-0-2015-HPB-006-1</t>
  </si>
  <si>
    <t>ZQⅢ-0-2015-HPB-007</t>
  </si>
  <si>
    <t>C45</t>
  </si>
  <si>
    <t>H3、L2、Y3</t>
  </si>
  <si>
    <t>ZQⅢ-0-2015-HPB-007-1</t>
  </si>
  <si>
    <t>ZQⅢ-0-2015-HPB-008</t>
  </si>
  <si>
    <t>C45水下</t>
  </si>
  <si>
    <t>ZQⅢ-0-2015-HPB-008-1</t>
  </si>
  <si>
    <t>ZQⅢ-0-2015-HPB-009</t>
  </si>
  <si>
    <t>C20</t>
  </si>
  <si>
    <t>ZQⅢ-0-2015-HPB-009-1</t>
  </si>
  <si>
    <t>ZQⅢ-0-2015-HPB-010</t>
  </si>
  <si>
    <t>C25</t>
  </si>
  <si>
    <t>ZQⅢ-0-2015-HPB-010-1</t>
  </si>
  <si>
    <t>ZQⅢ-0-2015-HPB-011</t>
  </si>
  <si>
    <r>
      <rPr>
        <sz val="9"/>
        <rFont val="宋体"/>
        <charset val="134"/>
      </rPr>
      <t>C</t>
    </r>
    <r>
      <rPr>
        <sz val="9"/>
        <rFont val="宋体"/>
        <charset val="134"/>
      </rPr>
      <t>15</t>
    </r>
  </si>
  <si>
    <t>ZQⅢ-0-2015-HPB-011-1</t>
  </si>
  <si>
    <t>ZQⅢ-0-2015-HPB-012</t>
  </si>
  <si>
    <t xml:space="preserve">  </t>
  </si>
  <si>
    <t>H1、T2、L1</t>
  </si>
  <si>
    <t>ZQⅢ-0-2015-HPB-012-1</t>
  </si>
  <si>
    <t>ZQⅢ-0-2015-HPB-013</t>
  </si>
  <si>
    <t>H1、T3、L1</t>
  </si>
  <si>
    <t>ZQⅢ-0-2015-HPB-013-1</t>
  </si>
  <si>
    <t>ZQⅢ-0-2015-HPB-014</t>
  </si>
  <si>
    <t>H3、L2</t>
  </si>
  <si>
    <t>ZQⅢ-0-2015-HPB-014-1</t>
  </si>
  <si>
    <t>ZQⅢ-0-2015-HPB-015</t>
  </si>
  <si>
    <t>550
(5-10mm)</t>
  </si>
  <si>
    <t>550
(10-20mm)</t>
  </si>
  <si>
    <t>ZQⅢ-0-2015-HPB-015-1</t>
  </si>
  <si>
    <t>ZQⅢ-0-2015-HPB-016</t>
  </si>
  <si>
    <t>555
(5-10mm)</t>
  </si>
  <si>
    <t>554
(10-20mm)</t>
  </si>
  <si>
    <t>ZQⅢ-0-2015-HPB-016-1</t>
  </si>
  <si>
    <t>ZQⅢ-0-2015-HPB-017</t>
  </si>
  <si>
    <t>548
(5-10mm)</t>
  </si>
  <si>
    <t>548
(10-20mm)</t>
  </si>
  <si>
    <t>ZQⅢ-0-2015-HPB-017-1</t>
  </si>
  <si>
    <t>ZQⅢ-0-2015-HPB-018</t>
  </si>
  <si>
    <t>C40纤维</t>
  </si>
  <si>
    <t>1078
(5-10mm)</t>
  </si>
  <si>
    <t>1
（纤维）</t>
  </si>
  <si>
    <t>ZQⅢ-0-2015-HPB-018-1</t>
  </si>
  <si>
    <t>ZQⅢ-0-2015-HPB-019</t>
  </si>
  <si>
    <t>T2、L1、Y1</t>
  </si>
  <si>
    <t>ZQⅢ-0-2015-HPB-019-1</t>
  </si>
  <si>
    <t>ZQⅢ-0-2015-HPB-020</t>
  </si>
  <si>
    <t>ZQⅢ-0-2015-HPB-020-1</t>
  </si>
</sst>
</file>

<file path=xl/styles.xml><?xml version="1.0" encoding="utf-8"?>
<styleSheet xmlns="http://schemas.openxmlformats.org/spreadsheetml/2006/main">
  <numFmts count="6">
    <numFmt numFmtId="42" formatCode="_ &quot;￥&quot;* #,##0_ ;_ &quot;￥&quot;* \-#,##0_ ;_ &quot;￥&quot;* &quot;-&quot;_ ;_ @_ "/>
    <numFmt numFmtId="41" formatCode="_ * #,##0_ ;_ * \-#,##0_ ;_ * &quot;-&quot;_ ;_ @_ "/>
    <numFmt numFmtId="44" formatCode="_ &quot;￥&quot;* #,##0.00_ ;_ &quot;￥&quot;* \-#,##0.00_ ;_ &quot;￥&quot;* &quot;-&quot;??_ ;_ @_ "/>
    <numFmt numFmtId="43" formatCode="_ * #,##0.00_ ;_ * \-#,##0.00_ ;_ * &quot;-&quot;??_ ;_ @_ "/>
    <numFmt numFmtId="176" formatCode="0.00_ "/>
    <numFmt numFmtId="177" formatCode="0.000"/>
  </numFmts>
  <fonts count="29">
    <font>
      <sz val="11"/>
      <color theme="1"/>
      <name val="宋体"/>
      <charset val="134"/>
      <scheme val="minor"/>
    </font>
    <font>
      <sz val="9"/>
      <name val="宋体"/>
      <charset val="134"/>
    </font>
    <font>
      <sz val="10"/>
      <name val="宋体"/>
      <charset val="134"/>
    </font>
    <font>
      <sz val="12"/>
      <name val="宋体"/>
      <charset val="134"/>
    </font>
    <font>
      <b/>
      <sz val="16"/>
      <name val="宋体"/>
      <charset val="134"/>
    </font>
    <font>
      <b/>
      <sz val="9"/>
      <name val="宋体"/>
      <charset val="134"/>
    </font>
    <font>
      <sz val="8"/>
      <name val="宋体"/>
      <charset val="134"/>
    </font>
    <font>
      <sz val="11"/>
      <color rgb="FFFA7D00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rgb="FFFFFFFF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indexed="20"/>
      <name val="宋体"/>
      <charset val="134"/>
    </font>
    <font>
      <b/>
      <sz val="11"/>
      <color rgb="FFFA7D00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3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indexed="60"/>
      <name val="宋体"/>
      <charset val="134"/>
    </font>
    <font>
      <b/>
      <sz val="11"/>
      <color rgb="FF3F3F3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rgb="FF9C6500"/>
      <name val="宋体"/>
      <charset val="0"/>
      <scheme val="minor"/>
    </font>
    <font>
      <vertAlign val="superscript"/>
      <sz val="9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rgb="FFA5A5A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</borders>
  <cellStyleXfs count="57">
    <xf numFmtId="0" fontId="0" fillId="0" borderId="0"/>
    <xf numFmtId="42" fontId="0" fillId="0" borderId="0" applyFont="0" applyFill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5" fillId="6" borderId="1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0" fillId="7" borderId="14" applyNumberFormat="0" applyFont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8" fillId="0" borderId="10" applyNumberFormat="0" applyFill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23" fillId="0" borderId="16" applyNumberFormat="0" applyFill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25" fillId="5" borderId="15" applyNumberFormat="0" applyAlignment="0" applyProtection="0">
      <alignment vertical="center"/>
    </xf>
    <xf numFmtId="0" fontId="14" fillId="5" borderId="12" applyNumberFormat="0" applyAlignment="0" applyProtection="0">
      <alignment vertical="center"/>
    </xf>
    <xf numFmtId="0" fontId="9" fillId="2" borderId="11" applyNumberFormat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7" fillId="0" borderId="9" applyNumberFormat="0" applyFill="0" applyAlignment="0" applyProtection="0">
      <alignment vertical="center"/>
    </xf>
    <xf numFmtId="0" fontId="16" fillId="0" borderId="13" applyNumberFormat="0" applyFill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3" fillId="0" borderId="0">
      <alignment vertical="center"/>
    </xf>
    <xf numFmtId="0" fontId="18" fillId="15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3" fillId="0" borderId="0"/>
    <xf numFmtId="0" fontId="18" fillId="3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7" fillId="3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</cellStyleXfs>
  <cellXfs count="39">
    <xf numFmtId="0" fontId="0" fillId="0" borderId="0" xfId="0"/>
    <xf numFmtId="0" fontId="1" fillId="0" borderId="0" xfId="54" applyFont="1" applyAlignment="1">
      <alignment vertical="center"/>
    </xf>
    <xf numFmtId="0" fontId="1" fillId="0" borderId="0" xfId="54" applyFont="1" applyFill="1" applyAlignment="1">
      <alignment vertical="center"/>
    </xf>
    <xf numFmtId="0" fontId="2" fillId="0" borderId="0" xfId="54" applyFont="1" applyFill="1" applyAlignment="1">
      <alignment vertical="center"/>
    </xf>
    <xf numFmtId="0" fontId="2" fillId="0" borderId="0" xfId="54" applyFont="1" applyFill="1" applyAlignment="1">
      <alignment horizontal="center" vertical="center" wrapText="1"/>
    </xf>
    <xf numFmtId="0" fontId="2" fillId="0" borderId="0" xfId="54" applyNumberFormat="1" applyFont="1" applyFill="1" applyAlignment="1">
      <alignment horizontal="center" vertical="center"/>
    </xf>
    <xf numFmtId="0" fontId="3" fillId="0" borderId="0" xfId="54" applyFill="1"/>
    <xf numFmtId="0" fontId="3" fillId="0" borderId="0" xfId="54" applyFill="1" applyAlignment="1">
      <alignment horizontal="center"/>
    </xf>
    <xf numFmtId="0" fontId="2" fillId="0" borderId="0" xfId="54" applyFont="1" applyAlignment="1">
      <alignment vertical="center"/>
    </xf>
    <xf numFmtId="0" fontId="4" fillId="0" borderId="1" xfId="54" applyFont="1" applyFill="1" applyBorder="1" applyAlignment="1">
      <alignment horizontal="center" vertical="center"/>
    </xf>
    <xf numFmtId="0" fontId="1" fillId="0" borderId="2" xfId="54" applyFont="1" applyFill="1" applyBorder="1" applyAlignment="1">
      <alignment horizontal="center" vertical="center" wrapText="1"/>
    </xf>
    <xf numFmtId="0" fontId="1" fillId="0" borderId="3" xfId="54" applyFont="1" applyFill="1" applyBorder="1" applyAlignment="1">
      <alignment horizontal="center" vertical="center" wrapText="1"/>
    </xf>
    <xf numFmtId="0" fontId="5" fillId="0" borderId="4" xfId="54" applyNumberFormat="1" applyFont="1" applyFill="1" applyBorder="1" applyAlignment="1">
      <alignment horizontal="center" vertical="center" wrapText="1"/>
    </xf>
    <xf numFmtId="0" fontId="5" fillId="0" borderId="5" xfId="54" applyNumberFormat="1" applyFont="1" applyFill="1" applyBorder="1" applyAlignment="1">
      <alignment horizontal="center" vertical="center" wrapText="1"/>
    </xf>
    <xf numFmtId="0" fontId="1" fillId="0" borderId="6" xfId="54" applyFont="1" applyFill="1" applyBorder="1" applyAlignment="1">
      <alignment horizontal="center" vertical="center" wrapText="1"/>
    </xf>
    <xf numFmtId="0" fontId="1" fillId="0" borderId="2" xfId="54" applyFont="1" applyFill="1" applyBorder="1" applyAlignment="1">
      <alignment horizontal="center" vertical="center"/>
    </xf>
    <xf numFmtId="0" fontId="1" fillId="0" borderId="2" xfId="54" applyNumberFormat="1" applyFont="1" applyFill="1" applyBorder="1" applyAlignment="1">
      <alignment horizontal="center" vertical="center" wrapText="1"/>
    </xf>
    <xf numFmtId="0" fontId="1" fillId="0" borderId="7" xfId="54" applyFont="1" applyFill="1" applyBorder="1" applyAlignment="1">
      <alignment horizontal="center" vertical="center" wrapText="1"/>
    </xf>
    <xf numFmtId="1" fontId="1" fillId="0" borderId="2" xfId="54" applyNumberFormat="1" applyFont="1" applyFill="1" applyBorder="1" applyAlignment="1">
      <alignment horizontal="center" vertical="center" wrapText="1"/>
    </xf>
    <xf numFmtId="2" fontId="1" fillId="0" borderId="2" xfId="54" applyNumberFormat="1" applyFont="1" applyFill="1" applyBorder="1" applyAlignment="1">
      <alignment horizontal="center" vertical="center" wrapText="1"/>
    </xf>
    <xf numFmtId="0" fontId="2" fillId="0" borderId="2" xfId="54" applyNumberFormat="1" applyFont="1" applyFill="1" applyBorder="1" applyAlignment="1">
      <alignment horizontal="center" vertical="center"/>
    </xf>
    <xf numFmtId="1" fontId="2" fillId="0" borderId="2" xfId="54" applyNumberFormat="1" applyFont="1" applyFill="1" applyBorder="1" applyAlignment="1">
      <alignment horizontal="center" vertical="center"/>
    </xf>
    <xf numFmtId="0" fontId="1" fillId="0" borderId="4" xfId="54" applyNumberFormat="1" applyFont="1" applyFill="1" applyBorder="1" applyAlignment="1">
      <alignment horizontal="center" vertical="center" wrapText="1"/>
    </xf>
    <xf numFmtId="2" fontId="1" fillId="0" borderId="4" xfId="54" applyNumberFormat="1" applyFont="1" applyFill="1" applyBorder="1" applyAlignment="1">
      <alignment horizontal="center" vertical="center" wrapText="1"/>
    </xf>
    <xf numFmtId="0" fontId="1" fillId="0" borderId="4" xfId="54" applyFont="1" applyFill="1" applyBorder="1" applyAlignment="1">
      <alignment horizontal="center" vertical="center"/>
    </xf>
    <xf numFmtId="0" fontId="1" fillId="0" borderId="5" xfId="54" applyFont="1" applyFill="1" applyBorder="1" applyAlignment="1">
      <alignment horizontal="center" vertical="center"/>
    </xf>
    <xf numFmtId="0" fontId="1" fillId="0" borderId="8" xfId="54" applyFont="1" applyFill="1" applyBorder="1" applyAlignment="1">
      <alignment horizontal="center" vertical="center"/>
    </xf>
    <xf numFmtId="0" fontId="1" fillId="0" borderId="2" xfId="54" applyNumberFormat="1" applyFont="1" applyFill="1" applyBorder="1" applyAlignment="1">
      <alignment horizontal="center" vertical="center"/>
    </xf>
    <xf numFmtId="0" fontId="6" fillId="0" borderId="2" xfId="54" applyNumberFormat="1" applyFont="1" applyFill="1" applyBorder="1" applyAlignment="1">
      <alignment horizontal="center" vertical="center" wrapText="1"/>
    </xf>
    <xf numFmtId="0" fontId="6" fillId="0" borderId="2" xfId="54" applyNumberFormat="1" applyFont="1" applyFill="1" applyBorder="1" applyAlignment="1">
      <alignment horizontal="center" vertical="center"/>
    </xf>
    <xf numFmtId="9" fontId="1" fillId="0" borderId="2" xfId="54" applyNumberFormat="1" applyFont="1" applyFill="1" applyBorder="1" applyAlignment="1">
      <alignment horizontal="center" vertical="center"/>
    </xf>
    <xf numFmtId="176" fontId="1" fillId="0" borderId="2" xfId="54" applyNumberFormat="1" applyFont="1" applyFill="1" applyBorder="1" applyAlignment="1">
      <alignment horizontal="center" vertical="center"/>
    </xf>
    <xf numFmtId="177" fontId="1" fillId="0" borderId="2" xfId="54" applyNumberFormat="1" applyFont="1" applyFill="1" applyBorder="1" applyAlignment="1">
      <alignment horizontal="center" vertical="center" wrapText="1"/>
    </xf>
    <xf numFmtId="2" fontId="1" fillId="0" borderId="2" xfId="54" applyNumberFormat="1" applyFont="1" applyFill="1" applyBorder="1" applyAlignment="1">
      <alignment horizontal="center" vertical="center"/>
    </xf>
    <xf numFmtId="2" fontId="2" fillId="0" borderId="2" xfId="54" applyNumberFormat="1" applyFont="1" applyFill="1" applyBorder="1" applyAlignment="1">
      <alignment horizontal="center" vertical="center"/>
    </xf>
    <xf numFmtId="0" fontId="1" fillId="0" borderId="8" xfId="54" applyNumberFormat="1" applyFont="1" applyFill="1" applyBorder="1" applyAlignment="1">
      <alignment horizontal="center" vertical="center" wrapText="1"/>
    </xf>
    <xf numFmtId="2" fontId="1" fillId="0" borderId="8" xfId="54" applyNumberFormat="1" applyFont="1" applyFill="1" applyBorder="1" applyAlignment="1">
      <alignment horizontal="center" vertical="center" wrapText="1"/>
    </xf>
    <xf numFmtId="177" fontId="1" fillId="0" borderId="3" xfId="54" applyNumberFormat="1" applyFont="1" applyFill="1" applyBorder="1" applyAlignment="1">
      <alignment horizontal="center" vertical="center" wrapText="1"/>
    </xf>
    <xf numFmtId="177" fontId="1" fillId="0" borderId="7" xfId="54" applyNumberFormat="1" applyFont="1" applyFill="1" applyBorder="1" applyAlignment="1">
      <alignment horizontal="center" vertical="center" wrapText="1"/>
    </xf>
  </cellXfs>
  <cellStyles count="57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常规 2 2 2" xfId="35"/>
    <cellStyle name="20% - 强调文字颜色 1" xfId="36" builtinId="30"/>
    <cellStyle name="40% - 强调文字颜色 1" xfId="37" builtinId="31"/>
    <cellStyle name="20% - 强调文字颜色 2" xfId="38" builtinId="34"/>
    <cellStyle name="40% - 强调文字颜色 2" xfId="39" builtinId="35"/>
    <cellStyle name="强调文字颜色 3" xfId="40" builtinId="37"/>
    <cellStyle name="强调文字颜色 4" xfId="41" builtinId="41"/>
    <cellStyle name="20% - 强调文字颜色 4" xfId="42" builtinId="42"/>
    <cellStyle name="40% - 强调文字颜色 4" xfId="43" builtinId="43"/>
    <cellStyle name="强调文字颜色 5" xfId="44" builtinId="45"/>
    <cellStyle name="常规 2 2" xfId="45"/>
    <cellStyle name="40% - 强调文字颜色 5" xfId="46" builtinId="47"/>
    <cellStyle name="60% - 强调文字颜色 5" xfId="47" builtinId="48"/>
    <cellStyle name="强调文字颜色 6" xfId="48" builtinId="49"/>
    <cellStyle name="适中 2" xfId="49"/>
    <cellStyle name="40% - 强调文字颜色 6" xfId="50" builtinId="51"/>
    <cellStyle name="60% - 强调文字颜色 6" xfId="51" builtinId="52"/>
    <cellStyle name="差 2" xfId="52"/>
    <cellStyle name="常规 10 2 2" xfId="53"/>
    <cellStyle name="常规 11" xfId="54"/>
    <cellStyle name="常规 2" xfId="55"/>
    <cellStyle name="常规 3" xfId="56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46"/>
  <sheetViews>
    <sheetView tabSelected="1" workbookViewId="0">
      <pane xSplit="3" ySplit="6" topLeftCell="D7" activePane="bottomRight" state="frozen"/>
      <selection/>
      <selection pane="topRight"/>
      <selection pane="bottomLeft"/>
      <selection pane="bottomRight" activeCell="V8" sqref="V8"/>
    </sheetView>
  </sheetViews>
  <sheetFormatPr defaultColWidth="9" defaultRowHeight="15.6"/>
  <cols>
    <col min="1" max="1" width="7.87962962962963" style="4" customWidth="1"/>
    <col min="2" max="2" width="6.12962962962963" style="4" customWidth="1"/>
    <col min="3" max="3" width="3.87962962962963" style="3" customWidth="1"/>
    <col min="4" max="4" width="10.6296296296296" style="5" customWidth="1"/>
    <col min="5" max="5" width="8.12962962962963" style="5" customWidth="1"/>
    <col min="6" max="6" width="8.87962962962963" style="5" customWidth="1"/>
    <col min="7" max="7" width="9.12962962962963" style="5" customWidth="1"/>
    <col min="8" max="8" width="7.37962962962963" style="5" customWidth="1"/>
    <col min="9" max="9" width="8.5" style="5" customWidth="1"/>
    <col min="10" max="10" width="9.12962962962963" style="5" customWidth="1"/>
    <col min="11" max="11" width="10.6296296296296" style="5" customWidth="1"/>
    <col min="12" max="12" width="10.25" style="5" customWidth="1"/>
    <col min="13" max="13" width="4.75" style="6" customWidth="1"/>
    <col min="14" max="14" width="5.12962962962963" style="7" customWidth="1"/>
    <col min="15" max="15" width="8.12962962962963" style="6" customWidth="1"/>
    <col min="16" max="16" width="7.37962962962963" style="4" customWidth="1"/>
    <col min="17" max="17" width="8.75" style="4" customWidth="1"/>
    <col min="18" max="18" width="6.12962962962963" style="4" customWidth="1"/>
    <col min="19" max="19" width="9" style="3"/>
    <col min="20" max="239" width="9" style="8"/>
    <col min="240" max="240" width="10.6296296296296" style="8" customWidth="1"/>
    <col min="241" max="241" width="9.75" style="8" customWidth="1"/>
    <col min="242" max="242" width="3.87962962962963" style="8" customWidth="1"/>
    <col min="243" max="243" width="10.6296296296296" style="8" customWidth="1"/>
    <col min="244" max="244" width="8.12962962962963" style="8" customWidth="1"/>
    <col min="245" max="245" width="8" style="8" customWidth="1"/>
    <col min="246" max="246" width="9.12962962962963" style="8" customWidth="1"/>
    <col min="247" max="247" width="6.62962962962963" style="8" customWidth="1"/>
    <col min="248" max="248" width="8.5" style="8" customWidth="1"/>
    <col min="249" max="249" width="9.12962962962963" style="8" customWidth="1"/>
    <col min="250" max="250" width="12.3796296296296" style="8" customWidth="1"/>
    <col min="251" max="251" width="9.12962962962963" style="8" customWidth="1"/>
    <col min="252" max="252" width="4.37962962962963" style="8" customWidth="1"/>
    <col min="253" max="253" width="6" style="8" customWidth="1"/>
    <col min="254" max="254" width="8.12962962962963" style="8" customWidth="1"/>
    <col min="255" max="255" width="7.87962962962963" style="8" customWidth="1"/>
    <col min="256" max="256" width="9.75" style="8" customWidth="1"/>
    <col min="257" max="257" width="9" style="8"/>
    <col min="258" max="267" width="9" style="8" hidden="1" customWidth="1"/>
    <col min="268" max="495" width="9" style="8"/>
    <col min="496" max="496" width="10.6296296296296" style="8" customWidth="1"/>
    <col min="497" max="497" width="9.75" style="8" customWidth="1"/>
    <col min="498" max="498" width="3.87962962962963" style="8" customWidth="1"/>
    <col min="499" max="499" width="10.6296296296296" style="8" customWidth="1"/>
    <col min="500" max="500" width="8.12962962962963" style="8" customWidth="1"/>
    <col min="501" max="501" width="8" style="8" customWidth="1"/>
    <col min="502" max="502" width="9.12962962962963" style="8" customWidth="1"/>
    <col min="503" max="503" width="6.62962962962963" style="8" customWidth="1"/>
    <col min="504" max="504" width="8.5" style="8" customWidth="1"/>
    <col min="505" max="505" width="9.12962962962963" style="8" customWidth="1"/>
    <col min="506" max="506" width="12.3796296296296" style="8" customWidth="1"/>
    <col min="507" max="507" width="9.12962962962963" style="8" customWidth="1"/>
    <col min="508" max="508" width="4.37962962962963" style="8" customWidth="1"/>
    <col min="509" max="509" width="6" style="8" customWidth="1"/>
    <col min="510" max="510" width="8.12962962962963" style="8" customWidth="1"/>
    <col min="511" max="511" width="7.87962962962963" style="8" customWidth="1"/>
    <col min="512" max="512" width="9.75" style="8" customWidth="1"/>
    <col min="513" max="513" width="9" style="8"/>
    <col min="514" max="523" width="9" style="8" hidden="1" customWidth="1"/>
    <col min="524" max="751" width="9" style="8"/>
    <col min="752" max="752" width="10.6296296296296" style="8" customWidth="1"/>
    <col min="753" max="753" width="9.75" style="8" customWidth="1"/>
    <col min="754" max="754" width="3.87962962962963" style="8" customWidth="1"/>
    <col min="755" max="755" width="10.6296296296296" style="8" customWidth="1"/>
    <col min="756" max="756" width="8.12962962962963" style="8" customWidth="1"/>
    <col min="757" max="757" width="8" style="8" customWidth="1"/>
    <col min="758" max="758" width="9.12962962962963" style="8" customWidth="1"/>
    <col min="759" max="759" width="6.62962962962963" style="8" customWidth="1"/>
    <col min="760" max="760" width="8.5" style="8" customWidth="1"/>
    <col min="761" max="761" width="9.12962962962963" style="8" customWidth="1"/>
    <col min="762" max="762" width="12.3796296296296" style="8" customWidth="1"/>
    <col min="763" max="763" width="9.12962962962963" style="8" customWidth="1"/>
    <col min="764" max="764" width="4.37962962962963" style="8" customWidth="1"/>
    <col min="765" max="765" width="6" style="8" customWidth="1"/>
    <col min="766" max="766" width="8.12962962962963" style="8" customWidth="1"/>
    <col min="767" max="767" width="7.87962962962963" style="8" customWidth="1"/>
    <col min="768" max="768" width="9.75" style="8" customWidth="1"/>
    <col min="769" max="769" width="9" style="8"/>
    <col min="770" max="779" width="9" style="8" hidden="1" customWidth="1"/>
    <col min="780" max="1007" width="9" style="8"/>
    <col min="1008" max="1008" width="10.6296296296296" style="8" customWidth="1"/>
    <col min="1009" max="1009" width="9.75" style="8" customWidth="1"/>
    <col min="1010" max="1010" width="3.87962962962963" style="8" customWidth="1"/>
    <col min="1011" max="1011" width="10.6296296296296" style="8" customWidth="1"/>
    <col min="1012" max="1012" width="8.12962962962963" style="8" customWidth="1"/>
    <col min="1013" max="1013" width="8" style="8" customWidth="1"/>
    <col min="1014" max="1014" width="9.12962962962963" style="8" customWidth="1"/>
    <col min="1015" max="1015" width="6.62962962962963" style="8" customWidth="1"/>
    <col min="1016" max="1016" width="8.5" style="8" customWidth="1"/>
    <col min="1017" max="1017" width="9.12962962962963" style="8" customWidth="1"/>
    <col min="1018" max="1018" width="12.3796296296296" style="8" customWidth="1"/>
    <col min="1019" max="1019" width="9.12962962962963" style="8" customWidth="1"/>
    <col min="1020" max="1020" width="4.37962962962963" style="8" customWidth="1"/>
    <col min="1021" max="1021" width="6" style="8" customWidth="1"/>
    <col min="1022" max="1022" width="8.12962962962963" style="8" customWidth="1"/>
    <col min="1023" max="1023" width="7.87962962962963" style="8" customWidth="1"/>
    <col min="1024" max="1024" width="9.75" style="8" customWidth="1"/>
    <col min="1025" max="1025" width="9" style="8"/>
    <col min="1026" max="1035" width="9" style="8" hidden="1" customWidth="1"/>
    <col min="1036" max="1263" width="9" style="8"/>
    <col min="1264" max="1264" width="10.6296296296296" style="8" customWidth="1"/>
    <col min="1265" max="1265" width="9.75" style="8" customWidth="1"/>
    <col min="1266" max="1266" width="3.87962962962963" style="8" customWidth="1"/>
    <col min="1267" max="1267" width="10.6296296296296" style="8" customWidth="1"/>
    <col min="1268" max="1268" width="8.12962962962963" style="8" customWidth="1"/>
    <col min="1269" max="1269" width="8" style="8" customWidth="1"/>
    <col min="1270" max="1270" width="9.12962962962963" style="8" customWidth="1"/>
    <col min="1271" max="1271" width="6.62962962962963" style="8" customWidth="1"/>
    <col min="1272" max="1272" width="8.5" style="8" customWidth="1"/>
    <col min="1273" max="1273" width="9.12962962962963" style="8" customWidth="1"/>
    <col min="1274" max="1274" width="12.3796296296296" style="8" customWidth="1"/>
    <col min="1275" max="1275" width="9.12962962962963" style="8" customWidth="1"/>
    <col min="1276" max="1276" width="4.37962962962963" style="8" customWidth="1"/>
    <col min="1277" max="1277" width="6" style="8" customWidth="1"/>
    <col min="1278" max="1278" width="8.12962962962963" style="8" customWidth="1"/>
    <col min="1279" max="1279" width="7.87962962962963" style="8" customWidth="1"/>
    <col min="1280" max="1280" width="9.75" style="8" customWidth="1"/>
    <col min="1281" max="1281" width="9" style="8"/>
    <col min="1282" max="1291" width="9" style="8" hidden="1" customWidth="1"/>
    <col min="1292" max="1519" width="9" style="8"/>
    <col min="1520" max="1520" width="10.6296296296296" style="8" customWidth="1"/>
    <col min="1521" max="1521" width="9.75" style="8" customWidth="1"/>
    <col min="1522" max="1522" width="3.87962962962963" style="8" customWidth="1"/>
    <col min="1523" max="1523" width="10.6296296296296" style="8" customWidth="1"/>
    <col min="1524" max="1524" width="8.12962962962963" style="8" customWidth="1"/>
    <col min="1525" max="1525" width="8" style="8" customWidth="1"/>
    <col min="1526" max="1526" width="9.12962962962963" style="8" customWidth="1"/>
    <col min="1527" max="1527" width="6.62962962962963" style="8" customWidth="1"/>
    <col min="1528" max="1528" width="8.5" style="8" customWidth="1"/>
    <col min="1529" max="1529" width="9.12962962962963" style="8" customWidth="1"/>
    <col min="1530" max="1530" width="12.3796296296296" style="8" customWidth="1"/>
    <col min="1531" max="1531" width="9.12962962962963" style="8" customWidth="1"/>
    <col min="1532" max="1532" width="4.37962962962963" style="8" customWidth="1"/>
    <col min="1533" max="1533" width="6" style="8" customWidth="1"/>
    <col min="1534" max="1534" width="8.12962962962963" style="8" customWidth="1"/>
    <col min="1535" max="1535" width="7.87962962962963" style="8" customWidth="1"/>
    <col min="1536" max="1536" width="9.75" style="8" customWidth="1"/>
    <col min="1537" max="1537" width="9" style="8"/>
    <col min="1538" max="1547" width="9" style="8" hidden="1" customWidth="1"/>
    <col min="1548" max="1775" width="9" style="8"/>
    <col min="1776" max="1776" width="10.6296296296296" style="8" customWidth="1"/>
    <col min="1777" max="1777" width="9.75" style="8" customWidth="1"/>
    <col min="1778" max="1778" width="3.87962962962963" style="8" customWidth="1"/>
    <col min="1779" max="1779" width="10.6296296296296" style="8" customWidth="1"/>
    <col min="1780" max="1780" width="8.12962962962963" style="8" customWidth="1"/>
    <col min="1781" max="1781" width="8" style="8" customWidth="1"/>
    <col min="1782" max="1782" width="9.12962962962963" style="8" customWidth="1"/>
    <col min="1783" max="1783" width="6.62962962962963" style="8" customWidth="1"/>
    <col min="1784" max="1784" width="8.5" style="8" customWidth="1"/>
    <col min="1785" max="1785" width="9.12962962962963" style="8" customWidth="1"/>
    <col min="1786" max="1786" width="12.3796296296296" style="8" customWidth="1"/>
    <col min="1787" max="1787" width="9.12962962962963" style="8" customWidth="1"/>
    <col min="1788" max="1788" width="4.37962962962963" style="8" customWidth="1"/>
    <col min="1789" max="1789" width="6" style="8" customWidth="1"/>
    <col min="1790" max="1790" width="8.12962962962963" style="8" customWidth="1"/>
    <col min="1791" max="1791" width="7.87962962962963" style="8" customWidth="1"/>
    <col min="1792" max="1792" width="9.75" style="8" customWidth="1"/>
    <col min="1793" max="1793" width="9" style="8"/>
    <col min="1794" max="1803" width="9" style="8" hidden="1" customWidth="1"/>
    <col min="1804" max="2031" width="9" style="8"/>
    <col min="2032" max="2032" width="10.6296296296296" style="8" customWidth="1"/>
    <col min="2033" max="2033" width="9.75" style="8" customWidth="1"/>
    <col min="2034" max="2034" width="3.87962962962963" style="8" customWidth="1"/>
    <col min="2035" max="2035" width="10.6296296296296" style="8" customWidth="1"/>
    <col min="2036" max="2036" width="8.12962962962963" style="8" customWidth="1"/>
    <col min="2037" max="2037" width="8" style="8" customWidth="1"/>
    <col min="2038" max="2038" width="9.12962962962963" style="8" customWidth="1"/>
    <col min="2039" max="2039" width="6.62962962962963" style="8" customWidth="1"/>
    <col min="2040" max="2040" width="8.5" style="8" customWidth="1"/>
    <col min="2041" max="2041" width="9.12962962962963" style="8" customWidth="1"/>
    <col min="2042" max="2042" width="12.3796296296296" style="8" customWidth="1"/>
    <col min="2043" max="2043" width="9.12962962962963" style="8" customWidth="1"/>
    <col min="2044" max="2044" width="4.37962962962963" style="8" customWidth="1"/>
    <col min="2045" max="2045" width="6" style="8" customWidth="1"/>
    <col min="2046" max="2046" width="8.12962962962963" style="8" customWidth="1"/>
    <col min="2047" max="2047" width="7.87962962962963" style="8" customWidth="1"/>
    <col min="2048" max="2048" width="9.75" style="8" customWidth="1"/>
    <col min="2049" max="2049" width="9" style="8"/>
    <col min="2050" max="2059" width="9" style="8" hidden="1" customWidth="1"/>
    <col min="2060" max="2287" width="9" style="8"/>
    <col min="2288" max="2288" width="10.6296296296296" style="8" customWidth="1"/>
    <col min="2289" max="2289" width="9.75" style="8" customWidth="1"/>
    <col min="2290" max="2290" width="3.87962962962963" style="8" customWidth="1"/>
    <col min="2291" max="2291" width="10.6296296296296" style="8" customWidth="1"/>
    <col min="2292" max="2292" width="8.12962962962963" style="8" customWidth="1"/>
    <col min="2293" max="2293" width="8" style="8" customWidth="1"/>
    <col min="2294" max="2294" width="9.12962962962963" style="8" customWidth="1"/>
    <col min="2295" max="2295" width="6.62962962962963" style="8" customWidth="1"/>
    <col min="2296" max="2296" width="8.5" style="8" customWidth="1"/>
    <col min="2297" max="2297" width="9.12962962962963" style="8" customWidth="1"/>
    <col min="2298" max="2298" width="12.3796296296296" style="8" customWidth="1"/>
    <col min="2299" max="2299" width="9.12962962962963" style="8" customWidth="1"/>
    <col min="2300" max="2300" width="4.37962962962963" style="8" customWidth="1"/>
    <col min="2301" max="2301" width="6" style="8" customWidth="1"/>
    <col min="2302" max="2302" width="8.12962962962963" style="8" customWidth="1"/>
    <col min="2303" max="2303" width="7.87962962962963" style="8" customWidth="1"/>
    <col min="2304" max="2304" width="9.75" style="8" customWidth="1"/>
    <col min="2305" max="2305" width="9" style="8"/>
    <col min="2306" max="2315" width="9" style="8" hidden="1" customWidth="1"/>
    <col min="2316" max="2543" width="9" style="8"/>
    <col min="2544" max="2544" width="10.6296296296296" style="8" customWidth="1"/>
    <col min="2545" max="2545" width="9.75" style="8" customWidth="1"/>
    <col min="2546" max="2546" width="3.87962962962963" style="8" customWidth="1"/>
    <col min="2547" max="2547" width="10.6296296296296" style="8" customWidth="1"/>
    <col min="2548" max="2548" width="8.12962962962963" style="8" customWidth="1"/>
    <col min="2549" max="2549" width="8" style="8" customWidth="1"/>
    <col min="2550" max="2550" width="9.12962962962963" style="8" customWidth="1"/>
    <col min="2551" max="2551" width="6.62962962962963" style="8" customWidth="1"/>
    <col min="2552" max="2552" width="8.5" style="8" customWidth="1"/>
    <col min="2553" max="2553" width="9.12962962962963" style="8" customWidth="1"/>
    <col min="2554" max="2554" width="12.3796296296296" style="8" customWidth="1"/>
    <col min="2555" max="2555" width="9.12962962962963" style="8" customWidth="1"/>
    <col min="2556" max="2556" width="4.37962962962963" style="8" customWidth="1"/>
    <col min="2557" max="2557" width="6" style="8" customWidth="1"/>
    <col min="2558" max="2558" width="8.12962962962963" style="8" customWidth="1"/>
    <col min="2559" max="2559" width="7.87962962962963" style="8" customWidth="1"/>
    <col min="2560" max="2560" width="9.75" style="8" customWidth="1"/>
    <col min="2561" max="2561" width="9" style="8"/>
    <col min="2562" max="2571" width="9" style="8" hidden="1" customWidth="1"/>
    <col min="2572" max="2799" width="9" style="8"/>
    <col min="2800" max="2800" width="10.6296296296296" style="8" customWidth="1"/>
    <col min="2801" max="2801" width="9.75" style="8" customWidth="1"/>
    <col min="2802" max="2802" width="3.87962962962963" style="8" customWidth="1"/>
    <col min="2803" max="2803" width="10.6296296296296" style="8" customWidth="1"/>
    <col min="2804" max="2804" width="8.12962962962963" style="8" customWidth="1"/>
    <col min="2805" max="2805" width="8" style="8" customWidth="1"/>
    <col min="2806" max="2806" width="9.12962962962963" style="8" customWidth="1"/>
    <col min="2807" max="2807" width="6.62962962962963" style="8" customWidth="1"/>
    <col min="2808" max="2808" width="8.5" style="8" customWidth="1"/>
    <col min="2809" max="2809" width="9.12962962962963" style="8" customWidth="1"/>
    <col min="2810" max="2810" width="12.3796296296296" style="8" customWidth="1"/>
    <col min="2811" max="2811" width="9.12962962962963" style="8" customWidth="1"/>
    <col min="2812" max="2812" width="4.37962962962963" style="8" customWidth="1"/>
    <col min="2813" max="2813" width="6" style="8" customWidth="1"/>
    <col min="2814" max="2814" width="8.12962962962963" style="8" customWidth="1"/>
    <col min="2815" max="2815" width="7.87962962962963" style="8" customWidth="1"/>
    <col min="2816" max="2816" width="9.75" style="8" customWidth="1"/>
    <col min="2817" max="2817" width="9" style="8"/>
    <col min="2818" max="2827" width="9" style="8" hidden="1" customWidth="1"/>
    <col min="2828" max="3055" width="9" style="8"/>
    <col min="3056" max="3056" width="10.6296296296296" style="8" customWidth="1"/>
    <col min="3057" max="3057" width="9.75" style="8" customWidth="1"/>
    <col min="3058" max="3058" width="3.87962962962963" style="8" customWidth="1"/>
    <col min="3059" max="3059" width="10.6296296296296" style="8" customWidth="1"/>
    <col min="3060" max="3060" width="8.12962962962963" style="8" customWidth="1"/>
    <col min="3061" max="3061" width="8" style="8" customWidth="1"/>
    <col min="3062" max="3062" width="9.12962962962963" style="8" customWidth="1"/>
    <col min="3063" max="3063" width="6.62962962962963" style="8" customWidth="1"/>
    <col min="3064" max="3064" width="8.5" style="8" customWidth="1"/>
    <col min="3065" max="3065" width="9.12962962962963" style="8" customWidth="1"/>
    <col min="3066" max="3066" width="12.3796296296296" style="8" customWidth="1"/>
    <col min="3067" max="3067" width="9.12962962962963" style="8" customWidth="1"/>
    <col min="3068" max="3068" width="4.37962962962963" style="8" customWidth="1"/>
    <col min="3069" max="3069" width="6" style="8" customWidth="1"/>
    <col min="3070" max="3070" width="8.12962962962963" style="8" customWidth="1"/>
    <col min="3071" max="3071" width="7.87962962962963" style="8" customWidth="1"/>
    <col min="3072" max="3072" width="9.75" style="8" customWidth="1"/>
    <col min="3073" max="3073" width="9" style="8"/>
    <col min="3074" max="3083" width="9" style="8" hidden="1" customWidth="1"/>
    <col min="3084" max="3311" width="9" style="8"/>
    <col min="3312" max="3312" width="10.6296296296296" style="8" customWidth="1"/>
    <col min="3313" max="3313" width="9.75" style="8" customWidth="1"/>
    <col min="3314" max="3314" width="3.87962962962963" style="8" customWidth="1"/>
    <col min="3315" max="3315" width="10.6296296296296" style="8" customWidth="1"/>
    <col min="3316" max="3316" width="8.12962962962963" style="8" customWidth="1"/>
    <col min="3317" max="3317" width="8" style="8" customWidth="1"/>
    <col min="3318" max="3318" width="9.12962962962963" style="8" customWidth="1"/>
    <col min="3319" max="3319" width="6.62962962962963" style="8" customWidth="1"/>
    <col min="3320" max="3320" width="8.5" style="8" customWidth="1"/>
    <col min="3321" max="3321" width="9.12962962962963" style="8" customWidth="1"/>
    <col min="3322" max="3322" width="12.3796296296296" style="8" customWidth="1"/>
    <col min="3323" max="3323" width="9.12962962962963" style="8" customWidth="1"/>
    <col min="3324" max="3324" width="4.37962962962963" style="8" customWidth="1"/>
    <col min="3325" max="3325" width="6" style="8" customWidth="1"/>
    <col min="3326" max="3326" width="8.12962962962963" style="8" customWidth="1"/>
    <col min="3327" max="3327" width="7.87962962962963" style="8" customWidth="1"/>
    <col min="3328" max="3328" width="9.75" style="8" customWidth="1"/>
    <col min="3329" max="3329" width="9" style="8"/>
    <col min="3330" max="3339" width="9" style="8" hidden="1" customWidth="1"/>
    <col min="3340" max="3567" width="9" style="8"/>
    <col min="3568" max="3568" width="10.6296296296296" style="8" customWidth="1"/>
    <col min="3569" max="3569" width="9.75" style="8" customWidth="1"/>
    <col min="3570" max="3570" width="3.87962962962963" style="8" customWidth="1"/>
    <col min="3571" max="3571" width="10.6296296296296" style="8" customWidth="1"/>
    <col min="3572" max="3572" width="8.12962962962963" style="8" customWidth="1"/>
    <col min="3573" max="3573" width="8" style="8" customWidth="1"/>
    <col min="3574" max="3574" width="9.12962962962963" style="8" customWidth="1"/>
    <col min="3575" max="3575" width="6.62962962962963" style="8" customWidth="1"/>
    <col min="3576" max="3576" width="8.5" style="8" customWidth="1"/>
    <col min="3577" max="3577" width="9.12962962962963" style="8" customWidth="1"/>
    <col min="3578" max="3578" width="12.3796296296296" style="8" customWidth="1"/>
    <col min="3579" max="3579" width="9.12962962962963" style="8" customWidth="1"/>
    <col min="3580" max="3580" width="4.37962962962963" style="8" customWidth="1"/>
    <col min="3581" max="3581" width="6" style="8" customWidth="1"/>
    <col min="3582" max="3582" width="8.12962962962963" style="8" customWidth="1"/>
    <col min="3583" max="3583" width="7.87962962962963" style="8" customWidth="1"/>
    <col min="3584" max="3584" width="9.75" style="8" customWidth="1"/>
    <col min="3585" max="3585" width="9" style="8"/>
    <col min="3586" max="3595" width="9" style="8" hidden="1" customWidth="1"/>
    <col min="3596" max="3823" width="9" style="8"/>
    <col min="3824" max="3824" width="10.6296296296296" style="8" customWidth="1"/>
    <col min="3825" max="3825" width="9.75" style="8" customWidth="1"/>
    <col min="3826" max="3826" width="3.87962962962963" style="8" customWidth="1"/>
    <col min="3827" max="3827" width="10.6296296296296" style="8" customWidth="1"/>
    <col min="3828" max="3828" width="8.12962962962963" style="8" customWidth="1"/>
    <col min="3829" max="3829" width="8" style="8" customWidth="1"/>
    <col min="3830" max="3830" width="9.12962962962963" style="8" customWidth="1"/>
    <col min="3831" max="3831" width="6.62962962962963" style="8" customWidth="1"/>
    <col min="3832" max="3832" width="8.5" style="8" customWidth="1"/>
    <col min="3833" max="3833" width="9.12962962962963" style="8" customWidth="1"/>
    <col min="3834" max="3834" width="12.3796296296296" style="8" customWidth="1"/>
    <col min="3835" max="3835" width="9.12962962962963" style="8" customWidth="1"/>
    <col min="3836" max="3836" width="4.37962962962963" style="8" customWidth="1"/>
    <col min="3837" max="3837" width="6" style="8" customWidth="1"/>
    <col min="3838" max="3838" width="8.12962962962963" style="8" customWidth="1"/>
    <col min="3839" max="3839" width="7.87962962962963" style="8" customWidth="1"/>
    <col min="3840" max="3840" width="9.75" style="8" customWidth="1"/>
    <col min="3841" max="3841" width="9" style="8"/>
    <col min="3842" max="3851" width="9" style="8" hidden="1" customWidth="1"/>
    <col min="3852" max="4079" width="9" style="8"/>
    <col min="4080" max="4080" width="10.6296296296296" style="8" customWidth="1"/>
    <col min="4081" max="4081" width="9.75" style="8" customWidth="1"/>
    <col min="4082" max="4082" width="3.87962962962963" style="8" customWidth="1"/>
    <col min="4083" max="4083" width="10.6296296296296" style="8" customWidth="1"/>
    <col min="4084" max="4084" width="8.12962962962963" style="8" customWidth="1"/>
    <col min="4085" max="4085" width="8" style="8" customWidth="1"/>
    <col min="4086" max="4086" width="9.12962962962963" style="8" customWidth="1"/>
    <col min="4087" max="4087" width="6.62962962962963" style="8" customWidth="1"/>
    <col min="4088" max="4088" width="8.5" style="8" customWidth="1"/>
    <col min="4089" max="4089" width="9.12962962962963" style="8" customWidth="1"/>
    <col min="4090" max="4090" width="12.3796296296296" style="8" customWidth="1"/>
    <col min="4091" max="4091" width="9.12962962962963" style="8" customWidth="1"/>
    <col min="4092" max="4092" width="4.37962962962963" style="8" customWidth="1"/>
    <col min="4093" max="4093" width="6" style="8" customWidth="1"/>
    <col min="4094" max="4094" width="8.12962962962963" style="8" customWidth="1"/>
    <col min="4095" max="4095" width="7.87962962962963" style="8" customWidth="1"/>
    <col min="4096" max="4096" width="9.75" style="8" customWidth="1"/>
    <col min="4097" max="4097" width="9" style="8"/>
    <col min="4098" max="4107" width="9" style="8" hidden="1" customWidth="1"/>
    <col min="4108" max="4335" width="9" style="8"/>
    <col min="4336" max="4336" width="10.6296296296296" style="8" customWidth="1"/>
    <col min="4337" max="4337" width="9.75" style="8" customWidth="1"/>
    <col min="4338" max="4338" width="3.87962962962963" style="8" customWidth="1"/>
    <col min="4339" max="4339" width="10.6296296296296" style="8" customWidth="1"/>
    <col min="4340" max="4340" width="8.12962962962963" style="8" customWidth="1"/>
    <col min="4341" max="4341" width="8" style="8" customWidth="1"/>
    <col min="4342" max="4342" width="9.12962962962963" style="8" customWidth="1"/>
    <col min="4343" max="4343" width="6.62962962962963" style="8" customWidth="1"/>
    <col min="4344" max="4344" width="8.5" style="8" customWidth="1"/>
    <col min="4345" max="4345" width="9.12962962962963" style="8" customWidth="1"/>
    <col min="4346" max="4346" width="12.3796296296296" style="8" customWidth="1"/>
    <col min="4347" max="4347" width="9.12962962962963" style="8" customWidth="1"/>
    <col min="4348" max="4348" width="4.37962962962963" style="8" customWidth="1"/>
    <col min="4349" max="4349" width="6" style="8" customWidth="1"/>
    <col min="4350" max="4350" width="8.12962962962963" style="8" customWidth="1"/>
    <col min="4351" max="4351" width="7.87962962962963" style="8" customWidth="1"/>
    <col min="4352" max="4352" width="9.75" style="8" customWidth="1"/>
    <col min="4353" max="4353" width="9" style="8"/>
    <col min="4354" max="4363" width="9" style="8" hidden="1" customWidth="1"/>
    <col min="4364" max="4591" width="9" style="8"/>
    <col min="4592" max="4592" width="10.6296296296296" style="8" customWidth="1"/>
    <col min="4593" max="4593" width="9.75" style="8" customWidth="1"/>
    <col min="4594" max="4594" width="3.87962962962963" style="8" customWidth="1"/>
    <col min="4595" max="4595" width="10.6296296296296" style="8" customWidth="1"/>
    <col min="4596" max="4596" width="8.12962962962963" style="8" customWidth="1"/>
    <col min="4597" max="4597" width="8" style="8" customWidth="1"/>
    <col min="4598" max="4598" width="9.12962962962963" style="8" customWidth="1"/>
    <col min="4599" max="4599" width="6.62962962962963" style="8" customWidth="1"/>
    <col min="4600" max="4600" width="8.5" style="8" customWidth="1"/>
    <col min="4601" max="4601" width="9.12962962962963" style="8" customWidth="1"/>
    <col min="4602" max="4602" width="12.3796296296296" style="8" customWidth="1"/>
    <col min="4603" max="4603" width="9.12962962962963" style="8" customWidth="1"/>
    <col min="4604" max="4604" width="4.37962962962963" style="8" customWidth="1"/>
    <col min="4605" max="4605" width="6" style="8" customWidth="1"/>
    <col min="4606" max="4606" width="8.12962962962963" style="8" customWidth="1"/>
    <col min="4607" max="4607" width="7.87962962962963" style="8" customWidth="1"/>
    <col min="4608" max="4608" width="9.75" style="8" customWidth="1"/>
    <col min="4609" max="4609" width="9" style="8"/>
    <col min="4610" max="4619" width="9" style="8" hidden="1" customWidth="1"/>
    <col min="4620" max="4847" width="9" style="8"/>
    <col min="4848" max="4848" width="10.6296296296296" style="8" customWidth="1"/>
    <col min="4849" max="4849" width="9.75" style="8" customWidth="1"/>
    <col min="4850" max="4850" width="3.87962962962963" style="8" customWidth="1"/>
    <col min="4851" max="4851" width="10.6296296296296" style="8" customWidth="1"/>
    <col min="4852" max="4852" width="8.12962962962963" style="8" customWidth="1"/>
    <col min="4853" max="4853" width="8" style="8" customWidth="1"/>
    <col min="4854" max="4854" width="9.12962962962963" style="8" customWidth="1"/>
    <col min="4855" max="4855" width="6.62962962962963" style="8" customWidth="1"/>
    <col min="4856" max="4856" width="8.5" style="8" customWidth="1"/>
    <col min="4857" max="4857" width="9.12962962962963" style="8" customWidth="1"/>
    <col min="4858" max="4858" width="12.3796296296296" style="8" customWidth="1"/>
    <col min="4859" max="4859" width="9.12962962962963" style="8" customWidth="1"/>
    <col min="4860" max="4860" width="4.37962962962963" style="8" customWidth="1"/>
    <col min="4861" max="4861" width="6" style="8" customWidth="1"/>
    <col min="4862" max="4862" width="8.12962962962963" style="8" customWidth="1"/>
    <col min="4863" max="4863" width="7.87962962962963" style="8" customWidth="1"/>
    <col min="4864" max="4864" width="9.75" style="8" customWidth="1"/>
    <col min="4865" max="4865" width="9" style="8"/>
    <col min="4866" max="4875" width="9" style="8" hidden="1" customWidth="1"/>
    <col min="4876" max="5103" width="9" style="8"/>
    <col min="5104" max="5104" width="10.6296296296296" style="8" customWidth="1"/>
    <col min="5105" max="5105" width="9.75" style="8" customWidth="1"/>
    <col min="5106" max="5106" width="3.87962962962963" style="8" customWidth="1"/>
    <col min="5107" max="5107" width="10.6296296296296" style="8" customWidth="1"/>
    <col min="5108" max="5108" width="8.12962962962963" style="8" customWidth="1"/>
    <col min="5109" max="5109" width="8" style="8" customWidth="1"/>
    <col min="5110" max="5110" width="9.12962962962963" style="8" customWidth="1"/>
    <col min="5111" max="5111" width="6.62962962962963" style="8" customWidth="1"/>
    <col min="5112" max="5112" width="8.5" style="8" customWidth="1"/>
    <col min="5113" max="5113" width="9.12962962962963" style="8" customWidth="1"/>
    <col min="5114" max="5114" width="12.3796296296296" style="8" customWidth="1"/>
    <col min="5115" max="5115" width="9.12962962962963" style="8" customWidth="1"/>
    <col min="5116" max="5116" width="4.37962962962963" style="8" customWidth="1"/>
    <col min="5117" max="5117" width="6" style="8" customWidth="1"/>
    <col min="5118" max="5118" width="8.12962962962963" style="8" customWidth="1"/>
    <col min="5119" max="5119" width="7.87962962962963" style="8" customWidth="1"/>
    <col min="5120" max="5120" width="9.75" style="8" customWidth="1"/>
    <col min="5121" max="5121" width="9" style="8"/>
    <col min="5122" max="5131" width="9" style="8" hidden="1" customWidth="1"/>
    <col min="5132" max="5359" width="9" style="8"/>
    <col min="5360" max="5360" width="10.6296296296296" style="8" customWidth="1"/>
    <col min="5361" max="5361" width="9.75" style="8" customWidth="1"/>
    <col min="5362" max="5362" width="3.87962962962963" style="8" customWidth="1"/>
    <col min="5363" max="5363" width="10.6296296296296" style="8" customWidth="1"/>
    <col min="5364" max="5364" width="8.12962962962963" style="8" customWidth="1"/>
    <col min="5365" max="5365" width="8" style="8" customWidth="1"/>
    <col min="5366" max="5366" width="9.12962962962963" style="8" customWidth="1"/>
    <col min="5367" max="5367" width="6.62962962962963" style="8" customWidth="1"/>
    <col min="5368" max="5368" width="8.5" style="8" customWidth="1"/>
    <col min="5369" max="5369" width="9.12962962962963" style="8" customWidth="1"/>
    <col min="5370" max="5370" width="12.3796296296296" style="8" customWidth="1"/>
    <col min="5371" max="5371" width="9.12962962962963" style="8" customWidth="1"/>
    <col min="5372" max="5372" width="4.37962962962963" style="8" customWidth="1"/>
    <col min="5373" max="5373" width="6" style="8" customWidth="1"/>
    <col min="5374" max="5374" width="8.12962962962963" style="8" customWidth="1"/>
    <col min="5375" max="5375" width="7.87962962962963" style="8" customWidth="1"/>
    <col min="5376" max="5376" width="9.75" style="8" customWidth="1"/>
    <col min="5377" max="5377" width="9" style="8"/>
    <col min="5378" max="5387" width="9" style="8" hidden="1" customWidth="1"/>
    <col min="5388" max="5615" width="9" style="8"/>
    <col min="5616" max="5616" width="10.6296296296296" style="8" customWidth="1"/>
    <col min="5617" max="5617" width="9.75" style="8" customWidth="1"/>
    <col min="5618" max="5618" width="3.87962962962963" style="8" customWidth="1"/>
    <col min="5619" max="5619" width="10.6296296296296" style="8" customWidth="1"/>
    <col min="5620" max="5620" width="8.12962962962963" style="8" customWidth="1"/>
    <col min="5621" max="5621" width="8" style="8" customWidth="1"/>
    <col min="5622" max="5622" width="9.12962962962963" style="8" customWidth="1"/>
    <col min="5623" max="5623" width="6.62962962962963" style="8" customWidth="1"/>
    <col min="5624" max="5624" width="8.5" style="8" customWidth="1"/>
    <col min="5625" max="5625" width="9.12962962962963" style="8" customWidth="1"/>
    <col min="5626" max="5626" width="12.3796296296296" style="8" customWidth="1"/>
    <col min="5627" max="5627" width="9.12962962962963" style="8" customWidth="1"/>
    <col min="5628" max="5628" width="4.37962962962963" style="8" customWidth="1"/>
    <col min="5629" max="5629" width="6" style="8" customWidth="1"/>
    <col min="5630" max="5630" width="8.12962962962963" style="8" customWidth="1"/>
    <col min="5631" max="5631" width="7.87962962962963" style="8" customWidth="1"/>
    <col min="5632" max="5632" width="9.75" style="8" customWidth="1"/>
    <col min="5633" max="5633" width="9" style="8"/>
    <col min="5634" max="5643" width="9" style="8" hidden="1" customWidth="1"/>
    <col min="5644" max="5871" width="9" style="8"/>
    <col min="5872" max="5872" width="10.6296296296296" style="8" customWidth="1"/>
    <col min="5873" max="5873" width="9.75" style="8" customWidth="1"/>
    <col min="5874" max="5874" width="3.87962962962963" style="8" customWidth="1"/>
    <col min="5875" max="5875" width="10.6296296296296" style="8" customWidth="1"/>
    <col min="5876" max="5876" width="8.12962962962963" style="8" customWidth="1"/>
    <col min="5877" max="5877" width="8" style="8" customWidth="1"/>
    <col min="5878" max="5878" width="9.12962962962963" style="8" customWidth="1"/>
    <col min="5879" max="5879" width="6.62962962962963" style="8" customWidth="1"/>
    <col min="5880" max="5880" width="8.5" style="8" customWidth="1"/>
    <col min="5881" max="5881" width="9.12962962962963" style="8" customWidth="1"/>
    <col min="5882" max="5882" width="12.3796296296296" style="8" customWidth="1"/>
    <col min="5883" max="5883" width="9.12962962962963" style="8" customWidth="1"/>
    <col min="5884" max="5884" width="4.37962962962963" style="8" customWidth="1"/>
    <col min="5885" max="5885" width="6" style="8" customWidth="1"/>
    <col min="5886" max="5886" width="8.12962962962963" style="8" customWidth="1"/>
    <col min="5887" max="5887" width="7.87962962962963" style="8" customWidth="1"/>
    <col min="5888" max="5888" width="9.75" style="8" customWidth="1"/>
    <col min="5889" max="5889" width="9" style="8"/>
    <col min="5890" max="5899" width="9" style="8" hidden="1" customWidth="1"/>
    <col min="5900" max="6127" width="9" style="8"/>
    <col min="6128" max="6128" width="10.6296296296296" style="8" customWidth="1"/>
    <col min="6129" max="6129" width="9.75" style="8" customWidth="1"/>
    <col min="6130" max="6130" width="3.87962962962963" style="8" customWidth="1"/>
    <col min="6131" max="6131" width="10.6296296296296" style="8" customWidth="1"/>
    <col min="6132" max="6132" width="8.12962962962963" style="8" customWidth="1"/>
    <col min="6133" max="6133" width="8" style="8" customWidth="1"/>
    <col min="6134" max="6134" width="9.12962962962963" style="8" customWidth="1"/>
    <col min="6135" max="6135" width="6.62962962962963" style="8" customWidth="1"/>
    <col min="6136" max="6136" width="8.5" style="8" customWidth="1"/>
    <col min="6137" max="6137" width="9.12962962962963" style="8" customWidth="1"/>
    <col min="6138" max="6138" width="12.3796296296296" style="8" customWidth="1"/>
    <col min="6139" max="6139" width="9.12962962962963" style="8" customWidth="1"/>
    <col min="6140" max="6140" width="4.37962962962963" style="8" customWidth="1"/>
    <col min="6141" max="6141" width="6" style="8" customWidth="1"/>
    <col min="6142" max="6142" width="8.12962962962963" style="8" customWidth="1"/>
    <col min="6143" max="6143" width="7.87962962962963" style="8" customWidth="1"/>
    <col min="6144" max="6144" width="9.75" style="8" customWidth="1"/>
    <col min="6145" max="6145" width="9" style="8"/>
    <col min="6146" max="6155" width="9" style="8" hidden="1" customWidth="1"/>
    <col min="6156" max="6383" width="9" style="8"/>
    <col min="6384" max="6384" width="10.6296296296296" style="8" customWidth="1"/>
    <col min="6385" max="6385" width="9.75" style="8" customWidth="1"/>
    <col min="6386" max="6386" width="3.87962962962963" style="8" customWidth="1"/>
    <col min="6387" max="6387" width="10.6296296296296" style="8" customWidth="1"/>
    <col min="6388" max="6388" width="8.12962962962963" style="8" customWidth="1"/>
    <col min="6389" max="6389" width="8" style="8" customWidth="1"/>
    <col min="6390" max="6390" width="9.12962962962963" style="8" customWidth="1"/>
    <col min="6391" max="6391" width="6.62962962962963" style="8" customWidth="1"/>
    <col min="6392" max="6392" width="8.5" style="8" customWidth="1"/>
    <col min="6393" max="6393" width="9.12962962962963" style="8" customWidth="1"/>
    <col min="6394" max="6394" width="12.3796296296296" style="8" customWidth="1"/>
    <col min="6395" max="6395" width="9.12962962962963" style="8" customWidth="1"/>
    <col min="6396" max="6396" width="4.37962962962963" style="8" customWidth="1"/>
    <col min="6397" max="6397" width="6" style="8" customWidth="1"/>
    <col min="6398" max="6398" width="8.12962962962963" style="8" customWidth="1"/>
    <col min="6399" max="6399" width="7.87962962962963" style="8" customWidth="1"/>
    <col min="6400" max="6400" width="9.75" style="8" customWidth="1"/>
    <col min="6401" max="6401" width="9" style="8"/>
    <col min="6402" max="6411" width="9" style="8" hidden="1" customWidth="1"/>
    <col min="6412" max="6639" width="9" style="8"/>
    <col min="6640" max="6640" width="10.6296296296296" style="8" customWidth="1"/>
    <col min="6641" max="6641" width="9.75" style="8" customWidth="1"/>
    <col min="6642" max="6642" width="3.87962962962963" style="8" customWidth="1"/>
    <col min="6643" max="6643" width="10.6296296296296" style="8" customWidth="1"/>
    <col min="6644" max="6644" width="8.12962962962963" style="8" customWidth="1"/>
    <col min="6645" max="6645" width="8" style="8" customWidth="1"/>
    <col min="6646" max="6646" width="9.12962962962963" style="8" customWidth="1"/>
    <col min="6647" max="6647" width="6.62962962962963" style="8" customWidth="1"/>
    <col min="6648" max="6648" width="8.5" style="8" customWidth="1"/>
    <col min="6649" max="6649" width="9.12962962962963" style="8" customWidth="1"/>
    <col min="6650" max="6650" width="12.3796296296296" style="8" customWidth="1"/>
    <col min="6651" max="6651" width="9.12962962962963" style="8" customWidth="1"/>
    <col min="6652" max="6652" width="4.37962962962963" style="8" customWidth="1"/>
    <col min="6653" max="6653" width="6" style="8" customWidth="1"/>
    <col min="6654" max="6654" width="8.12962962962963" style="8" customWidth="1"/>
    <col min="6655" max="6655" width="7.87962962962963" style="8" customWidth="1"/>
    <col min="6656" max="6656" width="9.75" style="8" customWidth="1"/>
    <col min="6657" max="6657" width="9" style="8"/>
    <col min="6658" max="6667" width="9" style="8" hidden="1" customWidth="1"/>
    <col min="6668" max="6895" width="9" style="8"/>
    <col min="6896" max="6896" width="10.6296296296296" style="8" customWidth="1"/>
    <col min="6897" max="6897" width="9.75" style="8" customWidth="1"/>
    <col min="6898" max="6898" width="3.87962962962963" style="8" customWidth="1"/>
    <col min="6899" max="6899" width="10.6296296296296" style="8" customWidth="1"/>
    <col min="6900" max="6900" width="8.12962962962963" style="8" customWidth="1"/>
    <col min="6901" max="6901" width="8" style="8" customWidth="1"/>
    <col min="6902" max="6902" width="9.12962962962963" style="8" customWidth="1"/>
    <col min="6903" max="6903" width="6.62962962962963" style="8" customWidth="1"/>
    <col min="6904" max="6904" width="8.5" style="8" customWidth="1"/>
    <col min="6905" max="6905" width="9.12962962962963" style="8" customWidth="1"/>
    <col min="6906" max="6906" width="12.3796296296296" style="8" customWidth="1"/>
    <col min="6907" max="6907" width="9.12962962962963" style="8" customWidth="1"/>
    <col min="6908" max="6908" width="4.37962962962963" style="8" customWidth="1"/>
    <col min="6909" max="6909" width="6" style="8" customWidth="1"/>
    <col min="6910" max="6910" width="8.12962962962963" style="8" customWidth="1"/>
    <col min="6911" max="6911" width="7.87962962962963" style="8" customWidth="1"/>
    <col min="6912" max="6912" width="9.75" style="8" customWidth="1"/>
    <col min="6913" max="6913" width="9" style="8"/>
    <col min="6914" max="6923" width="9" style="8" hidden="1" customWidth="1"/>
    <col min="6924" max="7151" width="9" style="8"/>
    <col min="7152" max="7152" width="10.6296296296296" style="8" customWidth="1"/>
    <col min="7153" max="7153" width="9.75" style="8" customWidth="1"/>
    <col min="7154" max="7154" width="3.87962962962963" style="8" customWidth="1"/>
    <col min="7155" max="7155" width="10.6296296296296" style="8" customWidth="1"/>
    <col min="7156" max="7156" width="8.12962962962963" style="8" customWidth="1"/>
    <col min="7157" max="7157" width="8" style="8" customWidth="1"/>
    <col min="7158" max="7158" width="9.12962962962963" style="8" customWidth="1"/>
    <col min="7159" max="7159" width="6.62962962962963" style="8" customWidth="1"/>
    <col min="7160" max="7160" width="8.5" style="8" customWidth="1"/>
    <col min="7161" max="7161" width="9.12962962962963" style="8" customWidth="1"/>
    <col min="7162" max="7162" width="12.3796296296296" style="8" customWidth="1"/>
    <col min="7163" max="7163" width="9.12962962962963" style="8" customWidth="1"/>
    <col min="7164" max="7164" width="4.37962962962963" style="8" customWidth="1"/>
    <col min="7165" max="7165" width="6" style="8" customWidth="1"/>
    <col min="7166" max="7166" width="8.12962962962963" style="8" customWidth="1"/>
    <col min="7167" max="7167" width="7.87962962962963" style="8" customWidth="1"/>
    <col min="7168" max="7168" width="9.75" style="8" customWidth="1"/>
    <col min="7169" max="7169" width="9" style="8"/>
    <col min="7170" max="7179" width="9" style="8" hidden="1" customWidth="1"/>
    <col min="7180" max="7407" width="9" style="8"/>
    <col min="7408" max="7408" width="10.6296296296296" style="8" customWidth="1"/>
    <col min="7409" max="7409" width="9.75" style="8" customWidth="1"/>
    <col min="7410" max="7410" width="3.87962962962963" style="8" customWidth="1"/>
    <col min="7411" max="7411" width="10.6296296296296" style="8" customWidth="1"/>
    <col min="7412" max="7412" width="8.12962962962963" style="8" customWidth="1"/>
    <col min="7413" max="7413" width="8" style="8" customWidth="1"/>
    <col min="7414" max="7414" width="9.12962962962963" style="8" customWidth="1"/>
    <col min="7415" max="7415" width="6.62962962962963" style="8" customWidth="1"/>
    <col min="7416" max="7416" width="8.5" style="8" customWidth="1"/>
    <col min="7417" max="7417" width="9.12962962962963" style="8" customWidth="1"/>
    <col min="7418" max="7418" width="12.3796296296296" style="8" customWidth="1"/>
    <col min="7419" max="7419" width="9.12962962962963" style="8" customWidth="1"/>
    <col min="7420" max="7420" width="4.37962962962963" style="8" customWidth="1"/>
    <col min="7421" max="7421" width="6" style="8" customWidth="1"/>
    <col min="7422" max="7422" width="8.12962962962963" style="8" customWidth="1"/>
    <col min="7423" max="7423" width="7.87962962962963" style="8" customWidth="1"/>
    <col min="7424" max="7424" width="9.75" style="8" customWidth="1"/>
    <col min="7425" max="7425" width="9" style="8"/>
    <col min="7426" max="7435" width="9" style="8" hidden="1" customWidth="1"/>
    <col min="7436" max="7663" width="9" style="8"/>
    <col min="7664" max="7664" width="10.6296296296296" style="8" customWidth="1"/>
    <col min="7665" max="7665" width="9.75" style="8" customWidth="1"/>
    <col min="7666" max="7666" width="3.87962962962963" style="8" customWidth="1"/>
    <col min="7667" max="7667" width="10.6296296296296" style="8" customWidth="1"/>
    <col min="7668" max="7668" width="8.12962962962963" style="8" customWidth="1"/>
    <col min="7669" max="7669" width="8" style="8" customWidth="1"/>
    <col min="7670" max="7670" width="9.12962962962963" style="8" customWidth="1"/>
    <col min="7671" max="7671" width="6.62962962962963" style="8" customWidth="1"/>
    <col min="7672" max="7672" width="8.5" style="8" customWidth="1"/>
    <col min="7673" max="7673" width="9.12962962962963" style="8" customWidth="1"/>
    <col min="7674" max="7674" width="12.3796296296296" style="8" customWidth="1"/>
    <col min="7675" max="7675" width="9.12962962962963" style="8" customWidth="1"/>
    <col min="7676" max="7676" width="4.37962962962963" style="8" customWidth="1"/>
    <col min="7677" max="7677" width="6" style="8" customWidth="1"/>
    <col min="7678" max="7678" width="8.12962962962963" style="8" customWidth="1"/>
    <col min="7679" max="7679" width="7.87962962962963" style="8" customWidth="1"/>
    <col min="7680" max="7680" width="9.75" style="8" customWidth="1"/>
    <col min="7681" max="7681" width="9" style="8"/>
    <col min="7682" max="7691" width="9" style="8" hidden="1" customWidth="1"/>
    <col min="7692" max="7919" width="9" style="8"/>
    <col min="7920" max="7920" width="10.6296296296296" style="8" customWidth="1"/>
    <col min="7921" max="7921" width="9.75" style="8" customWidth="1"/>
    <col min="7922" max="7922" width="3.87962962962963" style="8" customWidth="1"/>
    <col min="7923" max="7923" width="10.6296296296296" style="8" customWidth="1"/>
    <col min="7924" max="7924" width="8.12962962962963" style="8" customWidth="1"/>
    <col min="7925" max="7925" width="8" style="8" customWidth="1"/>
    <col min="7926" max="7926" width="9.12962962962963" style="8" customWidth="1"/>
    <col min="7927" max="7927" width="6.62962962962963" style="8" customWidth="1"/>
    <col min="7928" max="7928" width="8.5" style="8" customWidth="1"/>
    <col min="7929" max="7929" width="9.12962962962963" style="8" customWidth="1"/>
    <col min="7930" max="7930" width="12.3796296296296" style="8" customWidth="1"/>
    <col min="7931" max="7931" width="9.12962962962963" style="8" customWidth="1"/>
    <col min="7932" max="7932" width="4.37962962962963" style="8" customWidth="1"/>
    <col min="7933" max="7933" width="6" style="8" customWidth="1"/>
    <col min="7934" max="7934" width="8.12962962962963" style="8" customWidth="1"/>
    <col min="7935" max="7935" width="7.87962962962963" style="8" customWidth="1"/>
    <col min="7936" max="7936" width="9.75" style="8" customWidth="1"/>
    <col min="7937" max="7937" width="9" style="8"/>
    <col min="7938" max="7947" width="9" style="8" hidden="1" customWidth="1"/>
    <col min="7948" max="8175" width="9" style="8"/>
    <col min="8176" max="8176" width="10.6296296296296" style="8" customWidth="1"/>
    <col min="8177" max="8177" width="9.75" style="8" customWidth="1"/>
    <col min="8178" max="8178" width="3.87962962962963" style="8" customWidth="1"/>
    <col min="8179" max="8179" width="10.6296296296296" style="8" customWidth="1"/>
    <col min="8180" max="8180" width="8.12962962962963" style="8" customWidth="1"/>
    <col min="8181" max="8181" width="8" style="8" customWidth="1"/>
    <col min="8182" max="8182" width="9.12962962962963" style="8" customWidth="1"/>
    <col min="8183" max="8183" width="6.62962962962963" style="8" customWidth="1"/>
    <col min="8184" max="8184" width="8.5" style="8" customWidth="1"/>
    <col min="8185" max="8185" width="9.12962962962963" style="8" customWidth="1"/>
    <col min="8186" max="8186" width="12.3796296296296" style="8" customWidth="1"/>
    <col min="8187" max="8187" width="9.12962962962963" style="8" customWidth="1"/>
    <col min="8188" max="8188" width="4.37962962962963" style="8" customWidth="1"/>
    <col min="8189" max="8189" width="6" style="8" customWidth="1"/>
    <col min="8190" max="8190" width="8.12962962962963" style="8" customWidth="1"/>
    <col min="8191" max="8191" width="7.87962962962963" style="8" customWidth="1"/>
    <col min="8192" max="8192" width="9.75" style="8" customWidth="1"/>
    <col min="8193" max="8193" width="9" style="8"/>
    <col min="8194" max="8203" width="9" style="8" hidden="1" customWidth="1"/>
    <col min="8204" max="8431" width="9" style="8"/>
    <col min="8432" max="8432" width="10.6296296296296" style="8" customWidth="1"/>
    <col min="8433" max="8433" width="9.75" style="8" customWidth="1"/>
    <col min="8434" max="8434" width="3.87962962962963" style="8" customWidth="1"/>
    <col min="8435" max="8435" width="10.6296296296296" style="8" customWidth="1"/>
    <col min="8436" max="8436" width="8.12962962962963" style="8" customWidth="1"/>
    <col min="8437" max="8437" width="8" style="8" customWidth="1"/>
    <col min="8438" max="8438" width="9.12962962962963" style="8" customWidth="1"/>
    <col min="8439" max="8439" width="6.62962962962963" style="8" customWidth="1"/>
    <col min="8440" max="8440" width="8.5" style="8" customWidth="1"/>
    <col min="8441" max="8441" width="9.12962962962963" style="8" customWidth="1"/>
    <col min="8442" max="8442" width="12.3796296296296" style="8" customWidth="1"/>
    <col min="8443" max="8443" width="9.12962962962963" style="8" customWidth="1"/>
    <col min="8444" max="8444" width="4.37962962962963" style="8" customWidth="1"/>
    <col min="8445" max="8445" width="6" style="8" customWidth="1"/>
    <col min="8446" max="8446" width="8.12962962962963" style="8" customWidth="1"/>
    <col min="8447" max="8447" width="7.87962962962963" style="8" customWidth="1"/>
    <col min="8448" max="8448" width="9.75" style="8" customWidth="1"/>
    <col min="8449" max="8449" width="9" style="8"/>
    <col min="8450" max="8459" width="9" style="8" hidden="1" customWidth="1"/>
    <col min="8460" max="8687" width="9" style="8"/>
    <col min="8688" max="8688" width="10.6296296296296" style="8" customWidth="1"/>
    <col min="8689" max="8689" width="9.75" style="8" customWidth="1"/>
    <col min="8690" max="8690" width="3.87962962962963" style="8" customWidth="1"/>
    <col min="8691" max="8691" width="10.6296296296296" style="8" customWidth="1"/>
    <col min="8692" max="8692" width="8.12962962962963" style="8" customWidth="1"/>
    <col min="8693" max="8693" width="8" style="8" customWidth="1"/>
    <col min="8694" max="8694" width="9.12962962962963" style="8" customWidth="1"/>
    <col min="8695" max="8695" width="6.62962962962963" style="8" customWidth="1"/>
    <col min="8696" max="8696" width="8.5" style="8" customWidth="1"/>
    <col min="8697" max="8697" width="9.12962962962963" style="8" customWidth="1"/>
    <col min="8698" max="8698" width="12.3796296296296" style="8" customWidth="1"/>
    <col min="8699" max="8699" width="9.12962962962963" style="8" customWidth="1"/>
    <col min="8700" max="8700" width="4.37962962962963" style="8" customWidth="1"/>
    <col min="8701" max="8701" width="6" style="8" customWidth="1"/>
    <col min="8702" max="8702" width="8.12962962962963" style="8" customWidth="1"/>
    <col min="8703" max="8703" width="7.87962962962963" style="8" customWidth="1"/>
    <col min="8704" max="8704" width="9.75" style="8" customWidth="1"/>
    <col min="8705" max="8705" width="9" style="8"/>
    <col min="8706" max="8715" width="9" style="8" hidden="1" customWidth="1"/>
    <col min="8716" max="8943" width="9" style="8"/>
    <col min="8944" max="8944" width="10.6296296296296" style="8" customWidth="1"/>
    <col min="8945" max="8945" width="9.75" style="8" customWidth="1"/>
    <col min="8946" max="8946" width="3.87962962962963" style="8" customWidth="1"/>
    <col min="8947" max="8947" width="10.6296296296296" style="8" customWidth="1"/>
    <col min="8948" max="8948" width="8.12962962962963" style="8" customWidth="1"/>
    <col min="8949" max="8949" width="8" style="8" customWidth="1"/>
    <col min="8950" max="8950" width="9.12962962962963" style="8" customWidth="1"/>
    <col min="8951" max="8951" width="6.62962962962963" style="8" customWidth="1"/>
    <col min="8952" max="8952" width="8.5" style="8" customWidth="1"/>
    <col min="8953" max="8953" width="9.12962962962963" style="8" customWidth="1"/>
    <col min="8954" max="8954" width="12.3796296296296" style="8" customWidth="1"/>
    <col min="8955" max="8955" width="9.12962962962963" style="8" customWidth="1"/>
    <col min="8956" max="8956" width="4.37962962962963" style="8" customWidth="1"/>
    <col min="8957" max="8957" width="6" style="8" customWidth="1"/>
    <col min="8958" max="8958" width="8.12962962962963" style="8" customWidth="1"/>
    <col min="8959" max="8959" width="7.87962962962963" style="8" customWidth="1"/>
    <col min="8960" max="8960" width="9.75" style="8" customWidth="1"/>
    <col min="8961" max="8961" width="9" style="8"/>
    <col min="8962" max="8971" width="9" style="8" hidden="1" customWidth="1"/>
    <col min="8972" max="9199" width="9" style="8"/>
    <col min="9200" max="9200" width="10.6296296296296" style="8" customWidth="1"/>
    <col min="9201" max="9201" width="9.75" style="8" customWidth="1"/>
    <col min="9202" max="9202" width="3.87962962962963" style="8" customWidth="1"/>
    <col min="9203" max="9203" width="10.6296296296296" style="8" customWidth="1"/>
    <col min="9204" max="9204" width="8.12962962962963" style="8" customWidth="1"/>
    <col min="9205" max="9205" width="8" style="8" customWidth="1"/>
    <col min="9206" max="9206" width="9.12962962962963" style="8" customWidth="1"/>
    <col min="9207" max="9207" width="6.62962962962963" style="8" customWidth="1"/>
    <col min="9208" max="9208" width="8.5" style="8" customWidth="1"/>
    <col min="9209" max="9209" width="9.12962962962963" style="8" customWidth="1"/>
    <col min="9210" max="9210" width="12.3796296296296" style="8" customWidth="1"/>
    <col min="9211" max="9211" width="9.12962962962963" style="8" customWidth="1"/>
    <col min="9212" max="9212" width="4.37962962962963" style="8" customWidth="1"/>
    <col min="9213" max="9213" width="6" style="8" customWidth="1"/>
    <col min="9214" max="9214" width="8.12962962962963" style="8" customWidth="1"/>
    <col min="9215" max="9215" width="7.87962962962963" style="8" customWidth="1"/>
    <col min="9216" max="9216" width="9.75" style="8" customWidth="1"/>
    <col min="9217" max="9217" width="9" style="8"/>
    <col min="9218" max="9227" width="9" style="8" hidden="1" customWidth="1"/>
    <col min="9228" max="9455" width="9" style="8"/>
    <col min="9456" max="9456" width="10.6296296296296" style="8" customWidth="1"/>
    <col min="9457" max="9457" width="9.75" style="8" customWidth="1"/>
    <col min="9458" max="9458" width="3.87962962962963" style="8" customWidth="1"/>
    <col min="9459" max="9459" width="10.6296296296296" style="8" customWidth="1"/>
    <col min="9460" max="9460" width="8.12962962962963" style="8" customWidth="1"/>
    <col min="9461" max="9461" width="8" style="8" customWidth="1"/>
    <col min="9462" max="9462" width="9.12962962962963" style="8" customWidth="1"/>
    <col min="9463" max="9463" width="6.62962962962963" style="8" customWidth="1"/>
    <col min="9464" max="9464" width="8.5" style="8" customWidth="1"/>
    <col min="9465" max="9465" width="9.12962962962963" style="8" customWidth="1"/>
    <col min="9466" max="9466" width="12.3796296296296" style="8" customWidth="1"/>
    <col min="9467" max="9467" width="9.12962962962963" style="8" customWidth="1"/>
    <col min="9468" max="9468" width="4.37962962962963" style="8" customWidth="1"/>
    <col min="9469" max="9469" width="6" style="8" customWidth="1"/>
    <col min="9470" max="9470" width="8.12962962962963" style="8" customWidth="1"/>
    <col min="9471" max="9471" width="7.87962962962963" style="8" customWidth="1"/>
    <col min="9472" max="9472" width="9.75" style="8" customWidth="1"/>
    <col min="9473" max="9473" width="9" style="8"/>
    <col min="9474" max="9483" width="9" style="8" hidden="1" customWidth="1"/>
    <col min="9484" max="9711" width="9" style="8"/>
    <col min="9712" max="9712" width="10.6296296296296" style="8" customWidth="1"/>
    <col min="9713" max="9713" width="9.75" style="8" customWidth="1"/>
    <col min="9714" max="9714" width="3.87962962962963" style="8" customWidth="1"/>
    <col min="9715" max="9715" width="10.6296296296296" style="8" customWidth="1"/>
    <col min="9716" max="9716" width="8.12962962962963" style="8" customWidth="1"/>
    <col min="9717" max="9717" width="8" style="8" customWidth="1"/>
    <col min="9718" max="9718" width="9.12962962962963" style="8" customWidth="1"/>
    <col min="9719" max="9719" width="6.62962962962963" style="8" customWidth="1"/>
    <col min="9720" max="9720" width="8.5" style="8" customWidth="1"/>
    <col min="9721" max="9721" width="9.12962962962963" style="8" customWidth="1"/>
    <col min="9722" max="9722" width="12.3796296296296" style="8" customWidth="1"/>
    <col min="9723" max="9723" width="9.12962962962963" style="8" customWidth="1"/>
    <col min="9724" max="9724" width="4.37962962962963" style="8" customWidth="1"/>
    <col min="9725" max="9725" width="6" style="8" customWidth="1"/>
    <col min="9726" max="9726" width="8.12962962962963" style="8" customWidth="1"/>
    <col min="9727" max="9727" width="7.87962962962963" style="8" customWidth="1"/>
    <col min="9728" max="9728" width="9.75" style="8" customWidth="1"/>
    <col min="9729" max="9729" width="9" style="8"/>
    <col min="9730" max="9739" width="9" style="8" hidden="1" customWidth="1"/>
    <col min="9740" max="9967" width="9" style="8"/>
    <col min="9968" max="9968" width="10.6296296296296" style="8" customWidth="1"/>
    <col min="9969" max="9969" width="9.75" style="8" customWidth="1"/>
    <col min="9970" max="9970" width="3.87962962962963" style="8" customWidth="1"/>
    <col min="9971" max="9971" width="10.6296296296296" style="8" customWidth="1"/>
    <col min="9972" max="9972" width="8.12962962962963" style="8" customWidth="1"/>
    <col min="9973" max="9973" width="8" style="8" customWidth="1"/>
    <col min="9974" max="9974" width="9.12962962962963" style="8" customWidth="1"/>
    <col min="9975" max="9975" width="6.62962962962963" style="8" customWidth="1"/>
    <col min="9976" max="9976" width="8.5" style="8" customWidth="1"/>
    <col min="9977" max="9977" width="9.12962962962963" style="8" customWidth="1"/>
    <col min="9978" max="9978" width="12.3796296296296" style="8" customWidth="1"/>
    <col min="9979" max="9979" width="9.12962962962963" style="8" customWidth="1"/>
    <col min="9980" max="9980" width="4.37962962962963" style="8" customWidth="1"/>
    <col min="9981" max="9981" width="6" style="8" customWidth="1"/>
    <col min="9982" max="9982" width="8.12962962962963" style="8" customWidth="1"/>
    <col min="9983" max="9983" width="7.87962962962963" style="8" customWidth="1"/>
    <col min="9984" max="9984" width="9.75" style="8" customWidth="1"/>
    <col min="9985" max="9985" width="9" style="8"/>
    <col min="9986" max="9995" width="9" style="8" hidden="1" customWidth="1"/>
    <col min="9996" max="10223" width="9" style="8"/>
    <col min="10224" max="10224" width="10.6296296296296" style="8" customWidth="1"/>
    <col min="10225" max="10225" width="9.75" style="8" customWidth="1"/>
    <col min="10226" max="10226" width="3.87962962962963" style="8" customWidth="1"/>
    <col min="10227" max="10227" width="10.6296296296296" style="8" customWidth="1"/>
    <col min="10228" max="10228" width="8.12962962962963" style="8" customWidth="1"/>
    <col min="10229" max="10229" width="8" style="8" customWidth="1"/>
    <col min="10230" max="10230" width="9.12962962962963" style="8" customWidth="1"/>
    <col min="10231" max="10231" width="6.62962962962963" style="8" customWidth="1"/>
    <col min="10232" max="10232" width="8.5" style="8" customWidth="1"/>
    <col min="10233" max="10233" width="9.12962962962963" style="8" customWidth="1"/>
    <col min="10234" max="10234" width="12.3796296296296" style="8" customWidth="1"/>
    <col min="10235" max="10235" width="9.12962962962963" style="8" customWidth="1"/>
    <col min="10236" max="10236" width="4.37962962962963" style="8" customWidth="1"/>
    <col min="10237" max="10237" width="6" style="8" customWidth="1"/>
    <col min="10238" max="10238" width="8.12962962962963" style="8" customWidth="1"/>
    <col min="10239" max="10239" width="7.87962962962963" style="8" customWidth="1"/>
    <col min="10240" max="10240" width="9.75" style="8" customWidth="1"/>
    <col min="10241" max="10241" width="9" style="8"/>
    <col min="10242" max="10251" width="9" style="8" hidden="1" customWidth="1"/>
    <col min="10252" max="10479" width="9" style="8"/>
    <col min="10480" max="10480" width="10.6296296296296" style="8" customWidth="1"/>
    <col min="10481" max="10481" width="9.75" style="8" customWidth="1"/>
    <col min="10482" max="10482" width="3.87962962962963" style="8" customWidth="1"/>
    <col min="10483" max="10483" width="10.6296296296296" style="8" customWidth="1"/>
    <col min="10484" max="10484" width="8.12962962962963" style="8" customWidth="1"/>
    <col min="10485" max="10485" width="8" style="8" customWidth="1"/>
    <col min="10486" max="10486" width="9.12962962962963" style="8" customWidth="1"/>
    <col min="10487" max="10487" width="6.62962962962963" style="8" customWidth="1"/>
    <col min="10488" max="10488" width="8.5" style="8" customWidth="1"/>
    <col min="10489" max="10489" width="9.12962962962963" style="8" customWidth="1"/>
    <col min="10490" max="10490" width="12.3796296296296" style="8" customWidth="1"/>
    <col min="10491" max="10491" width="9.12962962962963" style="8" customWidth="1"/>
    <col min="10492" max="10492" width="4.37962962962963" style="8" customWidth="1"/>
    <col min="10493" max="10493" width="6" style="8" customWidth="1"/>
    <col min="10494" max="10494" width="8.12962962962963" style="8" customWidth="1"/>
    <col min="10495" max="10495" width="7.87962962962963" style="8" customWidth="1"/>
    <col min="10496" max="10496" width="9.75" style="8" customWidth="1"/>
    <col min="10497" max="10497" width="9" style="8"/>
    <col min="10498" max="10507" width="9" style="8" hidden="1" customWidth="1"/>
    <col min="10508" max="10735" width="9" style="8"/>
    <col min="10736" max="10736" width="10.6296296296296" style="8" customWidth="1"/>
    <col min="10737" max="10737" width="9.75" style="8" customWidth="1"/>
    <col min="10738" max="10738" width="3.87962962962963" style="8" customWidth="1"/>
    <col min="10739" max="10739" width="10.6296296296296" style="8" customWidth="1"/>
    <col min="10740" max="10740" width="8.12962962962963" style="8" customWidth="1"/>
    <col min="10741" max="10741" width="8" style="8" customWidth="1"/>
    <col min="10742" max="10742" width="9.12962962962963" style="8" customWidth="1"/>
    <col min="10743" max="10743" width="6.62962962962963" style="8" customWidth="1"/>
    <col min="10744" max="10744" width="8.5" style="8" customWidth="1"/>
    <col min="10745" max="10745" width="9.12962962962963" style="8" customWidth="1"/>
    <col min="10746" max="10746" width="12.3796296296296" style="8" customWidth="1"/>
    <col min="10747" max="10747" width="9.12962962962963" style="8" customWidth="1"/>
    <col min="10748" max="10748" width="4.37962962962963" style="8" customWidth="1"/>
    <col min="10749" max="10749" width="6" style="8" customWidth="1"/>
    <col min="10750" max="10750" width="8.12962962962963" style="8" customWidth="1"/>
    <col min="10751" max="10751" width="7.87962962962963" style="8" customWidth="1"/>
    <col min="10752" max="10752" width="9.75" style="8" customWidth="1"/>
    <col min="10753" max="10753" width="9" style="8"/>
    <col min="10754" max="10763" width="9" style="8" hidden="1" customWidth="1"/>
    <col min="10764" max="10991" width="9" style="8"/>
    <col min="10992" max="10992" width="10.6296296296296" style="8" customWidth="1"/>
    <col min="10993" max="10993" width="9.75" style="8" customWidth="1"/>
    <col min="10994" max="10994" width="3.87962962962963" style="8" customWidth="1"/>
    <col min="10995" max="10995" width="10.6296296296296" style="8" customWidth="1"/>
    <col min="10996" max="10996" width="8.12962962962963" style="8" customWidth="1"/>
    <col min="10997" max="10997" width="8" style="8" customWidth="1"/>
    <col min="10998" max="10998" width="9.12962962962963" style="8" customWidth="1"/>
    <col min="10999" max="10999" width="6.62962962962963" style="8" customWidth="1"/>
    <col min="11000" max="11000" width="8.5" style="8" customWidth="1"/>
    <col min="11001" max="11001" width="9.12962962962963" style="8" customWidth="1"/>
    <col min="11002" max="11002" width="12.3796296296296" style="8" customWidth="1"/>
    <col min="11003" max="11003" width="9.12962962962963" style="8" customWidth="1"/>
    <col min="11004" max="11004" width="4.37962962962963" style="8" customWidth="1"/>
    <col min="11005" max="11005" width="6" style="8" customWidth="1"/>
    <col min="11006" max="11006" width="8.12962962962963" style="8" customWidth="1"/>
    <col min="11007" max="11007" width="7.87962962962963" style="8" customWidth="1"/>
    <col min="11008" max="11008" width="9.75" style="8" customWidth="1"/>
    <col min="11009" max="11009" width="9" style="8"/>
    <col min="11010" max="11019" width="9" style="8" hidden="1" customWidth="1"/>
    <col min="11020" max="11247" width="9" style="8"/>
    <col min="11248" max="11248" width="10.6296296296296" style="8" customWidth="1"/>
    <col min="11249" max="11249" width="9.75" style="8" customWidth="1"/>
    <col min="11250" max="11250" width="3.87962962962963" style="8" customWidth="1"/>
    <col min="11251" max="11251" width="10.6296296296296" style="8" customWidth="1"/>
    <col min="11252" max="11252" width="8.12962962962963" style="8" customWidth="1"/>
    <col min="11253" max="11253" width="8" style="8" customWidth="1"/>
    <col min="11254" max="11254" width="9.12962962962963" style="8" customWidth="1"/>
    <col min="11255" max="11255" width="6.62962962962963" style="8" customWidth="1"/>
    <col min="11256" max="11256" width="8.5" style="8" customWidth="1"/>
    <col min="11257" max="11257" width="9.12962962962963" style="8" customWidth="1"/>
    <col min="11258" max="11258" width="12.3796296296296" style="8" customWidth="1"/>
    <col min="11259" max="11259" width="9.12962962962963" style="8" customWidth="1"/>
    <col min="11260" max="11260" width="4.37962962962963" style="8" customWidth="1"/>
    <col min="11261" max="11261" width="6" style="8" customWidth="1"/>
    <col min="11262" max="11262" width="8.12962962962963" style="8" customWidth="1"/>
    <col min="11263" max="11263" width="7.87962962962963" style="8" customWidth="1"/>
    <col min="11264" max="11264" width="9.75" style="8" customWidth="1"/>
    <col min="11265" max="11265" width="9" style="8"/>
    <col min="11266" max="11275" width="9" style="8" hidden="1" customWidth="1"/>
    <col min="11276" max="11503" width="9" style="8"/>
    <col min="11504" max="11504" width="10.6296296296296" style="8" customWidth="1"/>
    <col min="11505" max="11505" width="9.75" style="8" customWidth="1"/>
    <col min="11506" max="11506" width="3.87962962962963" style="8" customWidth="1"/>
    <col min="11507" max="11507" width="10.6296296296296" style="8" customWidth="1"/>
    <col min="11508" max="11508" width="8.12962962962963" style="8" customWidth="1"/>
    <col min="11509" max="11509" width="8" style="8" customWidth="1"/>
    <col min="11510" max="11510" width="9.12962962962963" style="8" customWidth="1"/>
    <col min="11511" max="11511" width="6.62962962962963" style="8" customWidth="1"/>
    <col min="11512" max="11512" width="8.5" style="8" customWidth="1"/>
    <col min="11513" max="11513" width="9.12962962962963" style="8" customWidth="1"/>
    <col min="11514" max="11514" width="12.3796296296296" style="8" customWidth="1"/>
    <col min="11515" max="11515" width="9.12962962962963" style="8" customWidth="1"/>
    <col min="11516" max="11516" width="4.37962962962963" style="8" customWidth="1"/>
    <col min="11517" max="11517" width="6" style="8" customWidth="1"/>
    <col min="11518" max="11518" width="8.12962962962963" style="8" customWidth="1"/>
    <col min="11519" max="11519" width="7.87962962962963" style="8" customWidth="1"/>
    <col min="11520" max="11520" width="9.75" style="8" customWidth="1"/>
    <col min="11521" max="11521" width="9" style="8"/>
    <col min="11522" max="11531" width="9" style="8" hidden="1" customWidth="1"/>
    <col min="11532" max="11759" width="9" style="8"/>
    <col min="11760" max="11760" width="10.6296296296296" style="8" customWidth="1"/>
    <col min="11761" max="11761" width="9.75" style="8" customWidth="1"/>
    <col min="11762" max="11762" width="3.87962962962963" style="8" customWidth="1"/>
    <col min="11763" max="11763" width="10.6296296296296" style="8" customWidth="1"/>
    <col min="11764" max="11764" width="8.12962962962963" style="8" customWidth="1"/>
    <col min="11765" max="11765" width="8" style="8" customWidth="1"/>
    <col min="11766" max="11766" width="9.12962962962963" style="8" customWidth="1"/>
    <col min="11767" max="11767" width="6.62962962962963" style="8" customWidth="1"/>
    <col min="11768" max="11768" width="8.5" style="8" customWidth="1"/>
    <col min="11769" max="11769" width="9.12962962962963" style="8" customWidth="1"/>
    <col min="11770" max="11770" width="12.3796296296296" style="8" customWidth="1"/>
    <col min="11771" max="11771" width="9.12962962962963" style="8" customWidth="1"/>
    <col min="11772" max="11772" width="4.37962962962963" style="8" customWidth="1"/>
    <col min="11773" max="11773" width="6" style="8" customWidth="1"/>
    <col min="11774" max="11774" width="8.12962962962963" style="8" customWidth="1"/>
    <col min="11775" max="11775" width="7.87962962962963" style="8" customWidth="1"/>
    <col min="11776" max="11776" width="9.75" style="8" customWidth="1"/>
    <col min="11777" max="11777" width="9" style="8"/>
    <col min="11778" max="11787" width="9" style="8" hidden="1" customWidth="1"/>
    <col min="11788" max="12015" width="9" style="8"/>
    <col min="12016" max="12016" width="10.6296296296296" style="8" customWidth="1"/>
    <col min="12017" max="12017" width="9.75" style="8" customWidth="1"/>
    <col min="12018" max="12018" width="3.87962962962963" style="8" customWidth="1"/>
    <col min="12019" max="12019" width="10.6296296296296" style="8" customWidth="1"/>
    <col min="12020" max="12020" width="8.12962962962963" style="8" customWidth="1"/>
    <col min="12021" max="12021" width="8" style="8" customWidth="1"/>
    <col min="12022" max="12022" width="9.12962962962963" style="8" customWidth="1"/>
    <col min="12023" max="12023" width="6.62962962962963" style="8" customWidth="1"/>
    <col min="12024" max="12024" width="8.5" style="8" customWidth="1"/>
    <col min="12025" max="12025" width="9.12962962962963" style="8" customWidth="1"/>
    <col min="12026" max="12026" width="12.3796296296296" style="8" customWidth="1"/>
    <col min="12027" max="12027" width="9.12962962962963" style="8" customWidth="1"/>
    <col min="12028" max="12028" width="4.37962962962963" style="8" customWidth="1"/>
    <col min="12029" max="12029" width="6" style="8" customWidth="1"/>
    <col min="12030" max="12030" width="8.12962962962963" style="8" customWidth="1"/>
    <col min="12031" max="12031" width="7.87962962962963" style="8" customWidth="1"/>
    <col min="12032" max="12032" width="9.75" style="8" customWidth="1"/>
    <col min="12033" max="12033" width="9" style="8"/>
    <col min="12034" max="12043" width="9" style="8" hidden="1" customWidth="1"/>
    <col min="12044" max="12271" width="9" style="8"/>
    <col min="12272" max="12272" width="10.6296296296296" style="8" customWidth="1"/>
    <col min="12273" max="12273" width="9.75" style="8" customWidth="1"/>
    <col min="12274" max="12274" width="3.87962962962963" style="8" customWidth="1"/>
    <col min="12275" max="12275" width="10.6296296296296" style="8" customWidth="1"/>
    <col min="12276" max="12276" width="8.12962962962963" style="8" customWidth="1"/>
    <col min="12277" max="12277" width="8" style="8" customWidth="1"/>
    <col min="12278" max="12278" width="9.12962962962963" style="8" customWidth="1"/>
    <col min="12279" max="12279" width="6.62962962962963" style="8" customWidth="1"/>
    <col min="12280" max="12280" width="8.5" style="8" customWidth="1"/>
    <col min="12281" max="12281" width="9.12962962962963" style="8" customWidth="1"/>
    <col min="12282" max="12282" width="12.3796296296296" style="8" customWidth="1"/>
    <col min="12283" max="12283" width="9.12962962962963" style="8" customWidth="1"/>
    <col min="12284" max="12284" width="4.37962962962963" style="8" customWidth="1"/>
    <col min="12285" max="12285" width="6" style="8" customWidth="1"/>
    <col min="12286" max="12286" width="8.12962962962963" style="8" customWidth="1"/>
    <col min="12287" max="12287" width="7.87962962962963" style="8" customWidth="1"/>
    <col min="12288" max="12288" width="9.75" style="8" customWidth="1"/>
    <col min="12289" max="12289" width="9" style="8"/>
    <col min="12290" max="12299" width="9" style="8" hidden="1" customWidth="1"/>
    <col min="12300" max="12527" width="9" style="8"/>
    <col min="12528" max="12528" width="10.6296296296296" style="8" customWidth="1"/>
    <col min="12529" max="12529" width="9.75" style="8" customWidth="1"/>
    <col min="12530" max="12530" width="3.87962962962963" style="8" customWidth="1"/>
    <col min="12531" max="12531" width="10.6296296296296" style="8" customWidth="1"/>
    <col min="12532" max="12532" width="8.12962962962963" style="8" customWidth="1"/>
    <col min="12533" max="12533" width="8" style="8" customWidth="1"/>
    <col min="12534" max="12534" width="9.12962962962963" style="8" customWidth="1"/>
    <col min="12535" max="12535" width="6.62962962962963" style="8" customWidth="1"/>
    <col min="12536" max="12536" width="8.5" style="8" customWidth="1"/>
    <col min="12537" max="12537" width="9.12962962962963" style="8" customWidth="1"/>
    <col min="12538" max="12538" width="12.3796296296296" style="8" customWidth="1"/>
    <col min="12539" max="12539" width="9.12962962962963" style="8" customWidth="1"/>
    <col min="12540" max="12540" width="4.37962962962963" style="8" customWidth="1"/>
    <col min="12541" max="12541" width="6" style="8" customWidth="1"/>
    <col min="12542" max="12542" width="8.12962962962963" style="8" customWidth="1"/>
    <col min="12543" max="12543" width="7.87962962962963" style="8" customWidth="1"/>
    <col min="12544" max="12544" width="9.75" style="8" customWidth="1"/>
    <col min="12545" max="12545" width="9" style="8"/>
    <col min="12546" max="12555" width="9" style="8" hidden="1" customWidth="1"/>
    <col min="12556" max="12783" width="9" style="8"/>
    <col min="12784" max="12784" width="10.6296296296296" style="8" customWidth="1"/>
    <col min="12785" max="12785" width="9.75" style="8" customWidth="1"/>
    <col min="12786" max="12786" width="3.87962962962963" style="8" customWidth="1"/>
    <col min="12787" max="12787" width="10.6296296296296" style="8" customWidth="1"/>
    <col min="12788" max="12788" width="8.12962962962963" style="8" customWidth="1"/>
    <col min="12789" max="12789" width="8" style="8" customWidth="1"/>
    <col min="12790" max="12790" width="9.12962962962963" style="8" customWidth="1"/>
    <col min="12791" max="12791" width="6.62962962962963" style="8" customWidth="1"/>
    <col min="12792" max="12792" width="8.5" style="8" customWidth="1"/>
    <col min="12793" max="12793" width="9.12962962962963" style="8" customWidth="1"/>
    <col min="12794" max="12794" width="12.3796296296296" style="8" customWidth="1"/>
    <col min="12795" max="12795" width="9.12962962962963" style="8" customWidth="1"/>
    <col min="12796" max="12796" width="4.37962962962963" style="8" customWidth="1"/>
    <col min="12797" max="12797" width="6" style="8" customWidth="1"/>
    <col min="12798" max="12798" width="8.12962962962963" style="8" customWidth="1"/>
    <col min="12799" max="12799" width="7.87962962962963" style="8" customWidth="1"/>
    <col min="12800" max="12800" width="9.75" style="8" customWidth="1"/>
    <col min="12801" max="12801" width="9" style="8"/>
    <col min="12802" max="12811" width="9" style="8" hidden="1" customWidth="1"/>
    <col min="12812" max="13039" width="9" style="8"/>
    <col min="13040" max="13040" width="10.6296296296296" style="8" customWidth="1"/>
    <col min="13041" max="13041" width="9.75" style="8" customWidth="1"/>
    <col min="13042" max="13042" width="3.87962962962963" style="8" customWidth="1"/>
    <col min="13043" max="13043" width="10.6296296296296" style="8" customWidth="1"/>
    <col min="13044" max="13044" width="8.12962962962963" style="8" customWidth="1"/>
    <col min="13045" max="13045" width="8" style="8" customWidth="1"/>
    <col min="13046" max="13046" width="9.12962962962963" style="8" customWidth="1"/>
    <col min="13047" max="13047" width="6.62962962962963" style="8" customWidth="1"/>
    <col min="13048" max="13048" width="8.5" style="8" customWidth="1"/>
    <col min="13049" max="13049" width="9.12962962962963" style="8" customWidth="1"/>
    <col min="13050" max="13050" width="12.3796296296296" style="8" customWidth="1"/>
    <col min="13051" max="13051" width="9.12962962962963" style="8" customWidth="1"/>
    <col min="13052" max="13052" width="4.37962962962963" style="8" customWidth="1"/>
    <col min="13053" max="13053" width="6" style="8" customWidth="1"/>
    <col min="13054" max="13054" width="8.12962962962963" style="8" customWidth="1"/>
    <col min="13055" max="13055" width="7.87962962962963" style="8" customWidth="1"/>
    <col min="13056" max="13056" width="9.75" style="8" customWidth="1"/>
    <col min="13057" max="13057" width="9" style="8"/>
    <col min="13058" max="13067" width="9" style="8" hidden="1" customWidth="1"/>
    <col min="13068" max="13295" width="9" style="8"/>
    <col min="13296" max="13296" width="10.6296296296296" style="8" customWidth="1"/>
    <col min="13297" max="13297" width="9.75" style="8" customWidth="1"/>
    <col min="13298" max="13298" width="3.87962962962963" style="8" customWidth="1"/>
    <col min="13299" max="13299" width="10.6296296296296" style="8" customWidth="1"/>
    <col min="13300" max="13300" width="8.12962962962963" style="8" customWidth="1"/>
    <col min="13301" max="13301" width="8" style="8" customWidth="1"/>
    <col min="13302" max="13302" width="9.12962962962963" style="8" customWidth="1"/>
    <col min="13303" max="13303" width="6.62962962962963" style="8" customWidth="1"/>
    <col min="13304" max="13304" width="8.5" style="8" customWidth="1"/>
    <col min="13305" max="13305" width="9.12962962962963" style="8" customWidth="1"/>
    <col min="13306" max="13306" width="12.3796296296296" style="8" customWidth="1"/>
    <col min="13307" max="13307" width="9.12962962962963" style="8" customWidth="1"/>
    <col min="13308" max="13308" width="4.37962962962963" style="8" customWidth="1"/>
    <col min="13309" max="13309" width="6" style="8" customWidth="1"/>
    <col min="13310" max="13310" width="8.12962962962963" style="8" customWidth="1"/>
    <col min="13311" max="13311" width="7.87962962962963" style="8" customWidth="1"/>
    <col min="13312" max="13312" width="9.75" style="8" customWidth="1"/>
    <col min="13313" max="13313" width="9" style="8"/>
    <col min="13314" max="13323" width="9" style="8" hidden="1" customWidth="1"/>
    <col min="13324" max="13551" width="9" style="8"/>
    <col min="13552" max="13552" width="10.6296296296296" style="8" customWidth="1"/>
    <col min="13553" max="13553" width="9.75" style="8" customWidth="1"/>
    <col min="13554" max="13554" width="3.87962962962963" style="8" customWidth="1"/>
    <col min="13555" max="13555" width="10.6296296296296" style="8" customWidth="1"/>
    <col min="13556" max="13556" width="8.12962962962963" style="8" customWidth="1"/>
    <col min="13557" max="13557" width="8" style="8" customWidth="1"/>
    <col min="13558" max="13558" width="9.12962962962963" style="8" customWidth="1"/>
    <col min="13559" max="13559" width="6.62962962962963" style="8" customWidth="1"/>
    <col min="13560" max="13560" width="8.5" style="8" customWidth="1"/>
    <col min="13561" max="13561" width="9.12962962962963" style="8" customWidth="1"/>
    <col min="13562" max="13562" width="12.3796296296296" style="8" customWidth="1"/>
    <col min="13563" max="13563" width="9.12962962962963" style="8" customWidth="1"/>
    <col min="13564" max="13564" width="4.37962962962963" style="8" customWidth="1"/>
    <col min="13565" max="13565" width="6" style="8" customWidth="1"/>
    <col min="13566" max="13566" width="8.12962962962963" style="8" customWidth="1"/>
    <col min="13567" max="13567" width="7.87962962962963" style="8" customWidth="1"/>
    <col min="13568" max="13568" width="9.75" style="8" customWidth="1"/>
    <col min="13569" max="13569" width="9" style="8"/>
    <col min="13570" max="13579" width="9" style="8" hidden="1" customWidth="1"/>
    <col min="13580" max="13807" width="9" style="8"/>
    <col min="13808" max="13808" width="10.6296296296296" style="8" customWidth="1"/>
    <col min="13809" max="13809" width="9.75" style="8" customWidth="1"/>
    <col min="13810" max="13810" width="3.87962962962963" style="8" customWidth="1"/>
    <col min="13811" max="13811" width="10.6296296296296" style="8" customWidth="1"/>
    <col min="13812" max="13812" width="8.12962962962963" style="8" customWidth="1"/>
    <col min="13813" max="13813" width="8" style="8" customWidth="1"/>
    <col min="13814" max="13814" width="9.12962962962963" style="8" customWidth="1"/>
    <col min="13815" max="13815" width="6.62962962962963" style="8" customWidth="1"/>
    <col min="13816" max="13816" width="8.5" style="8" customWidth="1"/>
    <col min="13817" max="13817" width="9.12962962962963" style="8" customWidth="1"/>
    <col min="13818" max="13818" width="12.3796296296296" style="8" customWidth="1"/>
    <col min="13819" max="13819" width="9.12962962962963" style="8" customWidth="1"/>
    <col min="13820" max="13820" width="4.37962962962963" style="8" customWidth="1"/>
    <col min="13821" max="13821" width="6" style="8" customWidth="1"/>
    <col min="13822" max="13822" width="8.12962962962963" style="8" customWidth="1"/>
    <col min="13823" max="13823" width="7.87962962962963" style="8" customWidth="1"/>
    <col min="13824" max="13824" width="9.75" style="8" customWidth="1"/>
    <col min="13825" max="13825" width="9" style="8"/>
    <col min="13826" max="13835" width="9" style="8" hidden="1" customWidth="1"/>
    <col min="13836" max="14063" width="9" style="8"/>
    <col min="14064" max="14064" width="10.6296296296296" style="8" customWidth="1"/>
    <col min="14065" max="14065" width="9.75" style="8" customWidth="1"/>
    <col min="14066" max="14066" width="3.87962962962963" style="8" customWidth="1"/>
    <col min="14067" max="14067" width="10.6296296296296" style="8" customWidth="1"/>
    <col min="14068" max="14068" width="8.12962962962963" style="8" customWidth="1"/>
    <col min="14069" max="14069" width="8" style="8" customWidth="1"/>
    <col min="14070" max="14070" width="9.12962962962963" style="8" customWidth="1"/>
    <col min="14071" max="14071" width="6.62962962962963" style="8" customWidth="1"/>
    <col min="14072" max="14072" width="8.5" style="8" customWidth="1"/>
    <col min="14073" max="14073" width="9.12962962962963" style="8" customWidth="1"/>
    <col min="14074" max="14074" width="12.3796296296296" style="8" customWidth="1"/>
    <col min="14075" max="14075" width="9.12962962962963" style="8" customWidth="1"/>
    <col min="14076" max="14076" width="4.37962962962963" style="8" customWidth="1"/>
    <col min="14077" max="14077" width="6" style="8" customWidth="1"/>
    <col min="14078" max="14078" width="8.12962962962963" style="8" customWidth="1"/>
    <col min="14079" max="14079" width="7.87962962962963" style="8" customWidth="1"/>
    <col min="14080" max="14080" width="9.75" style="8" customWidth="1"/>
    <col min="14081" max="14081" width="9" style="8"/>
    <col min="14082" max="14091" width="9" style="8" hidden="1" customWidth="1"/>
    <col min="14092" max="14319" width="9" style="8"/>
    <col min="14320" max="14320" width="10.6296296296296" style="8" customWidth="1"/>
    <col min="14321" max="14321" width="9.75" style="8" customWidth="1"/>
    <col min="14322" max="14322" width="3.87962962962963" style="8" customWidth="1"/>
    <col min="14323" max="14323" width="10.6296296296296" style="8" customWidth="1"/>
    <col min="14324" max="14324" width="8.12962962962963" style="8" customWidth="1"/>
    <col min="14325" max="14325" width="8" style="8" customWidth="1"/>
    <col min="14326" max="14326" width="9.12962962962963" style="8" customWidth="1"/>
    <col min="14327" max="14327" width="6.62962962962963" style="8" customWidth="1"/>
    <col min="14328" max="14328" width="8.5" style="8" customWidth="1"/>
    <col min="14329" max="14329" width="9.12962962962963" style="8" customWidth="1"/>
    <col min="14330" max="14330" width="12.3796296296296" style="8" customWidth="1"/>
    <col min="14331" max="14331" width="9.12962962962963" style="8" customWidth="1"/>
    <col min="14332" max="14332" width="4.37962962962963" style="8" customWidth="1"/>
    <col min="14333" max="14333" width="6" style="8" customWidth="1"/>
    <col min="14334" max="14334" width="8.12962962962963" style="8" customWidth="1"/>
    <col min="14335" max="14335" width="7.87962962962963" style="8" customWidth="1"/>
    <col min="14336" max="14336" width="9.75" style="8" customWidth="1"/>
    <col min="14337" max="14337" width="9" style="8"/>
    <col min="14338" max="14347" width="9" style="8" hidden="1" customWidth="1"/>
    <col min="14348" max="14575" width="9" style="8"/>
    <col min="14576" max="14576" width="10.6296296296296" style="8" customWidth="1"/>
    <col min="14577" max="14577" width="9.75" style="8" customWidth="1"/>
    <col min="14578" max="14578" width="3.87962962962963" style="8" customWidth="1"/>
    <col min="14579" max="14579" width="10.6296296296296" style="8" customWidth="1"/>
    <col min="14580" max="14580" width="8.12962962962963" style="8" customWidth="1"/>
    <col min="14581" max="14581" width="8" style="8" customWidth="1"/>
    <col min="14582" max="14582" width="9.12962962962963" style="8" customWidth="1"/>
    <col min="14583" max="14583" width="6.62962962962963" style="8" customWidth="1"/>
    <col min="14584" max="14584" width="8.5" style="8" customWidth="1"/>
    <col min="14585" max="14585" width="9.12962962962963" style="8" customWidth="1"/>
    <col min="14586" max="14586" width="12.3796296296296" style="8" customWidth="1"/>
    <col min="14587" max="14587" width="9.12962962962963" style="8" customWidth="1"/>
    <col min="14588" max="14588" width="4.37962962962963" style="8" customWidth="1"/>
    <col min="14589" max="14589" width="6" style="8" customWidth="1"/>
    <col min="14590" max="14590" width="8.12962962962963" style="8" customWidth="1"/>
    <col min="14591" max="14591" width="7.87962962962963" style="8" customWidth="1"/>
    <col min="14592" max="14592" width="9.75" style="8" customWidth="1"/>
    <col min="14593" max="14593" width="9" style="8"/>
    <col min="14594" max="14603" width="9" style="8" hidden="1" customWidth="1"/>
    <col min="14604" max="14831" width="9" style="8"/>
    <col min="14832" max="14832" width="10.6296296296296" style="8" customWidth="1"/>
    <col min="14833" max="14833" width="9.75" style="8" customWidth="1"/>
    <col min="14834" max="14834" width="3.87962962962963" style="8" customWidth="1"/>
    <col min="14835" max="14835" width="10.6296296296296" style="8" customWidth="1"/>
    <col min="14836" max="14836" width="8.12962962962963" style="8" customWidth="1"/>
    <col min="14837" max="14837" width="8" style="8" customWidth="1"/>
    <col min="14838" max="14838" width="9.12962962962963" style="8" customWidth="1"/>
    <col min="14839" max="14839" width="6.62962962962963" style="8" customWidth="1"/>
    <col min="14840" max="14840" width="8.5" style="8" customWidth="1"/>
    <col min="14841" max="14841" width="9.12962962962963" style="8" customWidth="1"/>
    <col min="14842" max="14842" width="12.3796296296296" style="8" customWidth="1"/>
    <col min="14843" max="14843" width="9.12962962962963" style="8" customWidth="1"/>
    <col min="14844" max="14844" width="4.37962962962963" style="8" customWidth="1"/>
    <col min="14845" max="14845" width="6" style="8" customWidth="1"/>
    <col min="14846" max="14846" width="8.12962962962963" style="8" customWidth="1"/>
    <col min="14847" max="14847" width="7.87962962962963" style="8" customWidth="1"/>
    <col min="14848" max="14848" width="9.75" style="8" customWidth="1"/>
    <col min="14849" max="14849" width="9" style="8"/>
    <col min="14850" max="14859" width="9" style="8" hidden="1" customWidth="1"/>
    <col min="14860" max="15087" width="9" style="8"/>
    <col min="15088" max="15088" width="10.6296296296296" style="8" customWidth="1"/>
    <col min="15089" max="15089" width="9.75" style="8" customWidth="1"/>
    <col min="15090" max="15090" width="3.87962962962963" style="8" customWidth="1"/>
    <col min="15091" max="15091" width="10.6296296296296" style="8" customWidth="1"/>
    <col min="15092" max="15092" width="8.12962962962963" style="8" customWidth="1"/>
    <col min="15093" max="15093" width="8" style="8" customWidth="1"/>
    <col min="15094" max="15094" width="9.12962962962963" style="8" customWidth="1"/>
    <col min="15095" max="15095" width="6.62962962962963" style="8" customWidth="1"/>
    <col min="15096" max="15096" width="8.5" style="8" customWidth="1"/>
    <col min="15097" max="15097" width="9.12962962962963" style="8" customWidth="1"/>
    <col min="15098" max="15098" width="12.3796296296296" style="8" customWidth="1"/>
    <col min="15099" max="15099" width="9.12962962962963" style="8" customWidth="1"/>
    <col min="15100" max="15100" width="4.37962962962963" style="8" customWidth="1"/>
    <col min="15101" max="15101" width="6" style="8" customWidth="1"/>
    <col min="15102" max="15102" width="8.12962962962963" style="8" customWidth="1"/>
    <col min="15103" max="15103" width="7.87962962962963" style="8" customWidth="1"/>
    <col min="15104" max="15104" width="9.75" style="8" customWidth="1"/>
    <col min="15105" max="15105" width="9" style="8"/>
    <col min="15106" max="15115" width="9" style="8" hidden="1" customWidth="1"/>
    <col min="15116" max="15343" width="9" style="8"/>
    <col min="15344" max="15344" width="10.6296296296296" style="8" customWidth="1"/>
    <col min="15345" max="15345" width="9.75" style="8" customWidth="1"/>
    <col min="15346" max="15346" width="3.87962962962963" style="8" customWidth="1"/>
    <col min="15347" max="15347" width="10.6296296296296" style="8" customWidth="1"/>
    <col min="15348" max="15348" width="8.12962962962963" style="8" customWidth="1"/>
    <col min="15349" max="15349" width="8" style="8" customWidth="1"/>
    <col min="15350" max="15350" width="9.12962962962963" style="8" customWidth="1"/>
    <col min="15351" max="15351" width="6.62962962962963" style="8" customWidth="1"/>
    <col min="15352" max="15352" width="8.5" style="8" customWidth="1"/>
    <col min="15353" max="15353" width="9.12962962962963" style="8" customWidth="1"/>
    <col min="15354" max="15354" width="12.3796296296296" style="8" customWidth="1"/>
    <col min="15355" max="15355" width="9.12962962962963" style="8" customWidth="1"/>
    <col min="15356" max="15356" width="4.37962962962963" style="8" customWidth="1"/>
    <col min="15357" max="15357" width="6" style="8" customWidth="1"/>
    <col min="15358" max="15358" width="8.12962962962963" style="8" customWidth="1"/>
    <col min="15359" max="15359" width="7.87962962962963" style="8" customWidth="1"/>
    <col min="15360" max="15360" width="9.75" style="8" customWidth="1"/>
    <col min="15361" max="15361" width="9" style="8"/>
    <col min="15362" max="15371" width="9" style="8" hidden="1" customWidth="1"/>
    <col min="15372" max="15599" width="9" style="8"/>
    <col min="15600" max="15600" width="10.6296296296296" style="8" customWidth="1"/>
    <col min="15601" max="15601" width="9.75" style="8" customWidth="1"/>
    <col min="15602" max="15602" width="3.87962962962963" style="8" customWidth="1"/>
    <col min="15603" max="15603" width="10.6296296296296" style="8" customWidth="1"/>
    <col min="15604" max="15604" width="8.12962962962963" style="8" customWidth="1"/>
    <col min="15605" max="15605" width="8" style="8" customWidth="1"/>
    <col min="15606" max="15606" width="9.12962962962963" style="8" customWidth="1"/>
    <col min="15607" max="15607" width="6.62962962962963" style="8" customWidth="1"/>
    <col min="15608" max="15608" width="8.5" style="8" customWidth="1"/>
    <col min="15609" max="15609" width="9.12962962962963" style="8" customWidth="1"/>
    <col min="15610" max="15610" width="12.3796296296296" style="8" customWidth="1"/>
    <col min="15611" max="15611" width="9.12962962962963" style="8" customWidth="1"/>
    <col min="15612" max="15612" width="4.37962962962963" style="8" customWidth="1"/>
    <col min="15613" max="15613" width="6" style="8" customWidth="1"/>
    <col min="15614" max="15614" width="8.12962962962963" style="8" customWidth="1"/>
    <col min="15615" max="15615" width="7.87962962962963" style="8" customWidth="1"/>
    <col min="15616" max="15616" width="9.75" style="8" customWidth="1"/>
    <col min="15617" max="15617" width="9" style="8"/>
    <col min="15618" max="15627" width="9" style="8" hidden="1" customWidth="1"/>
    <col min="15628" max="15855" width="9" style="8"/>
    <col min="15856" max="15856" width="10.6296296296296" style="8" customWidth="1"/>
    <col min="15857" max="15857" width="9.75" style="8" customWidth="1"/>
    <col min="15858" max="15858" width="3.87962962962963" style="8" customWidth="1"/>
    <col min="15859" max="15859" width="10.6296296296296" style="8" customWidth="1"/>
    <col min="15860" max="15860" width="8.12962962962963" style="8" customWidth="1"/>
    <col min="15861" max="15861" width="8" style="8" customWidth="1"/>
    <col min="15862" max="15862" width="9.12962962962963" style="8" customWidth="1"/>
    <col min="15863" max="15863" width="6.62962962962963" style="8" customWidth="1"/>
    <col min="15864" max="15864" width="8.5" style="8" customWidth="1"/>
    <col min="15865" max="15865" width="9.12962962962963" style="8" customWidth="1"/>
    <col min="15866" max="15866" width="12.3796296296296" style="8" customWidth="1"/>
    <col min="15867" max="15867" width="9.12962962962963" style="8" customWidth="1"/>
    <col min="15868" max="15868" width="4.37962962962963" style="8" customWidth="1"/>
    <col min="15869" max="15869" width="6" style="8" customWidth="1"/>
    <col min="15870" max="15870" width="8.12962962962963" style="8" customWidth="1"/>
    <col min="15871" max="15871" width="7.87962962962963" style="8" customWidth="1"/>
    <col min="15872" max="15872" width="9.75" style="8" customWidth="1"/>
    <col min="15873" max="15873" width="9" style="8"/>
    <col min="15874" max="15883" width="9" style="8" hidden="1" customWidth="1"/>
    <col min="15884" max="16111" width="9" style="8"/>
    <col min="16112" max="16112" width="10.6296296296296" style="8" customWidth="1"/>
    <col min="16113" max="16113" width="9.75" style="8" customWidth="1"/>
    <col min="16114" max="16114" width="3.87962962962963" style="8" customWidth="1"/>
    <col min="16115" max="16115" width="10.6296296296296" style="8" customWidth="1"/>
    <col min="16116" max="16116" width="8.12962962962963" style="8" customWidth="1"/>
    <col min="16117" max="16117" width="8" style="8" customWidth="1"/>
    <col min="16118" max="16118" width="9.12962962962963" style="8" customWidth="1"/>
    <col min="16119" max="16119" width="6.62962962962963" style="8" customWidth="1"/>
    <col min="16120" max="16120" width="8.5" style="8" customWidth="1"/>
    <col min="16121" max="16121" width="9.12962962962963" style="8" customWidth="1"/>
    <col min="16122" max="16122" width="12.3796296296296" style="8" customWidth="1"/>
    <col min="16123" max="16123" width="9.12962962962963" style="8" customWidth="1"/>
    <col min="16124" max="16124" width="4.37962962962963" style="8" customWidth="1"/>
    <col min="16125" max="16125" width="6" style="8" customWidth="1"/>
    <col min="16126" max="16126" width="8.12962962962963" style="8" customWidth="1"/>
    <col min="16127" max="16127" width="7.87962962962963" style="8" customWidth="1"/>
    <col min="16128" max="16128" width="9.75" style="8" customWidth="1"/>
    <col min="16129" max="16129" width="9" style="8"/>
    <col min="16130" max="16139" width="9" style="8" hidden="1" customWidth="1"/>
    <col min="16140" max="16384" width="9" style="8"/>
  </cols>
  <sheetData>
    <row r="1" ht="33" customHeight="1" spans="1:18">
      <c r="A1" s="9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</row>
    <row r="2" s="1" customFormat="1" ht="18.75" customHeight="1" spans="1:19">
      <c r="A2" s="10" t="s">
        <v>1</v>
      </c>
      <c r="B2" s="11" t="s">
        <v>2</v>
      </c>
      <c r="C2" s="10" t="s">
        <v>3</v>
      </c>
      <c r="D2" s="12" t="s">
        <v>4</v>
      </c>
      <c r="E2" s="13"/>
      <c r="F2" s="13"/>
      <c r="G2" s="13"/>
      <c r="H2" s="13"/>
      <c r="I2" s="13"/>
      <c r="J2" s="13"/>
      <c r="K2" s="13"/>
      <c r="L2" s="13"/>
      <c r="M2" s="24" t="s">
        <v>5</v>
      </c>
      <c r="N2" s="25"/>
      <c r="O2" s="26"/>
      <c r="P2" s="10" t="s">
        <v>6</v>
      </c>
      <c r="Q2" s="10" t="s">
        <v>7</v>
      </c>
      <c r="R2" s="10" t="s">
        <v>8</v>
      </c>
      <c r="S2" s="2"/>
    </row>
    <row r="3" s="1" customFormat="1" ht="18.75" customHeight="1" spans="1:19">
      <c r="A3" s="10"/>
      <c r="B3" s="14"/>
      <c r="C3" s="15"/>
      <c r="D3" s="16" t="s">
        <v>9</v>
      </c>
      <c r="E3" s="16" t="s">
        <v>10</v>
      </c>
      <c r="F3" s="16" t="s">
        <v>11</v>
      </c>
      <c r="G3" s="16" t="s">
        <v>12</v>
      </c>
      <c r="H3" s="16" t="s">
        <v>13</v>
      </c>
      <c r="I3" s="16"/>
      <c r="J3" s="16" t="s">
        <v>14</v>
      </c>
      <c r="K3" s="27" t="s">
        <v>15</v>
      </c>
      <c r="L3" s="27"/>
      <c r="M3" s="10" t="s">
        <v>16</v>
      </c>
      <c r="N3" s="11" t="s">
        <v>17</v>
      </c>
      <c r="O3" s="15" t="s">
        <v>18</v>
      </c>
      <c r="P3" s="10"/>
      <c r="Q3" s="10"/>
      <c r="R3" s="10"/>
      <c r="S3" s="2"/>
    </row>
    <row r="4" s="1" customFormat="1" ht="18.75" customHeight="1" spans="1:19">
      <c r="A4" s="10"/>
      <c r="B4" s="14"/>
      <c r="C4" s="15"/>
      <c r="D4" s="16"/>
      <c r="E4" s="16"/>
      <c r="F4" s="16"/>
      <c r="G4" s="16"/>
      <c r="H4" s="16"/>
      <c r="I4" s="16"/>
      <c r="J4" s="16"/>
      <c r="K4" s="27" t="s">
        <v>19</v>
      </c>
      <c r="L4" s="27" t="s">
        <v>20</v>
      </c>
      <c r="M4" s="10"/>
      <c r="N4" s="14"/>
      <c r="O4" s="15"/>
      <c r="P4" s="10"/>
      <c r="Q4" s="10"/>
      <c r="R4" s="10"/>
      <c r="S4" s="2"/>
    </row>
    <row r="5" s="1" customFormat="1" ht="29.25" customHeight="1" spans="1:19">
      <c r="A5" s="10"/>
      <c r="B5" s="14"/>
      <c r="C5" s="15"/>
      <c r="D5" s="16" t="s">
        <v>21</v>
      </c>
      <c r="E5" s="16" t="s">
        <v>22</v>
      </c>
      <c r="F5" s="16" t="s">
        <v>23</v>
      </c>
      <c r="G5" s="16" t="s">
        <v>24</v>
      </c>
      <c r="H5" s="16" t="s">
        <v>25</v>
      </c>
      <c r="I5" s="16"/>
      <c r="J5" s="16" t="s">
        <v>26</v>
      </c>
      <c r="K5" s="28" t="s">
        <v>27</v>
      </c>
      <c r="L5" s="28" t="s">
        <v>27</v>
      </c>
      <c r="M5" s="10"/>
      <c r="N5" s="14"/>
      <c r="O5" s="15"/>
      <c r="P5" s="10"/>
      <c r="Q5" s="10"/>
      <c r="R5" s="10"/>
      <c r="S5" s="2"/>
    </row>
    <row r="6" s="1" customFormat="1" ht="29.25" customHeight="1" spans="1:19">
      <c r="A6" s="10"/>
      <c r="B6" s="17"/>
      <c r="C6" s="15"/>
      <c r="D6" s="16" t="s">
        <v>28</v>
      </c>
      <c r="E6" s="16" t="s">
        <v>29</v>
      </c>
      <c r="F6" s="16" t="s">
        <v>30</v>
      </c>
      <c r="G6" s="16" t="s">
        <v>31</v>
      </c>
      <c r="H6" s="16" t="s">
        <v>32</v>
      </c>
      <c r="I6" s="16" t="s">
        <v>33</v>
      </c>
      <c r="J6" s="16" t="s">
        <v>34</v>
      </c>
      <c r="K6" s="28" t="s">
        <v>35</v>
      </c>
      <c r="L6" s="29" t="s">
        <v>36</v>
      </c>
      <c r="M6" s="10"/>
      <c r="N6" s="17"/>
      <c r="O6" s="15"/>
      <c r="P6" s="10"/>
      <c r="Q6" s="10"/>
      <c r="R6" s="10"/>
      <c r="S6" s="2"/>
    </row>
    <row r="7" s="2" customFormat="1" ht="22.5" customHeight="1" spans="1:18">
      <c r="A7" s="10" t="s">
        <v>37</v>
      </c>
      <c r="B7" s="11" t="s">
        <v>38</v>
      </c>
      <c r="C7" s="15" t="s">
        <v>39</v>
      </c>
      <c r="D7" s="16" t="s">
        <v>40</v>
      </c>
      <c r="E7" s="16">
        <v>242</v>
      </c>
      <c r="F7" s="16">
        <v>130</v>
      </c>
      <c r="G7" s="16">
        <v>743</v>
      </c>
      <c r="H7" s="18">
        <v>781</v>
      </c>
      <c r="I7" s="18">
        <v>335</v>
      </c>
      <c r="J7" s="16">
        <v>150</v>
      </c>
      <c r="K7" s="16">
        <v>3.72</v>
      </c>
      <c r="L7" s="27" t="s">
        <v>34</v>
      </c>
      <c r="M7" s="30">
        <f>G7/(G7+H7+I7)</f>
        <v>0.4</v>
      </c>
      <c r="N7" s="31">
        <f>J7/(E7+F7)</f>
        <v>0.4</v>
      </c>
      <c r="O7" s="30" t="s">
        <v>41</v>
      </c>
      <c r="P7" s="11" t="s">
        <v>42</v>
      </c>
      <c r="Q7" s="10" t="s">
        <v>43</v>
      </c>
      <c r="R7" s="11">
        <v>1.586</v>
      </c>
    </row>
    <row r="8" s="2" customFormat="1" ht="22.5" customHeight="1" spans="1:18">
      <c r="A8" s="10"/>
      <c r="B8" s="17"/>
      <c r="C8" s="15"/>
      <c r="D8" s="16" t="s">
        <v>44</v>
      </c>
      <c r="E8" s="16">
        <f t="shared" ref="E8:K8" si="0">E7/$E$7</f>
        <v>1</v>
      </c>
      <c r="F8" s="19">
        <f t="shared" si="0"/>
        <v>0.54</v>
      </c>
      <c r="G8" s="19">
        <f t="shared" si="0"/>
        <v>3.07</v>
      </c>
      <c r="H8" s="19">
        <f t="shared" si="0"/>
        <v>3.23</v>
      </c>
      <c r="I8" s="19">
        <f t="shared" si="0"/>
        <v>1.38</v>
      </c>
      <c r="J8" s="19">
        <f t="shared" si="0"/>
        <v>0.62</v>
      </c>
      <c r="K8" s="32">
        <f t="shared" si="0"/>
        <v>0.015</v>
      </c>
      <c r="L8" s="27" t="s">
        <v>34</v>
      </c>
      <c r="M8" s="30"/>
      <c r="N8" s="31"/>
      <c r="O8" s="30"/>
      <c r="P8" s="17"/>
      <c r="Q8" s="10"/>
      <c r="R8" s="17"/>
    </row>
    <row r="9" s="2" customFormat="1" ht="22.5" customHeight="1" spans="1:18">
      <c r="A9" s="10" t="s">
        <v>45</v>
      </c>
      <c r="B9" s="11" t="s">
        <v>46</v>
      </c>
      <c r="C9" s="10" t="s">
        <v>47</v>
      </c>
      <c r="D9" s="16" t="s">
        <v>40</v>
      </c>
      <c r="E9" s="16">
        <v>254</v>
      </c>
      <c r="F9" s="16">
        <v>136</v>
      </c>
      <c r="G9" s="16">
        <v>754</v>
      </c>
      <c r="H9" s="18">
        <v>760</v>
      </c>
      <c r="I9" s="18">
        <f>1086*0.3</f>
        <v>326</v>
      </c>
      <c r="J9" s="16">
        <v>150</v>
      </c>
      <c r="K9" s="19">
        <v>3.9</v>
      </c>
      <c r="L9" s="27" t="s">
        <v>34</v>
      </c>
      <c r="M9" s="30">
        <f>G9/(G9+H9+I9)</f>
        <v>0.41</v>
      </c>
      <c r="N9" s="31">
        <f t="shared" ref="N9" si="1">J9/(E9+F9)</f>
        <v>0.38</v>
      </c>
      <c r="O9" s="30" t="s">
        <v>48</v>
      </c>
      <c r="P9" s="11" t="s">
        <v>49</v>
      </c>
      <c r="Q9" s="10" t="s">
        <v>50</v>
      </c>
      <c r="R9" s="11">
        <v>1.662</v>
      </c>
    </row>
    <row r="10" s="2" customFormat="1" ht="22.5" customHeight="1" spans="1:18">
      <c r="A10" s="10"/>
      <c r="B10" s="17"/>
      <c r="C10" s="10"/>
      <c r="D10" s="16" t="s">
        <v>44</v>
      </c>
      <c r="E10" s="16">
        <f>E9/$E$9</f>
        <v>1</v>
      </c>
      <c r="F10" s="19">
        <f t="shared" ref="F10:K10" si="2">F9/$E$9</f>
        <v>0.54</v>
      </c>
      <c r="G10" s="19">
        <f t="shared" si="2"/>
        <v>2.97</v>
      </c>
      <c r="H10" s="19">
        <f t="shared" si="2"/>
        <v>2.99</v>
      </c>
      <c r="I10" s="19">
        <f t="shared" si="2"/>
        <v>1.28</v>
      </c>
      <c r="J10" s="19">
        <f t="shared" si="2"/>
        <v>0.59</v>
      </c>
      <c r="K10" s="32">
        <f t="shared" si="2"/>
        <v>0.015</v>
      </c>
      <c r="L10" s="27" t="s">
        <v>34</v>
      </c>
      <c r="M10" s="30"/>
      <c r="N10" s="31"/>
      <c r="O10" s="30"/>
      <c r="P10" s="17"/>
      <c r="Q10" s="10"/>
      <c r="R10" s="17"/>
    </row>
    <row r="11" s="2" customFormat="1" ht="22.5" customHeight="1" spans="1:18">
      <c r="A11" s="10" t="s">
        <v>51</v>
      </c>
      <c r="B11" s="11" t="s">
        <v>38</v>
      </c>
      <c r="C11" s="15" t="s">
        <v>52</v>
      </c>
      <c r="D11" s="16" t="s">
        <v>40</v>
      </c>
      <c r="E11" s="16">
        <v>260</v>
      </c>
      <c r="F11" s="16">
        <v>140</v>
      </c>
      <c r="G11" s="16">
        <v>750</v>
      </c>
      <c r="H11" s="16">
        <f>1080*0.7</f>
        <v>756</v>
      </c>
      <c r="I11" s="16">
        <f>1080*0.3</f>
        <v>324</v>
      </c>
      <c r="J11" s="16">
        <v>150</v>
      </c>
      <c r="K11" s="19">
        <v>4</v>
      </c>
      <c r="L11" s="33">
        <v>4</v>
      </c>
      <c r="M11" s="30">
        <f t="shared" ref="M11" si="3">G11/(G11+H11+I11)</f>
        <v>0.41</v>
      </c>
      <c r="N11" s="31">
        <f t="shared" ref="N11" si="4">J11/(E11+F11)</f>
        <v>0.38</v>
      </c>
      <c r="O11" s="30" t="s">
        <v>41</v>
      </c>
      <c r="P11" s="11" t="s">
        <v>53</v>
      </c>
      <c r="Q11" s="10" t="s">
        <v>54</v>
      </c>
      <c r="R11" s="11">
        <v>1.907</v>
      </c>
    </row>
    <row r="12" s="2" customFormat="1" ht="22.5" customHeight="1" spans="1:18">
      <c r="A12" s="10"/>
      <c r="B12" s="17"/>
      <c r="C12" s="15"/>
      <c r="D12" s="16" t="s">
        <v>44</v>
      </c>
      <c r="E12" s="16">
        <f>E11/$E$11</f>
        <v>1</v>
      </c>
      <c r="F12" s="19">
        <f t="shared" ref="F12:L12" si="5">F11/$E$11</f>
        <v>0.54</v>
      </c>
      <c r="G12" s="19">
        <f t="shared" si="5"/>
        <v>2.88</v>
      </c>
      <c r="H12" s="19">
        <f t="shared" si="5"/>
        <v>2.91</v>
      </c>
      <c r="I12" s="19">
        <f t="shared" si="5"/>
        <v>1.25</v>
      </c>
      <c r="J12" s="19">
        <f t="shared" si="5"/>
        <v>0.58</v>
      </c>
      <c r="K12" s="32">
        <f t="shared" si="5"/>
        <v>0.015</v>
      </c>
      <c r="L12" s="32">
        <f t="shared" si="5"/>
        <v>0.015</v>
      </c>
      <c r="M12" s="30"/>
      <c r="N12" s="31"/>
      <c r="O12" s="30"/>
      <c r="P12" s="17"/>
      <c r="Q12" s="10"/>
      <c r="R12" s="17"/>
    </row>
    <row r="13" s="2" customFormat="1" ht="22.5" customHeight="1" spans="1:18">
      <c r="A13" s="10" t="s">
        <v>55</v>
      </c>
      <c r="B13" s="11" t="s">
        <v>46</v>
      </c>
      <c r="C13" s="10" t="s">
        <v>56</v>
      </c>
      <c r="D13" s="16" t="s">
        <v>40</v>
      </c>
      <c r="E13" s="16">
        <v>270</v>
      </c>
      <c r="F13" s="16">
        <v>145</v>
      </c>
      <c r="G13" s="16">
        <v>769</v>
      </c>
      <c r="H13" s="18">
        <f>1062*0.7</f>
        <v>743</v>
      </c>
      <c r="I13" s="18">
        <f>1062*0.3</f>
        <v>319</v>
      </c>
      <c r="J13" s="16">
        <v>150</v>
      </c>
      <c r="K13" s="16">
        <v>4.15</v>
      </c>
      <c r="L13" s="27">
        <v>4.15</v>
      </c>
      <c r="M13" s="30">
        <f t="shared" ref="M13" si="6">G13/(G13+H13+I13)</f>
        <v>0.42</v>
      </c>
      <c r="N13" s="31">
        <f t="shared" ref="N13" si="7">J13/(E13+F13)</f>
        <v>0.36</v>
      </c>
      <c r="O13" s="30" t="s">
        <v>48</v>
      </c>
      <c r="P13" s="11" t="s">
        <v>53</v>
      </c>
      <c r="Q13" s="10" t="s">
        <v>57</v>
      </c>
      <c r="R13" s="11">
        <v>1.978</v>
      </c>
    </row>
    <row r="14" s="2" customFormat="1" ht="22.5" customHeight="1" spans="1:18">
      <c r="A14" s="10"/>
      <c r="B14" s="17"/>
      <c r="C14" s="10"/>
      <c r="D14" s="16" t="s">
        <v>44</v>
      </c>
      <c r="E14" s="16">
        <f>E13/$E$13</f>
        <v>1</v>
      </c>
      <c r="F14" s="19">
        <f t="shared" ref="F14:L14" si="8">F13/$E$13</f>
        <v>0.54</v>
      </c>
      <c r="G14" s="19">
        <f t="shared" si="8"/>
        <v>2.85</v>
      </c>
      <c r="H14" s="19">
        <f t="shared" si="8"/>
        <v>2.75</v>
      </c>
      <c r="I14" s="19">
        <f t="shared" si="8"/>
        <v>1.18</v>
      </c>
      <c r="J14" s="19">
        <f t="shared" si="8"/>
        <v>0.56</v>
      </c>
      <c r="K14" s="32">
        <f t="shared" si="8"/>
        <v>0.015</v>
      </c>
      <c r="L14" s="32">
        <f t="shared" si="8"/>
        <v>0.015</v>
      </c>
      <c r="M14" s="30"/>
      <c r="N14" s="31"/>
      <c r="O14" s="30"/>
      <c r="P14" s="17"/>
      <c r="Q14" s="10"/>
      <c r="R14" s="17"/>
    </row>
    <row r="15" s="2" customFormat="1" ht="22.5" customHeight="1" spans="1:18">
      <c r="A15" s="10" t="s">
        <v>58</v>
      </c>
      <c r="B15" s="11" t="s">
        <v>38</v>
      </c>
      <c r="C15" s="15" t="s">
        <v>59</v>
      </c>
      <c r="D15" s="16" t="s">
        <v>40</v>
      </c>
      <c r="E15" s="16">
        <v>294</v>
      </c>
      <c r="F15" s="16">
        <v>126</v>
      </c>
      <c r="G15" s="16">
        <v>750</v>
      </c>
      <c r="H15" s="16">
        <f>1080*0.7</f>
        <v>756</v>
      </c>
      <c r="I15" s="16">
        <f>1080*0.3</f>
        <v>324</v>
      </c>
      <c r="J15" s="16">
        <v>150</v>
      </c>
      <c r="K15" s="16">
        <v>4.2</v>
      </c>
      <c r="L15" s="27">
        <v>4.2</v>
      </c>
      <c r="M15" s="30">
        <f t="shared" ref="M15" si="9">G15/(G15+H15+I15)</f>
        <v>0.41</v>
      </c>
      <c r="N15" s="31">
        <f t="shared" ref="N15" si="10">J15/(E15+F15)</f>
        <v>0.36</v>
      </c>
      <c r="O15" s="30" t="s">
        <v>41</v>
      </c>
      <c r="P15" s="11" t="s">
        <v>60</v>
      </c>
      <c r="Q15" s="10" t="s">
        <v>61</v>
      </c>
      <c r="R15" s="11">
        <v>2.525</v>
      </c>
    </row>
    <row r="16" s="2" customFormat="1" ht="22.5" customHeight="1" spans="1:18">
      <c r="A16" s="10"/>
      <c r="B16" s="17"/>
      <c r="C16" s="15"/>
      <c r="D16" s="16" t="s">
        <v>44</v>
      </c>
      <c r="E16" s="18">
        <f>E15/$E$15</f>
        <v>1</v>
      </c>
      <c r="F16" s="19">
        <f t="shared" ref="F16:L16" si="11">F15/$E$15</f>
        <v>0.43</v>
      </c>
      <c r="G16" s="19">
        <f t="shared" si="11"/>
        <v>2.55</v>
      </c>
      <c r="H16" s="19">
        <f t="shared" si="11"/>
        <v>2.57</v>
      </c>
      <c r="I16" s="19">
        <f t="shared" si="11"/>
        <v>1.1</v>
      </c>
      <c r="J16" s="19">
        <f t="shared" si="11"/>
        <v>0.51</v>
      </c>
      <c r="K16" s="32">
        <f t="shared" si="11"/>
        <v>0.014</v>
      </c>
      <c r="L16" s="32">
        <f t="shared" si="11"/>
        <v>0.014</v>
      </c>
      <c r="M16" s="30"/>
      <c r="N16" s="31"/>
      <c r="O16" s="30"/>
      <c r="P16" s="17"/>
      <c r="Q16" s="10"/>
      <c r="R16" s="17"/>
    </row>
    <row r="17" s="2" customFormat="1" ht="22.5" customHeight="1" spans="1:18">
      <c r="A17" s="10" t="s">
        <v>62</v>
      </c>
      <c r="B17" s="11" t="s">
        <v>46</v>
      </c>
      <c r="C17" s="10" t="s">
        <v>63</v>
      </c>
      <c r="D17" s="16" t="s">
        <v>40</v>
      </c>
      <c r="E17" s="16">
        <v>311</v>
      </c>
      <c r="F17" s="16">
        <v>134</v>
      </c>
      <c r="G17" s="16">
        <v>758</v>
      </c>
      <c r="H17" s="18">
        <f>1047*0.7</f>
        <v>733</v>
      </c>
      <c r="I17" s="18">
        <f>1047*0.3</f>
        <v>314</v>
      </c>
      <c r="J17" s="16">
        <v>150</v>
      </c>
      <c r="K17" s="16">
        <v>4.45</v>
      </c>
      <c r="L17" s="27">
        <v>4.45</v>
      </c>
      <c r="M17" s="30">
        <f t="shared" ref="M17" si="12">G17/(G17+H17+I17)</f>
        <v>0.42</v>
      </c>
      <c r="N17" s="31">
        <f t="shared" ref="N17" si="13">J17/(E17+F17)</f>
        <v>0.34</v>
      </c>
      <c r="O17" s="30" t="s">
        <v>48</v>
      </c>
      <c r="P17" s="11" t="s">
        <v>60</v>
      </c>
      <c r="Q17" s="10" t="s">
        <v>64</v>
      </c>
      <c r="R17" s="11">
        <v>2.627</v>
      </c>
    </row>
    <row r="18" s="2" customFormat="1" ht="22.5" customHeight="1" spans="1:18">
      <c r="A18" s="10"/>
      <c r="B18" s="17"/>
      <c r="C18" s="10"/>
      <c r="D18" s="16" t="s">
        <v>44</v>
      </c>
      <c r="E18" s="16">
        <f>E17/$E$17</f>
        <v>1</v>
      </c>
      <c r="F18" s="19">
        <f t="shared" ref="F18:L18" si="14">F17/$E$17</f>
        <v>0.43</v>
      </c>
      <c r="G18" s="19">
        <f t="shared" si="14"/>
        <v>2.44</v>
      </c>
      <c r="H18" s="19">
        <f t="shared" si="14"/>
        <v>2.36</v>
      </c>
      <c r="I18" s="19">
        <f t="shared" si="14"/>
        <v>1.01</v>
      </c>
      <c r="J18" s="19">
        <f t="shared" si="14"/>
        <v>0.48</v>
      </c>
      <c r="K18" s="32">
        <f t="shared" si="14"/>
        <v>0.014</v>
      </c>
      <c r="L18" s="32">
        <f t="shared" si="14"/>
        <v>0.014</v>
      </c>
      <c r="M18" s="30"/>
      <c r="N18" s="31"/>
      <c r="O18" s="30"/>
      <c r="P18" s="17"/>
      <c r="Q18" s="10"/>
      <c r="R18" s="17"/>
    </row>
    <row r="19" s="2" customFormat="1" ht="22.5" customHeight="1" spans="1:18">
      <c r="A19" s="10" t="s">
        <v>65</v>
      </c>
      <c r="B19" s="11" t="s">
        <v>38</v>
      </c>
      <c r="C19" s="10" t="s">
        <v>66</v>
      </c>
      <c r="D19" s="16" t="s">
        <v>40</v>
      </c>
      <c r="E19" s="16">
        <v>315</v>
      </c>
      <c r="F19" s="16">
        <v>135</v>
      </c>
      <c r="G19" s="16">
        <v>729</v>
      </c>
      <c r="H19" s="18">
        <f>1048*0.7</f>
        <v>734</v>
      </c>
      <c r="I19" s="18">
        <f>1048*0.3</f>
        <v>314</v>
      </c>
      <c r="J19" s="16">
        <v>153</v>
      </c>
      <c r="K19" s="16">
        <v>4.5</v>
      </c>
      <c r="L19" s="27">
        <v>4.5</v>
      </c>
      <c r="M19" s="30">
        <f t="shared" ref="M19" si="15">G19/(G19+H19+I19)</f>
        <v>0.41</v>
      </c>
      <c r="N19" s="31">
        <f t="shared" ref="N19" si="16">J19/(E19+F19)</f>
        <v>0.34</v>
      </c>
      <c r="O19" s="30" t="s">
        <v>41</v>
      </c>
      <c r="P19" s="11" t="s">
        <v>67</v>
      </c>
      <c r="Q19" s="10" t="s">
        <v>68</v>
      </c>
      <c r="R19" s="37">
        <v>2.68</v>
      </c>
    </row>
    <row r="20" s="2" customFormat="1" ht="22.5" customHeight="1" spans="1:18">
      <c r="A20" s="10"/>
      <c r="B20" s="17"/>
      <c r="C20" s="10"/>
      <c r="D20" s="16" t="s">
        <v>44</v>
      </c>
      <c r="E20" s="16">
        <f>E19/$E$19</f>
        <v>1</v>
      </c>
      <c r="F20" s="19">
        <f t="shared" ref="F20:L20" si="17">F19/$E$19</f>
        <v>0.43</v>
      </c>
      <c r="G20" s="19">
        <f t="shared" si="17"/>
        <v>2.31</v>
      </c>
      <c r="H20" s="19">
        <f t="shared" si="17"/>
        <v>2.33</v>
      </c>
      <c r="I20" s="19">
        <f t="shared" si="17"/>
        <v>1</v>
      </c>
      <c r="J20" s="19">
        <f t="shared" si="17"/>
        <v>0.49</v>
      </c>
      <c r="K20" s="32">
        <f t="shared" si="17"/>
        <v>0.014</v>
      </c>
      <c r="L20" s="32">
        <f t="shared" si="17"/>
        <v>0.014</v>
      </c>
      <c r="M20" s="30"/>
      <c r="N20" s="31"/>
      <c r="O20" s="30"/>
      <c r="P20" s="17"/>
      <c r="Q20" s="10"/>
      <c r="R20" s="38"/>
    </row>
    <row r="21" s="2" customFormat="1" ht="22.5" customHeight="1" spans="1:18">
      <c r="A21" s="10" t="s">
        <v>69</v>
      </c>
      <c r="B21" s="11" t="s">
        <v>46</v>
      </c>
      <c r="C21" s="10" t="s">
        <v>70</v>
      </c>
      <c r="D21" s="16" t="s">
        <v>40</v>
      </c>
      <c r="E21" s="16">
        <v>333</v>
      </c>
      <c r="F21" s="16">
        <v>157</v>
      </c>
      <c r="G21" s="16">
        <v>734</v>
      </c>
      <c r="H21" s="18">
        <f>1014*0.7</f>
        <v>710</v>
      </c>
      <c r="I21" s="18">
        <f>1014*0.3</f>
        <v>304</v>
      </c>
      <c r="J21" s="16">
        <v>162</v>
      </c>
      <c r="K21" s="16">
        <v>4.9</v>
      </c>
      <c r="L21" s="27">
        <v>4.9</v>
      </c>
      <c r="M21" s="30">
        <f t="shared" ref="M21" si="18">G21/(G21+H21+I21)</f>
        <v>0.42</v>
      </c>
      <c r="N21" s="31">
        <f t="shared" ref="N21" si="19">J21/(E21+F21)</f>
        <v>0.33</v>
      </c>
      <c r="O21" s="30" t="s">
        <v>48</v>
      </c>
      <c r="P21" s="11" t="s">
        <v>67</v>
      </c>
      <c r="Q21" s="10" t="s">
        <v>71</v>
      </c>
      <c r="R21" s="11">
        <v>2.863</v>
      </c>
    </row>
    <row r="22" s="2" customFormat="1" ht="22.5" customHeight="1" spans="1:18">
      <c r="A22" s="10"/>
      <c r="B22" s="17"/>
      <c r="C22" s="10"/>
      <c r="D22" s="16" t="s">
        <v>44</v>
      </c>
      <c r="E22" s="16">
        <f>E21/$E$21</f>
        <v>1</v>
      </c>
      <c r="F22" s="19">
        <f t="shared" ref="F22:L22" si="20">F21/$E$21</f>
        <v>0.47</v>
      </c>
      <c r="G22" s="19">
        <f t="shared" si="20"/>
        <v>2.2</v>
      </c>
      <c r="H22" s="19">
        <f t="shared" si="20"/>
        <v>2.13</v>
      </c>
      <c r="I22" s="19">
        <f t="shared" si="20"/>
        <v>0.91</v>
      </c>
      <c r="J22" s="19">
        <f t="shared" si="20"/>
        <v>0.49</v>
      </c>
      <c r="K22" s="32">
        <f t="shared" si="20"/>
        <v>0.015</v>
      </c>
      <c r="L22" s="32">
        <f t="shared" si="20"/>
        <v>0.015</v>
      </c>
      <c r="M22" s="30"/>
      <c r="N22" s="31"/>
      <c r="O22" s="30"/>
      <c r="P22" s="17"/>
      <c r="Q22" s="10"/>
      <c r="R22" s="17"/>
    </row>
    <row r="23" s="2" customFormat="1" ht="22.5" customHeight="1" spans="1:18">
      <c r="A23" s="10" t="s">
        <v>72</v>
      </c>
      <c r="B23" s="11" t="s">
        <v>38</v>
      </c>
      <c r="C23" s="10" t="s">
        <v>73</v>
      </c>
      <c r="D23" s="16" t="s">
        <v>40</v>
      </c>
      <c r="E23" s="16">
        <v>208</v>
      </c>
      <c r="F23" s="16">
        <v>112</v>
      </c>
      <c r="G23" s="16">
        <v>752</v>
      </c>
      <c r="H23" s="18">
        <f>1128*0.7</f>
        <v>790</v>
      </c>
      <c r="I23" s="18">
        <f>1128*0.3</f>
        <v>338</v>
      </c>
      <c r="J23" s="16">
        <v>150</v>
      </c>
      <c r="K23" s="16">
        <v>3.2</v>
      </c>
      <c r="L23" s="27" t="s">
        <v>34</v>
      </c>
      <c r="M23" s="30">
        <f t="shared" ref="M23" si="21">G23/(G23+H23+I23)</f>
        <v>0.4</v>
      </c>
      <c r="N23" s="31">
        <f t="shared" ref="N23" si="22">J23/(E23+F23)</f>
        <v>0.47</v>
      </c>
      <c r="O23" s="30" t="s">
        <v>41</v>
      </c>
      <c r="P23" s="11" t="s">
        <v>42</v>
      </c>
      <c r="Q23" s="10" t="s">
        <v>74</v>
      </c>
      <c r="R23" s="11">
        <v>1.359</v>
      </c>
    </row>
    <row r="24" s="2" customFormat="1" ht="22.5" customHeight="1" spans="1:18">
      <c r="A24" s="10"/>
      <c r="B24" s="17"/>
      <c r="C24" s="10"/>
      <c r="D24" s="16" t="s">
        <v>44</v>
      </c>
      <c r="E24" s="16">
        <f>E23/$E$23</f>
        <v>1</v>
      </c>
      <c r="F24" s="19">
        <f t="shared" ref="F24:K24" si="23">F23/$E$23</f>
        <v>0.54</v>
      </c>
      <c r="G24" s="19">
        <f t="shared" si="23"/>
        <v>3.62</v>
      </c>
      <c r="H24" s="19">
        <f t="shared" si="23"/>
        <v>3.8</v>
      </c>
      <c r="I24" s="19">
        <f t="shared" si="23"/>
        <v>1.63</v>
      </c>
      <c r="J24" s="19">
        <f t="shared" si="23"/>
        <v>0.72</v>
      </c>
      <c r="K24" s="32">
        <f t="shared" si="23"/>
        <v>0.015</v>
      </c>
      <c r="L24" s="27" t="s">
        <v>34</v>
      </c>
      <c r="M24" s="30"/>
      <c r="N24" s="31"/>
      <c r="O24" s="30"/>
      <c r="P24" s="17"/>
      <c r="Q24" s="10"/>
      <c r="R24" s="17"/>
    </row>
    <row r="25" s="2" customFormat="1" ht="22.5" customHeight="1" spans="1:18">
      <c r="A25" s="10" t="s">
        <v>75</v>
      </c>
      <c r="B25" s="11" t="s">
        <v>38</v>
      </c>
      <c r="C25" s="10" t="s">
        <v>76</v>
      </c>
      <c r="D25" s="16" t="s">
        <v>40</v>
      </c>
      <c r="E25" s="16">
        <v>227</v>
      </c>
      <c r="F25" s="16">
        <v>123</v>
      </c>
      <c r="G25" s="16">
        <v>771</v>
      </c>
      <c r="H25" s="18">
        <f>1109*0.7</f>
        <v>776</v>
      </c>
      <c r="I25" s="18">
        <f>1109*0.3</f>
        <v>333</v>
      </c>
      <c r="J25" s="16">
        <v>150</v>
      </c>
      <c r="K25" s="16">
        <v>3.5</v>
      </c>
      <c r="L25" s="27" t="s">
        <v>34</v>
      </c>
      <c r="M25" s="30">
        <f t="shared" ref="M25" si="24">G25/(G25+H25+I25)</f>
        <v>0.41</v>
      </c>
      <c r="N25" s="31">
        <f t="shared" ref="N25" si="25">J25/(E25+F25)</f>
        <v>0.43</v>
      </c>
      <c r="O25" s="30" t="s">
        <v>41</v>
      </c>
      <c r="P25" s="11" t="s">
        <v>42</v>
      </c>
      <c r="Q25" s="10" t="s">
        <v>77</v>
      </c>
      <c r="R25" s="37">
        <v>1.78</v>
      </c>
    </row>
    <row r="26" s="2" customFormat="1" ht="22.5" customHeight="1" spans="1:18">
      <c r="A26" s="10"/>
      <c r="B26" s="17"/>
      <c r="C26" s="10"/>
      <c r="D26" s="16" t="s">
        <v>44</v>
      </c>
      <c r="E26" s="16">
        <f t="shared" ref="E26:K26" si="26">E25/$E$25</f>
        <v>1</v>
      </c>
      <c r="F26" s="19">
        <f t="shared" si="26"/>
        <v>0.54</v>
      </c>
      <c r="G26" s="19">
        <f t="shared" si="26"/>
        <v>3.4</v>
      </c>
      <c r="H26" s="19">
        <f t="shared" si="26"/>
        <v>3.42</v>
      </c>
      <c r="I26" s="19">
        <f t="shared" si="26"/>
        <v>1.47</v>
      </c>
      <c r="J26" s="19">
        <f t="shared" si="26"/>
        <v>0.66</v>
      </c>
      <c r="K26" s="32">
        <f t="shared" si="26"/>
        <v>0.015</v>
      </c>
      <c r="L26" s="27" t="s">
        <v>34</v>
      </c>
      <c r="M26" s="30"/>
      <c r="N26" s="31"/>
      <c r="O26" s="30"/>
      <c r="P26" s="17"/>
      <c r="Q26" s="10"/>
      <c r="R26" s="38"/>
    </row>
    <row r="27" s="3" customFormat="1" ht="22.5" customHeight="1" spans="1:18">
      <c r="A27" s="10" t="s">
        <v>78</v>
      </c>
      <c r="B27" s="11" t="s">
        <v>38</v>
      </c>
      <c r="C27" s="10" t="s">
        <v>79</v>
      </c>
      <c r="D27" s="16" t="s">
        <v>40</v>
      </c>
      <c r="E27" s="20">
        <v>195</v>
      </c>
      <c r="F27" s="20">
        <v>105</v>
      </c>
      <c r="G27" s="20">
        <v>798</v>
      </c>
      <c r="H27" s="21">
        <v>771</v>
      </c>
      <c r="I27" s="21">
        <v>331</v>
      </c>
      <c r="J27" s="20">
        <v>150</v>
      </c>
      <c r="K27" s="34">
        <v>3</v>
      </c>
      <c r="L27" s="27" t="s">
        <v>34</v>
      </c>
      <c r="M27" s="30">
        <f t="shared" ref="M27" si="27">G27/(G27+H27+I27)</f>
        <v>0.42</v>
      </c>
      <c r="N27" s="31">
        <f t="shared" ref="N27" si="28">J27/(E27+F27)</f>
        <v>0.5</v>
      </c>
      <c r="O27" s="30" t="s">
        <v>41</v>
      </c>
      <c r="P27" s="11" t="s">
        <v>42</v>
      </c>
      <c r="Q27" s="10" t="s">
        <v>80</v>
      </c>
      <c r="R27" s="11">
        <v>1.288</v>
      </c>
    </row>
    <row r="28" s="3" customFormat="1" ht="22.5" customHeight="1" spans="1:18">
      <c r="A28" s="10"/>
      <c r="B28" s="17"/>
      <c r="C28" s="10"/>
      <c r="D28" s="16" t="s">
        <v>44</v>
      </c>
      <c r="E28" s="16">
        <f>E27/E27</f>
        <v>1</v>
      </c>
      <c r="F28" s="19">
        <f t="shared" ref="F28:K28" si="29">F27/$E$27</f>
        <v>0.54</v>
      </c>
      <c r="G28" s="19">
        <f t="shared" si="29"/>
        <v>4.09</v>
      </c>
      <c r="H28" s="19">
        <f t="shared" si="29"/>
        <v>3.95</v>
      </c>
      <c r="I28" s="19">
        <f t="shared" si="29"/>
        <v>1.7</v>
      </c>
      <c r="J28" s="19">
        <f t="shared" si="29"/>
        <v>0.77</v>
      </c>
      <c r="K28" s="32">
        <f t="shared" si="29"/>
        <v>0.015</v>
      </c>
      <c r="L28" s="27" t="s">
        <v>34</v>
      </c>
      <c r="M28" s="30"/>
      <c r="N28" s="31"/>
      <c r="O28" s="30"/>
      <c r="P28" s="17"/>
      <c r="Q28" s="10"/>
      <c r="R28" s="17"/>
    </row>
    <row r="29" s="3" customFormat="1" ht="22.5" customHeight="1" spans="1:18">
      <c r="A29" s="10" t="s">
        <v>81</v>
      </c>
      <c r="B29" s="11" t="s">
        <v>38</v>
      </c>
      <c r="C29" s="15" t="s">
        <v>52</v>
      </c>
      <c r="D29" s="16" t="s">
        <v>82</v>
      </c>
      <c r="E29" s="20">
        <v>260</v>
      </c>
      <c r="F29" s="20">
        <v>140</v>
      </c>
      <c r="G29" s="20">
        <v>753</v>
      </c>
      <c r="H29" s="18">
        <f>1083*0.7</f>
        <v>758</v>
      </c>
      <c r="I29" s="18">
        <f>1083*0.3</f>
        <v>325</v>
      </c>
      <c r="J29" s="20">
        <v>144</v>
      </c>
      <c r="K29" s="20">
        <v>4.4</v>
      </c>
      <c r="L29" s="27" t="s">
        <v>34</v>
      </c>
      <c r="M29" s="30">
        <f t="shared" ref="M29" si="30">G29/(G29+H29+I29)</f>
        <v>0.41</v>
      </c>
      <c r="N29" s="31">
        <f t="shared" ref="N29" si="31">J29/(E29+F29)</f>
        <v>0.36</v>
      </c>
      <c r="O29" s="30" t="s">
        <v>41</v>
      </c>
      <c r="P29" s="11" t="s">
        <v>83</v>
      </c>
      <c r="Q29" s="10" t="s">
        <v>84</v>
      </c>
      <c r="R29" s="11">
        <v>1.686</v>
      </c>
    </row>
    <row r="30" s="3" customFormat="1" ht="22.5" customHeight="1" spans="1:18">
      <c r="A30" s="10"/>
      <c r="B30" s="17"/>
      <c r="C30" s="15"/>
      <c r="D30" s="16" t="s">
        <v>44</v>
      </c>
      <c r="E30" s="16">
        <f t="shared" ref="E30" si="32">E29/E29</f>
        <v>1</v>
      </c>
      <c r="F30" s="19">
        <f>F29/$E$29</f>
        <v>0.54</v>
      </c>
      <c r="G30" s="19">
        <f t="shared" ref="G30:K30" si="33">G29/$E$29</f>
        <v>2.9</v>
      </c>
      <c r="H30" s="19">
        <f t="shared" si="33"/>
        <v>2.92</v>
      </c>
      <c r="I30" s="19">
        <f t="shared" si="33"/>
        <v>1.25</v>
      </c>
      <c r="J30" s="19">
        <f t="shared" si="33"/>
        <v>0.55</v>
      </c>
      <c r="K30" s="32">
        <f t="shared" si="33"/>
        <v>0.017</v>
      </c>
      <c r="L30" s="27" t="s">
        <v>34</v>
      </c>
      <c r="M30" s="30"/>
      <c r="N30" s="31"/>
      <c r="O30" s="30"/>
      <c r="P30" s="17"/>
      <c r="Q30" s="10"/>
      <c r="R30" s="17"/>
    </row>
    <row r="31" s="3" customFormat="1" ht="22.5" customHeight="1" spans="1:18">
      <c r="A31" s="10" t="s">
        <v>85</v>
      </c>
      <c r="B31" s="11" t="s">
        <v>38</v>
      </c>
      <c r="C31" s="15" t="s">
        <v>59</v>
      </c>
      <c r="D31" s="16" t="s">
        <v>40</v>
      </c>
      <c r="E31" s="20">
        <v>273</v>
      </c>
      <c r="F31" s="20">
        <v>147</v>
      </c>
      <c r="G31" s="20">
        <v>742</v>
      </c>
      <c r="H31" s="18">
        <f>1067*0.7</f>
        <v>747</v>
      </c>
      <c r="I31" s="18">
        <f>1067*0.3</f>
        <v>320</v>
      </c>
      <c r="J31" s="20">
        <v>151</v>
      </c>
      <c r="K31" s="20">
        <v>4.62</v>
      </c>
      <c r="L31" s="27" t="s">
        <v>34</v>
      </c>
      <c r="M31" s="30">
        <f t="shared" ref="M31" si="34">G31/(G31+H31+I31)</f>
        <v>0.41</v>
      </c>
      <c r="N31" s="31">
        <f t="shared" ref="N31" si="35">J31/(E31+F31)</f>
        <v>0.36</v>
      </c>
      <c r="O31" s="30" t="s">
        <v>41</v>
      </c>
      <c r="P31" s="11" t="s">
        <v>86</v>
      </c>
      <c r="Q31" s="10" t="s">
        <v>87</v>
      </c>
      <c r="R31" s="37">
        <v>2.45</v>
      </c>
    </row>
    <row r="32" s="3" customFormat="1" ht="22.5" customHeight="1" spans="1:18">
      <c r="A32" s="10"/>
      <c r="B32" s="17"/>
      <c r="C32" s="15"/>
      <c r="D32" s="16" t="s">
        <v>44</v>
      </c>
      <c r="E32" s="16">
        <f t="shared" ref="E32" si="36">E31/E31</f>
        <v>1</v>
      </c>
      <c r="F32" s="19">
        <f>F31/$E$31</f>
        <v>0.54</v>
      </c>
      <c r="G32" s="19">
        <f t="shared" ref="G32:K32" si="37">G31/$E$31</f>
        <v>2.72</v>
      </c>
      <c r="H32" s="19">
        <f t="shared" si="37"/>
        <v>2.74</v>
      </c>
      <c r="I32" s="19">
        <f t="shared" si="37"/>
        <v>1.17</v>
      </c>
      <c r="J32" s="19">
        <f t="shared" si="37"/>
        <v>0.55</v>
      </c>
      <c r="K32" s="32">
        <f t="shared" si="37"/>
        <v>0.017</v>
      </c>
      <c r="L32" s="27" t="s">
        <v>34</v>
      </c>
      <c r="M32" s="30"/>
      <c r="N32" s="31"/>
      <c r="O32" s="30"/>
      <c r="P32" s="17"/>
      <c r="Q32" s="10"/>
      <c r="R32" s="38"/>
    </row>
    <row r="33" s="3" customFormat="1" ht="22.5" customHeight="1" spans="1:18">
      <c r="A33" s="10" t="s">
        <v>88</v>
      </c>
      <c r="B33" s="11" t="s">
        <v>38</v>
      </c>
      <c r="C33" s="15" t="s">
        <v>66</v>
      </c>
      <c r="D33" s="16" t="s">
        <v>40</v>
      </c>
      <c r="E33" s="20">
        <v>306</v>
      </c>
      <c r="F33" s="20">
        <v>144</v>
      </c>
      <c r="G33" s="20">
        <v>737</v>
      </c>
      <c r="H33" s="16">
        <f>1060*0.7</f>
        <v>742</v>
      </c>
      <c r="I33" s="16">
        <f>1060*0.3</f>
        <v>318</v>
      </c>
      <c r="J33" s="20">
        <v>153</v>
      </c>
      <c r="K33" s="20">
        <v>4.95</v>
      </c>
      <c r="L33" s="27" t="s">
        <v>34</v>
      </c>
      <c r="M33" s="30">
        <f t="shared" ref="M33" si="38">G33/(G33+H33+I33)</f>
        <v>0.41</v>
      </c>
      <c r="N33" s="31">
        <f t="shared" ref="N33" si="39">J33/(E33+F33)</f>
        <v>0.34</v>
      </c>
      <c r="O33" s="30" t="s">
        <v>41</v>
      </c>
      <c r="P33" s="11" t="s">
        <v>89</v>
      </c>
      <c r="Q33" s="10" t="s">
        <v>90</v>
      </c>
      <c r="R33" s="11">
        <v>2.628</v>
      </c>
    </row>
    <row r="34" s="3" customFormat="1" ht="22.5" customHeight="1" spans="1:18">
      <c r="A34" s="10"/>
      <c r="B34" s="17"/>
      <c r="C34" s="15"/>
      <c r="D34" s="16" t="s">
        <v>44</v>
      </c>
      <c r="E34" s="16">
        <f t="shared" ref="E34" si="40">E33/E33</f>
        <v>1</v>
      </c>
      <c r="F34" s="19">
        <f>F33/$E$33</f>
        <v>0.47</v>
      </c>
      <c r="G34" s="19">
        <f t="shared" ref="G34:K34" si="41">G33/$E$33</f>
        <v>2.41</v>
      </c>
      <c r="H34" s="19">
        <f t="shared" si="41"/>
        <v>2.42</v>
      </c>
      <c r="I34" s="19">
        <f t="shared" si="41"/>
        <v>1.04</v>
      </c>
      <c r="J34" s="19">
        <f t="shared" si="41"/>
        <v>0.5</v>
      </c>
      <c r="K34" s="32">
        <f t="shared" si="41"/>
        <v>0.016</v>
      </c>
      <c r="L34" s="27" t="s">
        <v>34</v>
      </c>
      <c r="M34" s="30"/>
      <c r="N34" s="31"/>
      <c r="O34" s="30"/>
      <c r="P34" s="17"/>
      <c r="Q34" s="10"/>
      <c r="R34" s="17"/>
    </row>
    <row r="35" s="3" customFormat="1" ht="22.5" customHeight="1" spans="1:18">
      <c r="A35" s="10" t="s">
        <v>91</v>
      </c>
      <c r="B35" s="11" t="s">
        <v>38</v>
      </c>
      <c r="C35" s="15" t="s">
        <v>73</v>
      </c>
      <c r="D35" s="16" t="s">
        <v>40</v>
      </c>
      <c r="E35" s="20">
        <v>208</v>
      </c>
      <c r="F35" s="20">
        <v>112</v>
      </c>
      <c r="G35" s="20">
        <v>770</v>
      </c>
      <c r="H35" s="16" t="s">
        <v>92</v>
      </c>
      <c r="I35" s="16" t="s">
        <v>93</v>
      </c>
      <c r="J35" s="20">
        <v>150</v>
      </c>
      <c r="K35" s="20">
        <v>3.2</v>
      </c>
      <c r="L35" s="27" t="s">
        <v>34</v>
      </c>
      <c r="M35" s="30">
        <v>0.41</v>
      </c>
      <c r="N35" s="31">
        <f t="shared" ref="N35" si="42">J35/(E35+F35)</f>
        <v>0.47</v>
      </c>
      <c r="O35" s="30" t="s">
        <v>41</v>
      </c>
      <c r="P35" s="11" t="s">
        <v>42</v>
      </c>
      <c r="Q35" s="10" t="s">
        <v>94</v>
      </c>
      <c r="R35" s="11">
        <v>1.371</v>
      </c>
    </row>
    <row r="36" s="3" customFormat="1" ht="22.5" customHeight="1" spans="1:18">
      <c r="A36" s="10"/>
      <c r="B36" s="17"/>
      <c r="C36" s="15"/>
      <c r="D36" s="16" t="s">
        <v>44</v>
      </c>
      <c r="E36" s="16">
        <f t="shared" ref="E36" si="43">E35/E35</f>
        <v>1</v>
      </c>
      <c r="F36" s="19">
        <f>F35/$E$35</f>
        <v>0.54</v>
      </c>
      <c r="G36" s="19">
        <f t="shared" ref="G36:K36" si="44">G35/$E$35</f>
        <v>3.7</v>
      </c>
      <c r="H36" s="19">
        <v>2.64</v>
      </c>
      <c r="I36" s="19">
        <v>2.64</v>
      </c>
      <c r="J36" s="19">
        <f t="shared" si="44"/>
        <v>0.72</v>
      </c>
      <c r="K36" s="32">
        <f t="shared" si="44"/>
        <v>0.015</v>
      </c>
      <c r="L36" s="27" t="s">
        <v>34</v>
      </c>
      <c r="M36" s="30"/>
      <c r="N36" s="31"/>
      <c r="O36" s="30"/>
      <c r="P36" s="17"/>
      <c r="Q36" s="10"/>
      <c r="R36" s="17"/>
    </row>
    <row r="37" s="3" customFormat="1" ht="22.5" customHeight="1" spans="1:18">
      <c r="A37" s="10" t="s">
        <v>95</v>
      </c>
      <c r="B37" s="11" t="s">
        <v>38</v>
      </c>
      <c r="C37" s="15" t="s">
        <v>76</v>
      </c>
      <c r="D37" s="16" t="s">
        <v>40</v>
      </c>
      <c r="E37" s="20">
        <v>227</v>
      </c>
      <c r="F37" s="20">
        <v>123</v>
      </c>
      <c r="G37" s="20">
        <v>771</v>
      </c>
      <c r="H37" s="16" t="s">
        <v>96</v>
      </c>
      <c r="I37" s="16" t="s">
        <v>97</v>
      </c>
      <c r="J37" s="20">
        <v>150</v>
      </c>
      <c r="K37" s="20">
        <v>3.5</v>
      </c>
      <c r="L37" s="27" t="s">
        <v>34</v>
      </c>
      <c r="M37" s="30">
        <v>0.41</v>
      </c>
      <c r="N37" s="31">
        <f t="shared" ref="N37" si="45">J37/(E37+F37)</f>
        <v>0.43</v>
      </c>
      <c r="O37" s="30" t="s">
        <v>41</v>
      </c>
      <c r="P37" s="11" t="s">
        <v>42</v>
      </c>
      <c r="Q37" s="10" t="s">
        <v>98</v>
      </c>
      <c r="R37" s="11">
        <v>1.78</v>
      </c>
    </row>
    <row r="38" s="3" customFormat="1" ht="22.5" customHeight="1" spans="1:18">
      <c r="A38" s="10"/>
      <c r="B38" s="17"/>
      <c r="C38" s="15"/>
      <c r="D38" s="16" t="s">
        <v>44</v>
      </c>
      <c r="E38" s="16">
        <f t="shared" ref="E38" si="46">E37/E37</f>
        <v>1</v>
      </c>
      <c r="F38" s="19">
        <f>F37/$E$37</f>
        <v>0.54</v>
      </c>
      <c r="G38" s="19">
        <f t="shared" ref="G38:K38" si="47">G37/$E$37</f>
        <v>3.4</v>
      </c>
      <c r="H38" s="19">
        <v>2.44</v>
      </c>
      <c r="I38" s="19">
        <v>2.44</v>
      </c>
      <c r="J38" s="19">
        <f t="shared" si="47"/>
        <v>0.66</v>
      </c>
      <c r="K38" s="32">
        <f t="shared" si="47"/>
        <v>0.015</v>
      </c>
      <c r="L38" s="27" t="s">
        <v>34</v>
      </c>
      <c r="M38" s="30"/>
      <c r="N38" s="31"/>
      <c r="O38" s="30"/>
      <c r="P38" s="17"/>
      <c r="Q38" s="10"/>
      <c r="R38" s="17"/>
    </row>
    <row r="39" s="3" customFormat="1" ht="22.5" customHeight="1" spans="1:18">
      <c r="A39" s="10" t="s">
        <v>99</v>
      </c>
      <c r="B39" s="11" t="s">
        <v>38</v>
      </c>
      <c r="C39" s="15" t="s">
        <v>39</v>
      </c>
      <c r="D39" s="16" t="s">
        <v>40</v>
      </c>
      <c r="E39" s="20">
        <v>242</v>
      </c>
      <c r="F39" s="20">
        <v>130</v>
      </c>
      <c r="G39" s="20">
        <v>762</v>
      </c>
      <c r="H39" s="16" t="s">
        <v>100</v>
      </c>
      <c r="I39" s="16" t="s">
        <v>101</v>
      </c>
      <c r="J39" s="20">
        <v>150</v>
      </c>
      <c r="K39" s="20">
        <v>3.72</v>
      </c>
      <c r="L39" s="27" t="s">
        <v>34</v>
      </c>
      <c r="M39" s="30">
        <v>0.41</v>
      </c>
      <c r="N39" s="31">
        <f t="shared" ref="N39" si="48">J39/(E39+F39)</f>
        <v>0.4</v>
      </c>
      <c r="O39" s="30" t="s">
        <v>41</v>
      </c>
      <c r="P39" s="11" t="s">
        <v>42</v>
      </c>
      <c r="Q39" s="10" t="s">
        <v>102</v>
      </c>
      <c r="R39" s="11">
        <v>1.586</v>
      </c>
    </row>
    <row r="40" s="3" customFormat="1" ht="22.5" customHeight="1" spans="1:18">
      <c r="A40" s="10"/>
      <c r="B40" s="17"/>
      <c r="C40" s="15"/>
      <c r="D40" s="16" t="s">
        <v>44</v>
      </c>
      <c r="E40" s="16">
        <f t="shared" ref="E40" si="49">E39/E39</f>
        <v>1</v>
      </c>
      <c r="F40" s="19">
        <f>F39/$E$39</f>
        <v>0.54</v>
      </c>
      <c r="G40" s="19">
        <f t="shared" ref="G40:K40" si="50">G39/$E$39</f>
        <v>3.15</v>
      </c>
      <c r="H40" s="19">
        <v>2.26</v>
      </c>
      <c r="I40" s="19">
        <v>2.26</v>
      </c>
      <c r="J40" s="19">
        <f t="shared" si="50"/>
        <v>0.62</v>
      </c>
      <c r="K40" s="32">
        <f t="shared" si="50"/>
        <v>0.015</v>
      </c>
      <c r="L40" s="27" t="s">
        <v>34</v>
      </c>
      <c r="M40" s="30"/>
      <c r="N40" s="31"/>
      <c r="O40" s="30"/>
      <c r="P40" s="17"/>
      <c r="Q40" s="10"/>
      <c r="R40" s="17"/>
    </row>
    <row r="41" s="3" customFormat="1" ht="22.5" customHeight="1" spans="1:18">
      <c r="A41" s="10" t="s">
        <v>103</v>
      </c>
      <c r="B41" s="11" t="s">
        <v>38</v>
      </c>
      <c r="C41" s="10" t="s">
        <v>104</v>
      </c>
      <c r="D41" s="16" t="s">
        <v>40</v>
      </c>
      <c r="E41" s="20">
        <v>315</v>
      </c>
      <c r="F41" s="20">
        <v>135</v>
      </c>
      <c r="G41" s="20">
        <v>690</v>
      </c>
      <c r="H41" s="22" t="s">
        <v>105</v>
      </c>
      <c r="I41" s="35"/>
      <c r="J41" s="20">
        <v>162</v>
      </c>
      <c r="K41" s="20">
        <v>4.5</v>
      </c>
      <c r="L41" s="16" t="s">
        <v>106</v>
      </c>
      <c r="M41" s="30">
        <v>0.39</v>
      </c>
      <c r="N41" s="31">
        <f t="shared" ref="N41" si="51">J41/(E41+F41)</f>
        <v>0.36</v>
      </c>
      <c r="O41" s="30" t="s">
        <v>41</v>
      </c>
      <c r="P41" s="11" t="s">
        <v>34</v>
      </c>
      <c r="Q41" s="10" t="s">
        <v>107</v>
      </c>
      <c r="R41" s="11">
        <v>1.879</v>
      </c>
    </row>
    <row r="42" s="3" customFormat="1" ht="22.5" customHeight="1" spans="1:18">
      <c r="A42" s="10"/>
      <c r="B42" s="17"/>
      <c r="C42" s="10"/>
      <c r="D42" s="16" t="s">
        <v>44</v>
      </c>
      <c r="E42" s="16">
        <f t="shared" ref="E42" si="52">E41/E41</f>
        <v>1</v>
      </c>
      <c r="F42" s="19">
        <f>F41/$E$41</f>
        <v>0.43</v>
      </c>
      <c r="G42" s="19">
        <f t="shared" ref="G42:K42" si="53">G41/$E$41</f>
        <v>2.19</v>
      </c>
      <c r="H42" s="23">
        <v>3.42</v>
      </c>
      <c r="I42" s="36"/>
      <c r="J42" s="19">
        <f t="shared" si="53"/>
        <v>0.51</v>
      </c>
      <c r="K42" s="32">
        <f t="shared" si="53"/>
        <v>0.014</v>
      </c>
      <c r="L42" s="32">
        <v>0.003</v>
      </c>
      <c r="M42" s="30"/>
      <c r="N42" s="31"/>
      <c r="O42" s="30"/>
      <c r="P42" s="17"/>
      <c r="Q42" s="10"/>
      <c r="R42" s="17"/>
    </row>
    <row r="43" s="2" customFormat="1" ht="22.5" customHeight="1" spans="1:18">
      <c r="A43" s="10" t="s">
        <v>108</v>
      </c>
      <c r="B43" s="11" t="s">
        <v>38</v>
      </c>
      <c r="C43" s="15" t="s">
        <v>52</v>
      </c>
      <c r="D43" s="16" t="s">
        <v>40</v>
      </c>
      <c r="E43" s="16">
        <v>280</v>
      </c>
      <c r="F43" s="16">
        <v>120</v>
      </c>
      <c r="G43" s="16">
        <v>769</v>
      </c>
      <c r="H43" s="18">
        <f>1061*0.7</f>
        <v>743</v>
      </c>
      <c r="I43" s="18">
        <f>1061*0.3</f>
        <v>318</v>
      </c>
      <c r="J43" s="16">
        <v>150</v>
      </c>
      <c r="K43" s="16">
        <v>4</v>
      </c>
      <c r="L43" s="27">
        <v>4</v>
      </c>
      <c r="M43" s="30">
        <f t="shared" ref="M43" si="54">G43/(G43+H43+I43)</f>
        <v>0.42</v>
      </c>
      <c r="N43" s="31">
        <f t="shared" ref="N43" si="55">J43/(E43+F43)</f>
        <v>0.38</v>
      </c>
      <c r="O43" s="30" t="s">
        <v>41</v>
      </c>
      <c r="P43" s="11" t="s">
        <v>109</v>
      </c>
      <c r="Q43" s="10" t="s">
        <v>110</v>
      </c>
      <c r="R43" s="11">
        <v>1.988</v>
      </c>
    </row>
    <row r="44" s="2" customFormat="1" ht="22.5" customHeight="1" spans="1:18">
      <c r="A44" s="10"/>
      <c r="B44" s="17"/>
      <c r="C44" s="15"/>
      <c r="D44" s="16" t="s">
        <v>44</v>
      </c>
      <c r="E44" s="18">
        <f>E43/$E$11</f>
        <v>1</v>
      </c>
      <c r="F44" s="19">
        <f t="shared" ref="F44:L44" si="56">F43/$E$11</f>
        <v>0.46</v>
      </c>
      <c r="G44" s="19">
        <f t="shared" si="56"/>
        <v>2.96</v>
      </c>
      <c r="H44" s="19">
        <f t="shared" si="56"/>
        <v>2.86</v>
      </c>
      <c r="I44" s="19">
        <f t="shared" si="56"/>
        <v>1.22</v>
      </c>
      <c r="J44" s="19">
        <f t="shared" si="56"/>
        <v>0.58</v>
      </c>
      <c r="K44" s="32">
        <f t="shared" si="56"/>
        <v>0.015</v>
      </c>
      <c r="L44" s="32">
        <f t="shared" si="56"/>
        <v>0.015</v>
      </c>
      <c r="M44" s="30"/>
      <c r="N44" s="31"/>
      <c r="O44" s="30"/>
      <c r="P44" s="17"/>
      <c r="Q44" s="10"/>
      <c r="R44" s="17"/>
    </row>
    <row r="45" s="2" customFormat="1" ht="22.5" customHeight="1" spans="1:18">
      <c r="A45" s="10" t="s">
        <v>111</v>
      </c>
      <c r="B45" s="11" t="s">
        <v>38</v>
      </c>
      <c r="C45" s="15" t="s">
        <v>52</v>
      </c>
      <c r="D45" s="16" t="s">
        <v>40</v>
      </c>
      <c r="E45" s="16">
        <v>280</v>
      </c>
      <c r="F45" s="16">
        <v>120</v>
      </c>
      <c r="G45" s="16">
        <v>771</v>
      </c>
      <c r="H45" s="18">
        <f>1065*0.7</f>
        <v>746</v>
      </c>
      <c r="I45" s="18">
        <f>1065*0.3</f>
        <v>320</v>
      </c>
      <c r="J45" s="16">
        <v>150</v>
      </c>
      <c r="K45" s="16">
        <v>4</v>
      </c>
      <c r="L45" s="27" t="s">
        <v>34</v>
      </c>
      <c r="M45" s="30">
        <f t="shared" ref="M45" si="57">G45/(G45+H45+I45)</f>
        <v>0.42</v>
      </c>
      <c r="N45" s="31">
        <f t="shared" ref="N45" si="58">J45/(E45+F45)</f>
        <v>0.38</v>
      </c>
      <c r="O45" s="30" t="s">
        <v>41</v>
      </c>
      <c r="P45" s="11" t="s">
        <v>42</v>
      </c>
      <c r="Q45" s="10" t="s">
        <v>112</v>
      </c>
      <c r="R45" s="11">
        <v>1.825</v>
      </c>
    </row>
    <row r="46" s="2" customFormat="1" ht="22.5" customHeight="1" spans="1:18">
      <c r="A46" s="10"/>
      <c r="B46" s="17"/>
      <c r="C46" s="15"/>
      <c r="D46" s="16" t="s">
        <v>44</v>
      </c>
      <c r="E46" s="18">
        <f>E45/$E$11</f>
        <v>1</v>
      </c>
      <c r="F46" s="19">
        <f t="shared" ref="F46:K46" si="59">F45/$E$11</f>
        <v>0.46</v>
      </c>
      <c r="G46" s="19">
        <f t="shared" si="59"/>
        <v>2.97</v>
      </c>
      <c r="H46" s="19">
        <f t="shared" si="59"/>
        <v>2.87</v>
      </c>
      <c r="I46" s="19">
        <f t="shared" si="59"/>
        <v>1.23</v>
      </c>
      <c r="J46" s="19">
        <f t="shared" si="59"/>
        <v>0.58</v>
      </c>
      <c r="K46" s="32">
        <f t="shared" si="59"/>
        <v>0.015</v>
      </c>
      <c r="L46" s="27" t="s">
        <v>34</v>
      </c>
      <c r="M46" s="30"/>
      <c r="N46" s="31"/>
      <c r="O46" s="30"/>
      <c r="P46" s="17"/>
      <c r="Q46" s="10"/>
      <c r="R46" s="17"/>
    </row>
  </sheetData>
  <protectedRanges>
    <protectedRange sqref="A1:R65540" name="区域1"/>
  </protectedRanges>
  <mergeCells count="202">
    <mergeCell ref="A1:R1"/>
    <mergeCell ref="D2:L2"/>
    <mergeCell ref="M2:O2"/>
    <mergeCell ref="K3:L3"/>
    <mergeCell ref="H5:I5"/>
    <mergeCell ref="H41:I41"/>
    <mergeCell ref="H42:I42"/>
    <mergeCell ref="A2:A6"/>
    <mergeCell ref="A7:A8"/>
    <mergeCell ref="A9:A10"/>
    <mergeCell ref="A11:A12"/>
    <mergeCell ref="A13:A14"/>
    <mergeCell ref="A15:A16"/>
    <mergeCell ref="A17:A18"/>
    <mergeCell ref="A19:A20"/>
    <mergeCell ref="A21:A22"/>
    <mergeCell ref="A23:A24"/>
    <mergeCell ref="A25:A26"/>
    <mergeCell ref="A27:A28"/>
    <mergeCell ref="A29:A30"/>
    <mergeCell ref="A31:A32"/>
    <mergeCell ref="A33:A34"/>
    <mergeCell ref="A35:A36"/>
    <mergeCell ref="A37:A38"/>
    <mergeCell ref="A39:A40"/>
    <mergeCell ref="A41:A42"/>
    <mergeCell ref="A43:A44"/>
    <mergeCell ref="A45:A46"/>
    <mergeCell ref="B2:B6"/>
    <mergeCell ref="B7:B8"/>
    <mergeCell ref="B9:B10"/>
    <mergeCell ref="B11:B12"/>
    <mergeCell ref="B13:B14"/>
    <mergeCell ref="B15:B16"/>
    <mergeCell ref="B17:B18"/>
    <mergeCell ref="B19:B20"/>
    <mergeCell ref="B21:B22"/>
    <mergeCell ref="B23:B24"/>
    <mergeCell ref="B25:B26"/>
    <mergeCell ref="B27:B28"/>
    <mergeCell ref="B29:B30"/>
    <mergeCell ref="B31:B32"/>
    <mergeCell ref="B33:B34"/>
    <mergeCell ref="B35:B36"/>
    <mergeCell ref="B37:B38"/>
    <mergeCell ref="B39:B40"/>
    <mergeCell ref="B41:B42"/>
    <mergeCell ref="B43:B44"/>
    <mergeCell ref="B45:B46"/>
    <mergeCell ref="C2:C6"/>
    <mergeCell ref="C7:C8"/>
    <mergeCell ref="C9:C10"/>
    <mergeCell ref="C11:C12"/>
    <mergeCell ref="C13:C14"/>
    <mergeCell ref="C15:C16"/>
    <mergeCell ref="C17:C18"/>
    <mergeCell ref="C19:C20"/>
    <mergeCell ref="C21:C22"/>
    <mergeCell ref="C23:C24"/>
    <mergeCell ref="C25:C26"/>
    <mergeCell ref="C27:C28"/>
    <mergeCell ref="C29:C30"/>
    <mergeCell ref="C31:C32"/>
    <mergeCell ref="C33:C34"/>
    <mergeCell ref="C35:C36"/>
    <mergeCell ref="C37:C38"/>
    <mergeCell ref="C39:C40"/>
    <mergeCell ref="C41:C42"/>
    <mergeCell ref="C43:C44"/>
    <mergeCell ref="C45:C46"/>
    <mergeCell ref="D3:D4"/>
    <mergeCell ref="E3:E4"/>
    <mergeCell ref="F3:F4"/>
    <mergeCell ref="G3:G4"/>
    <mergeCell ref="J3:J4"/>
    <mergeCell ref="M3:M6"/>
    <mergeCell ref="M7:M8"/>
    <mergeCell ref="M9:M10"/>
    <mergeCell ref="M11:M12"/>
    <mergeCell ref="M13:M14"/>
    <mergeCell ref="M15:M16"/>
    <mergeCell ref="M17:M18"/>
    <mergeCell ref="M19:M20"/>
    <mergeCell ref="M21:M22"/>
    <mergeCell ref="M23:M24"/>
    <mergeCell ref="M25:M26"/>
    <mergeCell ref="M27:M28"/>
    <mergeCell ref="M29:M30"/>
    <mergeCell ref="M31:M32"/>
    <mergeCell ref="M33:M34"/>
    <mergeCell ref="M35:M36"/>
    <mergeCell ref="M37:M38"/>
    <mergeCell ref="M39:M40"/>
    <mergeCell ref="M41:M42"/>
    <mergeCell ref="M43:M44"/>
    <mergeCell ref="M45:M46"/>
    <mergeCell ref="N3:N6"/>
    <mergeCell ref="N7:N8"/>
    <mergeCell ref="N9:N10"/>
    <mergeCell ref="N11:N12"/>
    <mergeCell ref="N13:N14"/>
    <mergeCell ref="N15:N16"/>
    <mergeCell ref="N17:N18"/>
    <mergeCell ref="N19:N20"/>
    <mergeCell ref="N21:N22"/>
    <mergeCell ref="N23:N24"/>
    <mergeCell ref="N25:N26"/>
    <mergeCell ref="N27:N28"/>
    <mergeCell ref="N29:N30"/>
    <mergeCell ref="N31:N32"/>
    <mergeCell ref="N33:N34"/>
    <mergeCell ref="N35:N36"/>
    <mergeCell ref="N37:N38"/>
    <mergeCell ref="N39:N40"/>
    <mergeCell ref="N41:N42"/>
    <mergeCell ref="N43:N44"/>
    <mergeCell ref="N45:N46"/>
    <mergeCell ref="O3:O6"/>
    <mergeCell ref="O7:O8"/>
    <mergeCell ref="O9:O10"/>
    <mergeCell ref="O11:O12"/>
    <mergeCell ref="O13:O14"/>
    <mergeCell ref="O15:O16"/>
    <mergeCell ref="O17:O18"/>
    <mergeCell ref="O19:O20"/>
    <mergeCell ref="O21:O22"/>
    <mergeCell ref="O23:O24"/>
    <mergeCell ref="O25:O26"/>
    <mergeCell ref="O27:O28"/>
    <mergeCell ref="O29:O30"/>
    <mergeCell ref="O31:O32"/>
    <mergeCell ref="O33:O34"/>
    <mergeCell ref="O35:O36"/>
    <mergeCell ref="O37:O38"/>
    <mergeCell ref="O39:O40"/>
    <mergeCell ref="O41:O42"/>
    <mergeCell ref="O43:O44"/>
    <mergeCell ref="O45:O46"/>
    <mergeCell ref="P2:P6"/>
    <mergeCell ref="P7:P8"/>
    <mergeCell ref="P9:P10"/>
    <mergeCell ref="P11:P12"/>
    <mergeCell ref="P13:P14"/>
    <mergeCell ref="P15:P16"/>
    <mergeCell ref="P17:P18"/>
    <mergeCell ref="P19:P20"/>
    <mergeCell ref="P21:P22"/>
    <mergeCell ref="P23:P24"/>
    <mergeCell ref="P25:P26"/>
    <mergeCell ref="P27:P28"/>
    <mergeCell ref="P29:P30"/>
    <mergeCell ref="P31:P32"/>
    <mergeCell ref="P33:P34"/>
    <mergeCell ref="P35:P36"/>
    <mergeCell ref="P37:P38"/>
    <mergeCell ref="P39:P40"/>
    <mergeCell ref="P41:P42"/>
    <mergeCell ref="P43:P44"/>
    <mergeCell ref="P45:P46"/>
    <mergeCell ref="Q2:Q6"/>
    <mergeCell ref="Q7:Q8"/>
    <mergeCell ref="Q9:Q10"/>
    <mergeCell ref="Q11:Q12"/>
    <mergeCell ref="Q13:Q14"/>
    <mergeCell ref="Q15:Q16"/>
    <mergeCell ref="Q17:Q18"/>
    <mergeCell ref="Q19:Q20"/>
    <mergeCell ref="Q21:Q22"/>
    <mergeCell ref="Q23:Q24"/>
    <mergeCell ref="Q25:Q26"/>
    <mergeCell ref="Q27:Q28"/>
    <mergeCell ref="Q29:Q30"/>
    <mergeCell ref="Q31:Q32"/>
    <mergeCell ref="Q33:Q34"/>
    <mergeCell ref="Q35:Q36"/>
    <mergeCell ref="Q37:Q38"/>
    <mergeCell ref="Q39:Q40"/>
    <mergeCell ref="Q41:Q42"/>
    <mergeCell ref="Q43:Q44"/>
    <mergeCell ref="Q45:Q46"/>
    <mergeCell ref="R2:R6"/>
    <mergeCell ref="R7:R8"/>
    <mergeCell ref="R9:R10"/>
    <mergeCell ref="R11:R12"/>
    <mergeCell ref="R13:R14"/>
    <mergeCell ref="R15:R16"/>
    <mergeCell ref="R17:R18"/>
    <mergeCell ref="R19:R20"/>
    <mergeCell ref="R21:R22"/>
    <mergeCell ref="R23:R24"/>
    <mergeCell ref="R25:R26"/>
    <mergeCell ref="R27:R28"/>
    <mergeCell ref="R29:R30"/>
    <mergeCell ref="R31:R32"/>
    <mergeCell ref="R33:R34"/>
    <mergeCell ref="R35:R36"/>
    <mergeCell ref="R37:R38"/>
    <mergeCell ref="R39:R40"/>
    <mergeCell ref="R41:R42"/>
    <mergeCell ref="R43:R44"/>
    <mergeCell ref="R45:R46"/>
    <mergeCell ref="H3:I4"/>
  </mergeCells>
  <pageMargins left="0.31496062992126" right="0.236220472440945" top="0.196850393700787" bottom="0.31496062992126" header="0.15748031496063" footer="0.15748031496063"/>
  <pageSetup paperSize="9" orientation="landscape" blackAndWhite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中心试验室配合比汇总-北京成城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asus</cp:lastModifiedBy>
  <dcterms:created xsi:type="dcterms:W3CDTF">2006-09-16T00:00:00Z</dcterms:created>
  <dcterms:modified xsi:type="dcterms:W3CDTF">2020-08-28T01:33:56Z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2052-11.1.0.9926</vt:lpwstr>
  </property>
</Properties>
</file>