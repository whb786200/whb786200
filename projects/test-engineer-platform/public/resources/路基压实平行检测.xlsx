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583" windowHeight="9840"/>
  </bookViews>
  <sheets>
    <sheet name="平行检测台帐" sheetId="1" r:id="rId1"/>
    <sheet name="压实密度" sheetId="2" r:id="rId2"/>
    <sheet name="三架队K30" sheetId="3" r:id="rId3"/>
    <sheet name="一架队K30" sheetId="4" r:id="rId4"/>
    <sheet name="油压表回归曲线" sheetId="5" r:id="rId5"/>
  </sheets>
  <calcPr calcId="144525"/>
</workbook>
</file>

<file path=xl/sharedStrings.xml><?xml version="1.0" encoding="utf-8"?>
<sst xmlns="http://schemas.openxmlformats.org/spreadsheetml/2006/main" count="144" uniqueCount="80">
  <si>
    <t>路基压实平行检测台帐</t>
  </si>
  <si>
    <t>检测日期</t>
  </si>
  <si>
    <t>检测里程</t>
  </si>
  <si>
    <t>填料层数</t>
  </si>
  <si>
    <t>标高</t>
  </si>
  <si>
    <t>填筑材料</t>
  </si>
  <si>
    <t>检测项目</t>
  </si>
  <si>
    <t>类型</t>
  </si>
  <si>
    <t>报告编号</t>
  </si>
  <si>
    <t>K30</t>
  </si>
  <si>
    <t>孔隙率</t>
  </si>
  <si>
    <t>压实系数</t>
  </si>
  <si>
    <t>相对密度</t>
  </si>
  <si>
    <t>备注</t>
  </si>
  <si>
    <t>DK193+720-DK193+745</t>
  </si>
  <si>
    <t>第一层</t>
  </si>
  <si>
    <t>级配不好的粗粒土B</t>
  </si>
  <si>
    <t>/</t>
  </si>
  <si>
    <t>第二层</t>
  </si>
  <si>
    <t>第三层</t>
  </si>
  <si>
    <t>96/112/120</t>
  </si>
  <si>
    <t>沙桶沙子质量</t>
  </si>
  <si>
    <t>湿土的质量</t>
  </si>
  <si>
    <t>椎体质量</t>
  </si>
  <si>
    <t>称重湿土质量</t>
  </si>
  <si>
    <t>剩余沙子质量</t>
  </si>
  <si>
    <t>称重干土质量</t>
  </si>
  <si>
    <t>沙子密度</t>
  </si>
  <si>
    <t>土的含水率</t>
  </si>
  <si>
    <t>孔的体积</t>
  </si>
  <si>
    <t>土的干密度</t>
  </si>
  <si>
    <t>土的颗粒密度</t>
  </si>
  <si>
    <t>土的最大干密度</t>
  </si>
  <si>
    <r>
      <rPr>
        <b/>
        <sz val="11"/>
        <color rgb="FF000000"/>
        <rFont val="宋体"/>
        <charset val="134"/>
      </rPr>
      <t>孔隙率</t>
    </r>
  </si>
  <si>
    <r>
      <rPr>
        <b/>
        <sz val="16"/>
        <rFont val="Times New Roman"/>
        <charset val="134"/>
      </rPr>
      <t xml:space="preserve"> K</t>
    </r>
    <r>
      <rPr>
        <b/>
        <vertAlign val="subscript"/>
        <sz val="16"/>
        <rFont val="Times New Roman"/>
        <charset val="134"/>
      </rPr>
      <t>30</t>
    </r>
    <r>
      <rPr>
        <b/>
        <sz val="16"/>
        <rFont val="黑体"/>
        <charset val="134"/>
      </rPr>
      <t>平板载荷试验记录</t>
    </r>
  </si>
  <si>
    <t xml:space="preserve">施工里程                                   </t>
  </si>
  <si>
    <t>记录编号</t>
  </si>
  <si>
    <t>压实方式</t>
  </si>
  <si>
    <t>委托编号</t>
  </si>
  <si>
    <t>设计地基系数</t>
  </si>
  <si>
    <t>委托日期</t>
  </si>
  <si>
    <t>填料名称</t>
  </si>
  <si>
    <t>试验日期</t>
  </si>
  <si>
    <t>仪器设备
及
环境条件</t>
  </si>
  <si>
    <t>仪器设备名称</t>
  </si>
  <si>
    <t>型号</t>
  </si>
  <si>
    <t>管理编号</t>
  </si>
  <si>
    <t>示值范围</t>
  </si>
  <si>
    <t>分辨力</t>
  </si>
  <si>
    <t>温度（℃）</t>
  </si>
  <si>
    <t>相对湿度（%）</t>
  </si>
  <si>
    <t>K30平板荷载测试仪</t>
  </si>
  <si>
    <t>K-30</t>
  </si>
  <si>
    <t>0-25Mpa</t>
  </si>
  <si>
    <t>0.2Mpa</t>
  </si>
  <si>
    <t>填料压实状态描述</t>
  </si>
  <si>
    <t>采用标准</t>
  </si>
  <si>
    <t>TB10102-2010</t>
  </si>
  <si>
    <r>
      <rPr>
        <sz val="9"/>
        <rFont val="宋体"/>
        <charset val="134"/>
      </rPr>
      <t xml:space="preserve">填层厚度h </t>
    </r>
    <r>
      <rPr>
        <u/>
        <sz val="9"/>
        <rFont val="宋体"/>
        <charset val="134"/>
      </rPr>
      <t xml:space="preserve">            </t>
    </r>
    <r>
      <rPr>
        <sz val="9"/>
        <rFont val="宋体"/>
        <charset val="134"/>
      </rPr>
      <t xml:space="preserve"> cm    检测标高H </t>
    </r>
    <r>
      <rPr>
        <u/>
        <sz val="9"/>
        <rFont val="宋体"/>
        <charset val="134"/>
      </rPr>
      <t xml:space="preserve">             </t>
    </r>
    <r>
      <rPr>
        <sz val="9"/>
        <rFont val="宋体"/>
        <charset val="134"/>
      </rPr>
      <t xml:space="preserve"> m      荷载板直径φ</t>
    </r>
    <r>
      <rPr>
        <u/>
        <sz val="9"/>
        <rFont val="宋体"/>
        <charset val="134"/>
      </rPr>
      <t xml:space="preserve">     300        </t>
    </r>
    <r>
      <rPr>
        <sz val="9"/>
        <rFont val="宋体"/>
        <charset val="134"/>
      </rPr>
      <t xml:space="preserve"> mm</t>
    </r>
  </si>
  <si>
    <t>加载
顺序</t>
  </si>
  <si>
    <t>荷载强度
σ（MPa）</t>
  </si>
  <si>
    <t>油压表读数
P（MPa）</t>
  </si>
  <si>
    <t>下沉量（百分表读数）
S（0.01mm）</t>
  </si>
  <si>
    <t>荷载板中
心下沉量
（0.01mm）</t>
  </si>
  <si>
    <t>表1</t>
  </si>
  <si>
    <t>表2</t>
  </si>
  <si>
    <t>平均值</t>
  </si>
  <si>
    <t>预压</t>
  </si>
  <si>
    <t>复位</t>
  </si>
  <si>
    <t>σ-S关系曲线：</t>
  </si>
  <si>
    <r>
      <rPr>
        <sz val="9"/>
        <rFont val="宋体"/>
        <charset val="134"/>
      </rPr>
      <t>沉降1.25mm对应的荷载σ</t>
    </r>
    <r>
      <rPr>
        <vertAlign val="subscript"/>
        <sz val="9"/>
        <rFont val="宋体"/>
        <charset val="134"/>
      </rPr>
      <t>s</t>
    </r>
    <r>
      <rPr>
        <sz val="9"/>
        <rFont val="宋体"/>
        <charset val="134"/>
      </rPr>
      <t xml:space="preserve"> </t>
    </r>
    <r>
      <rPr>
        <u/>
        <sz val="9"/>
        <rFont val="宋体"/>
        <charset val="134"/>
      </rPr>
      <t xml:space="preserve">        </t>
    </r>
    <r>
      <rPr>
        <sz val="9"/>
        <rFont val="宋体"/>
        <charset val="134"/>
      </rPr>
      <t xml:space="preserve">            </t>
    </r>
  </si>
  <si>
    <t>Mpa</t>
  </si>
  <si>
    <t xml:space="preserve">地基系数K30                </t>
  </si>
  <si>
    <t>MPa/m</t>
  </si>
  <si>
    <t>附注：</t>
  </si>
  <si>
    <t>试验</t>
  </si>
  <si>
    <t>计算</t>
  </si>
  <si>
    <t>复核</t>
  </si>
  <si>
    <t>hz</t>
  </si>
  <si>
    <t>ylb</t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</si>
</sst>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_ "/>
    <numFmt numFmtId="41" formatCode="_ * #,##0_ ;_ * \-#,##0_ ;_ * &quot;-&quot;_ ;_ @_ "/>
    <numFmt numFmtId="178" formatCode="0.00_ "/>
    <numFmt numFmtId="179" formatCode="0.0_ "/>
    <numFmt numFmtId="42" formatCode="_ &quot;￥&quot;* #,##0_ ;_ &quot;￥&quot;* \-#,##0_ ;_ &quot;￥&quot;* &quot;-&quot;_ ;_ @_ "/>
    <numFmt numFmtId="180" formatCode="0.000"/>
    <numFmt numFmtId="181" formatCode="#,##0_ "/>
    <numFmt numFmtId="182" formatCode="0.0%"/>
    <numFmt numFmtId="183" formatCode="0.000_ "/>
  </numFmts>
  <fonts count="41">
    <font>
      <sz val="11"/>
      <name val="Tahoma"/>
      <charset val="134"/>
    </font>
    <font>
      <sz val="11"/>
      <color rgb="FF000000"/>
      <name val="Tahoma"/>
      <charset val="134"/>
    </font>
    <font>
      <b/>
      <sz val="16"/>
      <name val="Times New Roman"/>
      <charset val="134"/>
    </font>
    <font>
      <sz val="9"/>
      <name val="宋体"/>
      <charset val="134"/>
    </font>
    <font>
      <b/>
      <sz val="12"/>
      <name val="宋体"/>
      <charset val="134"/>
    </font>
    <font>
      <b/>
      <sz val="12"/>
      <color rgb="FFFFFFFF"/>
      <name val="宋体"/>
      <charset val="134"/>
    </font>
    <font>
      <u val="singleAccounting"/>
      <sz val="9"/>
      <name val="宋体"/>
      <charset val="134"/>
    </font>
    <font>
      <sz val="12"/>
      <name val="宋体"/>
      <charset val="134"/>
    </font>
    <font>
      <sz val="12"/>
      <color rgb="FFFFFFFF"/>
      <name val="宋体"/>
      <charset val="134"/>
    </font>
    <font>
      <sz val="9"/>
      <color rgb="FFFFFFFF"/>
      <name val="宋体"/>
      <charset val="134"/>
    </font>
    <font>
      <sz val="12"/>
      <color rgb="FFFF0000"/>
      <name val="宋体"/>
      <charset val="134"/>
    </font>
    <font>
      <sz val="11"/>
      <color rgb="FFFF0000"/>
      <name val="Tahoma"/>
      <charset val="134"/>
    </font>
    <font>
      <b/>
      <sz val="12"/>
      <color rgb="FF000000"/>
      <name val="宋体"/>
      <charset val="134"/>
    </font>
    <font>
      <b/>
      <sz val="11"/>
      <color rgb="FF000000"/>
      <name val="Tahoma"/>
      <charset val="134"/>
    </font>
    <font>
      <b/>
      <sz val="11"/>
      <color rgb="FF000000"/>
      <name val="宋体"/>
      <charset val="134"/>
    </font>
    <font>
      <b/>
      <sz val="20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vertAlign val="subscript"/>
      <sz val="16"/>
      <name val="Times New Roman"/>
      <charset val="134"/>
    </font>
    <font>
      <b/>
      <sz val="16"/>
      <name val="黑体"/>
      <charset val="134"/>
    </font>
    <font>
      <u/>
      <sz val="9"/>
      <name val="宋体"/>
      <charset val="134"/>
    </font>
    <font>
      <vertAlign val="subscript"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9"/>
      </left>
      <right/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medium">
        <color indexed="9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18" fillId="0" borderId="0" applyFont="0" applyFill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1" fillId="5" borderId="19" applyNumberFormat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" fillId="0" borderId="0">
      <alignment vertical="top"/>
      <protection locked="0"/>
    </xf>
    <xf numFmtId="0" fontId="29" fillId="0" borderId="0" applyNumberFormat="0" applyFill="0" applyBorder="0" applyAlignment="0" applyProtection="0">
      <alignment vertical="center"/>
    </xf>
    <xf numFmtId="0" fontId="18" fillId="3" borderId="17" applyNumberFormat="0" applyFon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1" fillId="14" borderId="22" applyNumberFormat="0" applyAlignment="0" applyProtection="0">
      <alignment vertical="center"/>
    </xf>
    <xf numFmtId="0" fontId="34" fillId="14" borderId="19" applyNumberFormat="0" applyAlignment="0" applyProtection="0">
      <alignment vertical="center"/>
    </xf>
    <xf numFmtId="0" fontId="33" fillId="15" borderId="23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7" fillId="0" borderId="0">
      <protection locked="0"/>
    </xf>
  </cellStyleXfs>
  <cellXfs count="11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78" fontId="1" fillId="0" borderId="0" xfId="0" applyNumberFormat="1" applyFont="1" applyAlignment="1">
      <alignment horizontal="center"/>
    </xf>
    <xf numFmtId="178" fontId="1" fillId="0" borderId="0" xfId="0" applyNumberFormat="1" applyFont="1" applyAlignment="1"/>
    <xf numFmtId="0" fontId="1" fillId="0" borderId="0" xfId="0" applyFont="1" applyFill="1" applyAlignment="1"/>
    <xf numFmtId="0" fontId="2" fillId="0" borderId="0" xfId="49" applyFont="1" applyAlignment="1" applyProtection="1">
      <alignment horizontal="center" vertical="center" wrapText="1"/>
    </xf>
    <xf numFmtId="0" fontId="3" fillId="0" borderId="0" xfId="49" applyFont="1" applyAlignment="1" applyProtection="1"/>
    <xf numFmtId="0" fontId="3" fillId="0" borderId="1" xfId="49" applyFont="1" applyBorder="1" applyAlignment="1" applyProtection="1">
      <alignment horizontal="center"/>
    </xf>
    <xf numFmtId="0" fontId="3" fillId="0" borderId="0" xfId="49" applyFont="1" applyAlignment="1" applyProtection="1">
      <alignment horizontal="right"/>
    </xf>
    <xf numFmtId="0" fontId="3" fillId="0" borderId="2" xfId="49" applyFont="1" applyBorder="1" applyAlignment="1" applyProtection="1">
      <alignment horizontal="center"/>
    </xf>
    <xf numFmtId="0" fontId="3" fillId="0" borderId="2" xfId="49" applyFont="1" applyFill="1" applyBorder="1" applyAlignment="1" applyProtection="1">
      <alignment horizontal="center"/>
    </xf>
    <xf numFmtId="0" fontId="3" fillId="0" borderId="0" xfId="49" applyFont="1" applyAlignment="1" applyProtection="1">
      <alignment horizontal="justify" vertical="center"/>
    </xf>
    <xf numFmtId="0" fontId="3" fillId="0" borderId="0" xfId="49" applyFont="1" applyAlignment="1" applyProtection="1">
      <alignment vertical="center"/>
    </xf>
    <xf numFmtId="0" fontId="3" fillId="0" borderId="3" xfId="49" applyFont="1" applyBorder="1" applyAlignment="1" applyProtection="1">
      <alignment horizontal="center" vertical="center" wrapText="1"/>
    </xf>
    <xf numFmtId="0" fontId="3" fillId="0" borderId="4" xfId="49" applyFont="1" applyBorder="1" applyAlignment="1" applyProtection="1">
      <alignment horizontal="center" vertical="center" wrapText="1"/>
    </xf>
    <xf numFmtId="0" fontId="3" fillId="0" borderId="5" xfId="49" applyFont="1" applyBorder="1" applyAlignment="1" applyProtection="1">
      <alignment horizontal="center" vertical="center" wrapText="1"/>
    </xf>
    <xf numFmtId="0" fontId="3" fillId="0" borderId="6" xfId="49" applyFont="1" applyBorder="1" applyAlignment="1" applyProtection="1">
      <alignment horizontal="center" vertical="center" wrapText="1"/>
    </xf>
    <xf numFmtId="0" fontId="3" fillId="0" borderId="7" xfId="49" applyFont="1" applyBorder="1" applyAlignment="1" applyProtection="1">
      <alignment horizontal="center" vertical="center" wrapText="1"/>
    </xf>
    <xf numFmtId="0" fontId="3" fillId="0" borderId="2" xfId="49" applyFont="1" applyBorder="1" applyAlignment="1" applyProtection="1">
      <alignment horizontal="center" vertical="center" wrapText="1"/>
    </xf>
    <xf numFmtId="178" fontId="3" fillId="0" borderId="7" xfId="49" applyNumberFormat="1" applyFont="1" applyBorder="1" applyAlignment="1" applyProtection="1">
      <alignment horizontal="center" vertical="center" wrapText="1"/>
    </xf>
    <xf numFmtId="178" fontId="3" fillId="0" borderId="2" xfId="49" applyNumberFormat="1" applyFont="1" applyBorder="1" applyAlignment="1" applyProtection="1">
      <alignment horizontal="center" vertical="center" wrapText="1"/>
    </xf>
    <xf numFmtId="178" fontId="3" fillId="0" borderId="8" xfId="49" applyNumberFormat="1" applyFont="1" applyBorder="1" applyAlignment="1" applyProtection="1">
      <alignment horizontal="center" vertical="center" wrapText="1"/>
    </xf>
    <xf numFmtId="177" fontId="3" fillId="0" borderId="6" xfId="49" applyNumberFormat="1" applyFont="1" applyBorder="1" applyAlignment="1" applyProtection="1">
      <alignment horizontal="center" vertical="center" wrapText="1"/>
    </xf>
    <xf numFmtId="178" fontId="3" fillId="0" borderId="6" xfId="49" applyNumberFormat="1" applyFont="1" applyBorder="1" applyAlignment="1" applyProtection="1">
      <alignment horizontal="center" vertical="center" wrapText="1"/>
    </xf>
    <xf numFmtId="177" fontId="4" fillId="0" borderId="6" xfId="49" applyNumberFormat="1" applyFont="1" applyBorder="1" applyAlignment="1" applyProtection="1">
      <alignment horizontal="center" vertical="center" wrapText="1"/>
    </xf>
    <xf numFmtId="178" fontId="3" fillId="0" borderId="7" xfId="49" applyNumberFormat="1" applyFont="1" applyBorder="1" applyAlignment="1" applyProtection="1">
      <alignment horizontal="center" vertical="center"/>
    </xf>
    <xf numFmtId="178" fontId="3" fillId="0" borderId="2" xfId="49" applyNumberFormat="1" applyFont="1" applyBorder="1" applyAlignment="1" applyProtection="1">
      <alignment horizontal="center" vertical="center"/>
    </xf>
    <xf numFmtId="178" fontId="3" fillId="0" borderId="8" xfId="49" applyNumberFormat="1" applyFont="1" applyBorder="1" applyAlignment="1" applyProtection="1">
      <alignment horizontal="center" vertical="center"/>
    </xf>
    <xf numFmtId="177" fontId="4" fillId="0" borderId="9" xfId="49" applyNumberFormat="1" applyFont="1" applyBorder="1" applyAlignment="1" applyProtection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76" fontId="5" fillId="0" borderId="7" xfId="49" applyNumberFormat="1" applyFont="1" applyBorder="1" applyAlignment="1" applyProtection="1">
      <alignment horizontal="center" vertical="center" wrapText="1"/>
    </xf>
    <xf numFmtId="176" fontId="5" fillId="0" borderId="2" xfId="49" applyNumberFormat="1" applyFont="1" applyBorder="1" applyAlignment="1" applyProtection="1">
      <alignment horizontal="center" vertical="center" wrapText="1"/>
    </xf>
    <xf numFmtId="0" fontId="3" fillId="0" borderId="5" xfId="49" applyFont="1" applyBorder="1" applyAlignment="1" applyProtection="1">
      <alignment horizontal="justify" vertical="top" wrapText="1"/>
    </xf>
    <xf numFmtId="0" fontId="3" fillId="0" borderId="6" xfId="49" applyFont="1" applyBorder="1" applyAlignment="1" applyProtection="1">
      <alignment horizontal="justify" vertical="top" wrapText="1"/>
    </xf>
    <xf numFmtId="0" fontId="3" fillId="0" borderId="10" xfId="49" applyFont="1" applyBorder="1" applyAlignment="1" applyProtection="1">
      <alignment horizontal="justify" vertical="top" wrapText="1"/>
    </xf>
    <xf numFmtId="0" fontId="3" fillId="0" borderId="11" xfId="49" applyFont="1" applyBorder="1" applyAlignment="1" applyProtection="1">
      <alignment horizontal="center" vertical="center" wrapText="1"/>
    </xf>
    <xf numFmtId="183" fontId="6" fillId="0" borderId="12" xfId="49" applyNumberFormat="1" applyFont="1" applyBorder="1" applyAlignment="1" applyProtection="1">
      <alignment horizontal="center" vertical="center" wrapText="1"/>
    </xf>
    <xf numFmtId="0" fontId="3" fillId="0" borderId="12" xfId="49" applyFont="1" applyBorder="1" applyAlignment="1" applyProtection="1">
      <alignment horizontal="left" vertical="center" wrapText="1"/>
    </xf>
    <xf numFmtId="0" fontId="7" fillId="0" borderId="1" xfId="49" applyBorder="1" applyAlignment="1" applyProtection="1">
      <alignment horizontal="center"/>
    </xf>
    <xf numFmtId="0" fontId="7" fillId="0" borderId="0" xfId="49" applyAlignment="1" applyProtection="1"/>
    <xf numFmtId="0" fontId="3" fillId="0" borderId="0" xfId="49" applyFont="1" applyBorder="1" applyAlignment="1" applyProtection="1">
      <alignment horizontal="right"/>
    </xf>
    <xf numFmtId="0" fontId="7" fillId="0" borderId="0" xfId="49" applyAlignment="1" applyProtection="1">
      <alignment vertical="center"/>
    </xf>
    <xf numFmtId="0" fontId="8" fillId="0" borderId="0" xfId="49" applyFont="1" applyFill="1" applyAlignment="1" applyProtection="1">
      <alignment vertical="center"/>
    </xf>
    <xf numFmtId="0" fontId="7" fillId="0" borderId="0" xfId="49" applyFont="1" applyFill="1" applyBorder="1" applyAlignment="1" applyProtection="1">
      <alignment vertical="center"/>
    </xf>
    <xf numFmtId="0" fontId="3" fillId="0" borderId="13" xfId="49" applyFont="1" applyBorder="1" applyAlignment="1" applyProtection="1">
      <alignment vertical="center"/>
    </xf>
    <xf numFmtId="0" fontId="3" fillId="0" borderId="10" xfId="49" applyFont="1" applyBorder="1" applyAlignment="1" applyProtection="1">
      <alignment horizontal="center" vertical="center" wrapText="1"/>
    </xf>
    <xf numFmtId="181" fontId="3" fillId="0" borderId="6" xfId="49" applyNumberFormat="1" applyFont="1" applyBorder="1" applyAlignment="1" applyProtection="1">
      <alignment horizontal="center" vertical="center" wrapText="1"/>
    </xf>
    <xf numFmtId="0" fontId="3" fillId="0" borderId="0" xfId="49" applyFont="1" applyFill="1" applyBorder="1" applyAlignment="1" applyProtection="1">
      <alignment horizontal="center" vertical="center" wrapText="1"/>
    </xf>
    <xf numFmtId="181" fontId="4" fillId="0" borderId="6" xfId="49" applyNumberFormat="1" applyFont="1" applyBorder="1" applyAlignment="1" applyProtection="1">
      <alignment horizontal="center" vertical="center" wrapText="1"/>
    </xf>
    <xf numFmtId="178" fontId="4" fillId="0" borderId="6" xfId="49" applyNumberFormat="1" applyFont="1" applyBorder="1" applyAlignment="1" applyProtection="1">
      <alignment horizontal="center" vertical="center" wrapText="1"/>
    </xf>
    <xf numFmtId="178" fontId="9" fillId="0" borderId="0" xfId="49" applyNumberFormat="1" applyFont="1" applyFill="1" applyBorder="1" applyAlignment="1" applyProtection="1">
      <alignment horizontal="center" vertical="center" wrapText="1"/>
    </xf>
    <xf numFmtId="178" fontId="4" fillId="0" borderId="7" xfId="49" applyNumberFormat="1" applyFont="1" applyBorder="1" applyAlignment="1" applyProtection="1">
      <alignment horizontal="center" vertical="center" wrapText="1"/>
    </xf>
    <xf numFmtId="178" fontId="4" fillId="0" borderId="8" xfId="49" applyNumberFormat="1" applyFont="1" applyBorder="1" applyAlignment="1" applyProtection="1">
      <alignment horizontal="center" vertical="center" wrapText="1"/>
    </xf>
    <xf numFmtId="178" fontId="3" fillId="0" borderId="0" xfId="49" applyNumberFormat="1" applyFont="1" applyFill="1" applyBorder="1" applyAlignment="1" applyProtection="1">
      <alignment horizontal="center" vertical="center" wrapText="1"/>
    </xf>
    <xf numFmtId="176" fontId="5" fillId="0" borderId="8" xfId="49" applyNumberFormat="1" applyFont="1" applyBorder="1" applyAlignment="1" applyProtection="1">
      <alignment horizontal="center" vertical="center" wrapText="1"/>
    </xf>
    <xf numFmtId="176" fontId="4" fillId="0" borderId="8" xfId="49" applyNumberFormat="1" applyFont="1" applyBorder="1" applyAlignment="1" applyProtection="1">
      <alignment horizontal="center" vertical="center" wrapText="1"/>
    </xf>
    <xf numFmtId="176" fontId="4" fillId="0" borderId="6" xfId="49" applyNumberFormat="1" applyFont="1" applyBorder="1" applyAlignment="1" applyProtection="1">
      <alignment horizontal="center" vertical="center" wrapText="1"/>
    </xf>
    <xf numFmtId="0" fontId="3" fillId="0" borderId="14" xfId="49" applyFont="1" applyBorder="1" applyAlignment="1" applyProtection="1">
      <alignment horizontal="justify" vertical="top" wrapText="1"/>
    </xf>
    <xf numFmtId="0" fontId="3" fillId="0" borderId="12" xfId="49" applyFont="1" applyBorder="1" applyAlignment="1" applyProtection="1">
      <alignment horizontal="center" vertical="center" wrapText="1"/>
    </xf>
    <xf numFmtId="177" fontId="6" fillId="0" borderId="15" xfId="49" applyNumberFormat="1" applyFont="1" applyBorder="1" applyAlignment="1" applyProtection="1">
      <alignment horizontal="center" vertical="center" wrapText="1"/>
    </xf>
    <xf numFmtId="0" fontId="3" fillId="0" borderId="2" xfId="49" applyFont="1" applyBorder="1" applyAlignment="1" applyProtection="1">
      <alignment horizontal="left" vertical="center" wrapText="1"/>
    </xf>
    <xf numFmtId="0" fontId="3" fillId="0" borderId="8" xfId="49" applyFont="1" applyBorder="1" applyAlignment="1" applyProtection="1">
      <alignment horizontal="left" vertical="center" wrapText="1"/>
    </xf>
    <xf numFmtId="0" fontId="7" fillId="0" borderId="0" xfId="49" applyFont="1" applyFill="1" applyAlignment="1" applyProtection="1">
      <alignment vertical="center"/>
    </xf>
    <xf numFmtId="0" fontId="0" fillId="0" borderId="0" xfId="0" applyFont="1" applyFill="1" applyAlignment="1"/>
    <xf numFmtId="0" fontId="8" fillId="0" borderId="0" xfId="49" applyFont="1" applyFill="1" applyBorder="1" applyAlignment="1" applyProtection="1">
      <alignment vertical="center"/>
    </xf>
    <xf numFmtId="0" fontId="7" fillId="2" borderId="0" xfId="49" applyFont="1" applyFill="1" applyBorder="1" applyAlignment="1" applyProtection="1">
      <alignment vertical="center"/>
    </xf>
    <xf numFmtId="0" fontId="7" fillId="0" borderId="0" xfId="49" applyFont="1" applyFill="1" applyBorder="1" applyAlignment="1" applyProtection="1">
      <alignment horizontal="center" vertical="center"/>
    </xf>
    <xf numFmtId="178" fontId="3" fillId="0" borderId="0" xfId="49" applyNumberFormat="1" applyFont="1" applyFill="1" applyBorder="1" applyAlignment="1" applyProtection="1">
      <alignment vertical="center" wrapText="1"/>
    </xf>
    <xf numFmtId="179" fontId="3" fillId="0" borderId="0" xfId="49" applyNumberFormat="1" applyFont="1" applyFill="1" applyBorder="1" applyAlignment="1" applyProtection="1">
      <alignment vertical="center" wrapText="1"/>
    </xf>
    <xf numFmtId="181" fontId="3" fillId="0" borderId="0" xfId="49" applyNumberFormat="1" applyFont="1" applyFill="1" applyBorder="1" applyAlignment="1" applyProtection="1">
      <alignment horizontal="center" vertical="center" wrapText="1"/>
    </xf>
    <xf numFmtId="177" fontId="3" fillId="0" borderId="0" xfId="49" applyNumberFormat="1" applyFont="1" applyFill="1" applyBorder="1" applyAlignment="1" applyProtection="1">
      <alignment horizontal="center" vertical="center" wrapText="1"/>
    </xf>
    <xf numFmtId="2" fontId="7" fillId="0" borderId="0" xfId="49" applyNumberFormat="1" applyFont="1" applyFill="1" applyBorder="1" applyAlignment="1" applyProtection="1">
      <alignment horizontal="center" vertical="center"/>
    </xf>
    <xf numFmtId="2" fontId="7" fillId="2" borderId="0" xfId="49" applyNumberFormat="1" applyFont="1" applyFill="1" applyAlignment="1" applyProtection="1">
      <alignment horizontal="center" vertical="center"/>
    </xf>
    <xf numFmtId="178" fontId="9" fillId="0" borderId="0" xfId="49" applyNumberFormat="1" applyFont="1" applyFill="1" applyBorder="1" applyAlignment="1" applyProtection="1">
      <alignment vertical="center" wrapText="1"/>
    </xf>
    <xf numFmtId="179" fontId="3" fillId="0" borderId="0" xfId="49" applyNumberFormat="1" applyFont="1" applyFill="1" applyBorder="1" applyAlignment="1" applyProtection="1">
      <alignment horizontal="center" vertical="center" wrapText="1"/>
    </xf>
    <xf numFmtId="0" fontId="7" fillId="2" borderId="0" xfId="49" applyFont="1" applyFill="1" applyAlignment="1" applyProtection="1">
      <alignment vertical="center"/>
    </xf>
    <xf numFmtId="180" fontId="7" fillId="0" borderId="0" xfId="49" applyNumberFormat="1" applyFont="1" applyFill="1" applyBorder="1" applyAlignment="1" applyProtection="1">
      <alignment horizontal="center" vertical="center" wrapText="1"/>
    </xf>
    <xf numFmtId="180" fontId="7" fillId="0" borderId="0" xfId="49" applyNumberFormat="1" applyFont="1" applyFill="1" applyBorder="1" applyAlignment="1" applyProtection="1">
      <alignment vertical="center"/>
    </xf>
    <xf numFmtId="183" fontId="3" fillId="0" borderId="0" xfId="49" applyNumberFormat="1" applyFont="1" applyFill="1" applyBorder="1" applyAlignment="1" applyProtection="1">
      <alignment vertical="center" wrapText="1"/>
    </xf>
    <xf numFmtId="0" fontId="8" fillId="2" borderId="0" xfId="49" applyFont="1" applyFill="1" applyAlignment="1" applyProtection="1">
      <alignment vertical="center"/>
    </xf>
    <xf numFmtId="0" fontId="10" fillId="0" borderId="0" xfId="49" applyFont="1" applyFill="1" applyBorder="1" applyAlignment="1" applyProtection="1">
      <alignment vertical="center"/>
    </xf>
    <xf numFmtId="0" fontId="10" fillId="2" borderId="0" xfId="49" applyFont="1" applyFill="1" applyAlignment="1" applyProtection="1">
      <alignment vertical="center"/>
    </xf>
    <xf numFmtId="0" fontId="0" fillId="0" borderId="0" xfId="0" applyFont="1" applyFill="1" applyBorder="1" applyAlignment="1"/>
    <xf numFmtId="0" fontId="11" fillId="0" borderId="0" xfId="0" applyFont="1" applyFill="1" applyBorder="1" applyAlignment="1"/>
    <xf numFmtId="0" fontId="11" fillId="2" borderId="0" xfId="0" applyFont="1" applyFill="1" applyAlignment="1"/>
    <xf numFmtId="0" fontId="1" fillId="0" borderId="0" xfId="0" applyFont="1" applyFill="1" applyBorder="1" applyAlignment="1"/>
    <xf numFmtId="0" fontId="11" fillId="0" borderId="0" xfId="0" applyFont="1" applyAlignment="1"/>
    <xf numFmtId="0" fontId="0" fillId="0" borderId="0" xfId="0" applyFont="1" applyAlignment="1"/>
    <xf numFmtId="177" fontId="3" fillId="0" borderId="9" xfId="49" applyNumberFormat="1" applyFont="1" applyBorder="1" applyAlignment="1" applyProtection="1">
      <alignment horizontal="center" vertical="center" wrapText="1"/>
    </xf>
    <xf numFmtId="176" fontId="9" fillId="0" borderId="7" xfId="49" applyNumberFormat="1" applyFont="1" applyBorder="1" applyAlignment="1" applyProtection="1">
      <alignment horizontal="center" vertical="center" wrapText="1"/>
    </xf>
    <xf numFmtId="176" fontId="9" fillId="0" borderId="2" xfId="49" applyNumberFormat="1" applyFont="1" applyBorder="1" applyAlignment="1" applyProtection="1">
      <alignment horizontal="center" vertical="center" wrapText="1"/>
    </xf>
    <xf numFmtId="176" fontId="9" fillId="0" borderId="8" xfId="49" applyNumberFormat="1" applyFont="1" applyBorder="1" applyAlignment="1" applyProtection="1">
      <alignment horizontal="center" vertical="center" wrapText="1"/>
    </xf>
    <xf numFmtId="176" fontId="3" fillId="0" borderId="8" xfId="49" applyNumberFormat="1" applyFont="1" applyBorder="1" applyAlignment="1" applyProtection="1">
      <alignment horizontal="center" vertical="center" wrapText="1"/>
    </xf>
    <xf numFmtId="176" fontId="3" fillId="0" borderId="6" xfId="49" applyNumberFormat="1" applyFont="1" applyBorder="1" applyAlignment="1" applyProtection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9" fontId="13" fillId="0" borderId="6" xfId="11" applyFont="1" applyBorder="1" applyAlignment="1" applyProtection="1">
      <alignment horizontal="center" vertical="center"/>
    </xf>
    <xf numFmtId="178" fontId="13" fillId="0" borderId="6" xfId="0" applyNumberFormat="1" applyFont="1" applyBorder="1" applyAlignment="1">
      <alignment horizontal="center" vertical="center"/>
    </xf>
    <xf numFmtId="0" fontId="13" fillId="0" borderId="6" xfId="11" applyNumberFormat="1" applyFont="1" applyBorder="1" applyAlignment="1" applyProtection="1">
      <alignment horizontal="center" vertical="center"/>
    </xf>
    <xf numFmtId="182" fontId="13" fillId="0" borderId="6" xfId="11" applyNumberFormat="1" applyFont="1" applyBorder="1" applyAlignment="1" applyProtection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947162187495"/>
          <c:y val="0.219541682850182"/>
          <c:w val="0.842906161897831"/>
          <c:h val="0.740458380202475"/>
        </c:manualLayout>
      </c:layout>
      <c:scatterChart>
        <c:scatterStyle val="lineMarker"/>
        <c:varyColors val="0"/>
        <c:ser>
          <c:idx val="2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</c:spP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trendline>
            <c:trendlineType val="log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/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三架队K30!$P$16:$P$21</c:f>
              <c:numCache>
                <c:formatCode>0.00_ </c:formatCode>
                <c:ptCount val="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</c:numCache>
            </c:numRef>
          </c:xVal>
          <c:yVal>
            <c:numRef>
              <c:f>三架队K30!$Q$16:$Q$21</c:f>
              <c:numCache>
                <c:formatCode>0.00_ </c:formatCode>
                <c:ptCount val="6"/>
                <c:pt idx="0">
                  <c:v>0</c:v>
                </c:pt>
                <c:pt idx="1">
                  <c:v>0.195</c:v>
                </c:pt>
                <c:pt idx="2">
                  <c:v>0.755</c:v>
                </c:pt>
                <c:pt idx="3">
                  <c:v>1.3</c:v>
                </c:pt>
                <c:pt idx="4">
                  <c:v>1.97</c:v>
                </c:pt>
                <c:pt idx="5">
                  <c:v>2.455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1168793555"/>
        <c:axId val="1168793545"/>
      </c:scatterChart>
      <c:valAx>
        <c:axId val="1168793555"/>
        <c:scaling>
          <c:orientation val="minMax"/>
          <c:max val="0.4"/>
          <c:min val="0"/>
        </c:scaling>
        <c:delete val="0"/>
        <c:axPos val="t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荷载强度/Mpa</a:t>
                </a:r>
              </a:p>
            </c:rich>
          </c:tx>
          <c:layout>
            <c:manualLayout>
              <c:xMode val="edge"/>
              <c:yMode val="edge"/>
              <c:x val="0.437665002240574"/>
              <c:y val="0.02240907386576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1"/>
        <c:majorTickMark val="in"/>
        <c:minorTickMark val="in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68793545"/>
        <c:crosses val="autoZero"/>
        <c:crossBetween val="midCat"/>
        <c:majorUnit val="0.04"/>
        <c:minorUnit val="0.01"/>
      </c:valAx>
      <c:valAx>
        <c:axId val="1168793545"/>
        <c:scaling>
          <c:orientation val="maxMin"/>
          <c:max val="2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下沉量/mm</a:t>
                </a:r>
              </a:p>
            </c:rich>
          </c:tx>
          <c:layout>
            <c:manualLayout>
              <c:xMode val="edge"/>
              <c:yMode val="edge"/>
              <c:x val="0.00893204660393063"/>
              <c:y val="0.407848237720286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0"/>
        <c:majorTickMark val="in"/>
        <c:minorTickMark val="in"/>
        <c:tickLblPos val="nextTo"/>
        <c:spPr>
          <a:ln w="3175" cap="flat" cmpd="sng" algn="ctr">
            <a:solidFill>
              <a:srgbClr val="A6A6A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68793555"/>
        <c:crosses val="autoZero"/>
        <c:crossBetween val="midCat"/>
        <c:majorUnit val="0.25"/>
        <c:minorUnit val="0.0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 sz="1100" b="0" i="0" u="none" strike="noStrike">
          <a:solidFill>
            <a:srgbClr val="000000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947162187495"/>
          <c:y val="0.219541682850182"/>
          <c:w val="0.842906161897831"/>
          <c:h val="0.740458380202475"/>
        </c:manualLayout>
      </c:layout>
      <c:scatterChart>
        <c:scatterStyle val="lineMarker"/>
        <c:varyColors val="0"/>
        <c:ser>
          <c:idx val="2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</c:spP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trendline>
            <c:trendlineType val="log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/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三架队K30!$P$16:$P$21</c:f>
              <c:numCache>
                <c:formatCode>0.00_ </c:formatCode>
                <c:ptCount val="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</c:numCache>
            </c:numRef>
          </c:xVal>
          <c:yVal>
            <c:numRef>
              <c:f>三架队K30!$Q$16:$Q$21</c:f>
              <c:numCache>
                <c:formatCode>0.00_ </c:formatCode>
                <c:ptCount val="6"/>
                <c:pt idx="0">
                  <c:v>0</c:v>
                </c:pt>
                <c:pt idx="1">
                  <c:v>0.195</c:v>
                </c:pt>
                <c:pt idx="2">
                  <c:v>0.755</c:v>
                </c:pt>
                <c:pt idx="3">
                  <c:v>1.3</c:v>
                </c:pt>
                <c:pt idx="4">
                  <c:v>1.97</c:v>
                </c:pt>
                <c:pt idx="5">
                  <c:v>2.455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394273762"/>
        <c:axId val="394273752"/>
      </c:scatterChart>
      <c:valAx>
        <c:axId val="394273762"/>
        <c:scaling>
          <c:orientation val="minMax"/>
          <c:max val="0.4"/>
          <c:min val="0"/>
        </c:scaling>
        <c:delete val="0"/>
        <c:axPos val="t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荷载强度/Mpa</a:t>
                </a:r>
              </a:p>
            </c:rich>
          </c:tx>
          <c:layout>
            <c:manualLayout>
              <c:xMode val="edge"/>
              <c:yMode val="edge"/>
              <c:x val="0.437665002240574"/>
              <c:y val="0.0224090738657669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1"/>
        <c:majorTickMark val="in"/>
        <c:minorTickMark val="in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94273752"/>
        <c:crosses val="autoZero"/>
        <c:crossBetween val="midCat"/>
        <c:majorUnit val="0.04"/>
        <c:minorUnit val="0.01"/>
      </c:valAx>
      <c:valAx>
        <c:axId val="394273752"/>
        <c:scaling>
          <c:orientation val="maxMin"/>
          <c:max val="2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下沉量/mm</a:t>
                </a:r>
              </a:p>
            </c:rich>
          </c:tx>
          <c:layout>
            <c:manualLayout>
              <c:xMode val="edge"/>
              <c:yMode val="edge"/>
              <c:x val="0.00893204660393063"/>
              <c:y val="0.407848237720286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0"/>
        <c:majorTickMark val="in"/>
        <c:minorTickMark val="in"/>
        <c:tickLblPos val="nextTo"/>
        <c:spPr>
          <a:ln w="3175" cap="flat" cmpd="sng" algn="ctr">
            <a:solidFill>
              <a:srgbClr val="A6A6A6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94273762"/>
        <c:crosses val="autoZero"/>
        <c:crossBetween val="midCat"/>
        <c:majorUnit val="0.25"/>
        <c:minorUnit val="0.0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 sz="1100" b="0" i="0" u="none" strike="noStrike">
          <a:solidFill>
            <a:srgbClr val="000000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28575" cap="rnd" cmpd="sng" algn="ctr">
              <a:noFill/>
              <a:prstDash val="solid"/>
              <a:round/>
            </a:ln>
          </c:spP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trendline>
            <c:trendlineType val="linear"/>
            <c:dispRSqr val="0"/>
            <c:dispEq val="1"/>
            <c:trendlineLbl>
              <c:layout/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油压表回归曲线!$E$8:$E$19</c:f>
              <c:numCache>
                <c:formatCode>General</c:formatCode>
                <c:ptCount val="12"/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</c:numCache>
            </c:numRef>
          </c:xVal>
          <c:yVal>
            <c:numRef>
              <c:f>油压表回归曲线!$F$8:$F$19</c:f>
              <c:numCache>
                <c:formatCode>General</c:formatCode>
                <c:ptCount val="12"/>
                <c:pt idx="1">
                  <c:v>0.15</c:v>
                </c:pt>
                <c:pt idx="2">
                  <c:v>0.21</c:v>
                </c:pt>
                <c:pt idx="3">
                  <c:v>0.27</c:v>
                </c:pt>
                <c:pt idx="4">
                  <c:v>0.32</c:v>
                </c:pt>
                <c:pt idx="5">
                  <c:v>0.37</c:v>
                </c:pt>
                <c:pt idx="6">
                  <c:v>0.43</c:v>
                </c:pt>
                <c:pt idx="7">
                  <c:v>0.49</c:v>
                </c:pt>
                <c:pt idx="8">
                  <c:v>0.54</c:v>
                </c:pt>
                <c:pt idx="9">
                  <c:v>0.6</c:v>
                </c:pt>
                <c:pt idx="10">
                  <c:v>0.65</c:v>
                </c:pt>
                <c:pt idx="11">
                  <c:v>0.71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-1831552673"/>
        <c:axId val="-1831552663"/>
      </c:scatterChart>
      <c:valAx>
        <c:axId val="-183155267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-1831552663"/>
        <c:crosses val="autoZero"/>
        <c:crossBetween val="midCat"/>
      </c:valAx>
      <c:valAx>
        <c:axId val="-1831552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08080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-1831552673"/>
        <c:crosses val="autoZero"/>
        <c:crossBetween val="midCat"/>
      </c:valAx>
    </c:plotArea>
    <c:legend>
      <c:legendPos val="r"/>
      <c:layout/>
      <c:overlay val="0"/>
      <c:spPr>
        <a:noFill/>
        <a:ln w="952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26</xdr:row>
      <xdr:rowOff>0</xdr:rowOff>
    </xdr:from>
    <xdr:to>
      <xdr:col>15</xdr:col>
      <xdr:colOff>0</xdr:colOff>
      <xdr:row>27</xdr:row>
      <xdr:rowOff>0</xdr:rowOff>
    </xdr:to>
    <xdr:graphicFrame>
      <xdr:nvGraphicFramePr>
        <xdr:cNvPr id="2" name="图表 1"/>
        <xdr:cNvGraphicFramePr/>
      </xdr:nvGraphicFramePr>
      <xdr:xfrm>
        <a:off x="0" y="5374005"/>
        <a:ext cx="6076950" cy="2324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26</xdr:row>
      <xdr:rowOff>0</xdr:rowOff>
    </xdr:from>
    <xdr:to>
      <xdr:col>15</xdr:col>
      <xdr:colOff>0</xdr:colOff>
      <xdr:row>27</xdr:row>
      <xdr:rowOff>0</xdr:rowOff>
    </xdr:to>
    <xdr:graphicFrame>
      <xdr:nvGraphicFramePr>
        <xdr:cNvPr id="2" name="图表 1"/>
        <xdr:cNvGraphicFramePr/>
      </xdr:nvGraphicFramePr>
      <xdr:xfrm>
        <a:off x="0" y="5343525"/>
        <a:ext cx="6076950" cy="2324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123455</xdr:colOff>
      <xdr:row>2</xdr:row>
      <xdr:rowOff>101091</xdr:rowOff>
    </xdr:from>
    <xdr:to>
      <xdr:col>15</xdr:col>
      <xdr:colOff>580655</xdr:colOff>
      <xdr:row>17</xdr:row>
      <xdr:rowOff>126541</xdr:rowOff>
    </xdr:to>
    <xdr:graphicFrame>
      <xdr:nvGraphicFramePr>
        <xdr:cNvPr id="2" name="图表 1"/>
        <xdr:cNvGraphicFramePr/>
      </xdr:nvGraphicFramePr>
      <xdr:xfrm>
        <a:off x="6295390" y="451485"/>
        <a:ext cx="4572000" cy="2654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I8" sqref="I8"/>
    </sheetView>
  </sheetViews>
  <sheetFormatPr defaultColWidth="11" defaultRowHeight="20.25" customHeight="1" outlineLevelRow="6"/>
  <cols>
    <col min="1" max="1" width="11.75" style="105" customWidth="1"/>
    <col min="2" max="2" width="24.625" style="105" customWidth="1"/>
    <col min="3" max="3" width="20.5" style="105" customWidth="1"/>
    <col min="4" max="4" width="10.625" style="105" customWidth="1"/>
    <col min="5" max="5" width="23" style="105" customWidth="1"/>
    <col min="6" max="6" width="15.875" style="105" customWidth="1"/>
    <col min="7" max="7" width="12" style="105" customWidth="1"/>
    <col min="8" max="8" width="10.625" style="105" customWidth="1"/>
    <col min="9" max="10" width="9.25" style="105" customWidth="1"/>
    <col min="11" max="11" width="18.25" style="105" customWidth="1"/>
    <col min="12" max="256" width="11.75" style="96" customWidth="1"/>
    <col min="257" max="16384" width="9"/>
  </cols>
  <sheetData>
    <row r="1" ht="27.75" customHeight="1" spans="1:11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13"/>
    </row>
    <row r="2" ht="19.5" customHeight="1" spans="1:10">
      <c r="A2" s="99" t="s">
        <v>1</v>
      </c>
      <c r="B2" s="99" t="s">
        <v>2</v>
      </c>
      <c r="C2" s="108" t="s">
        <v>3</v>
      </c>
      <c r="D2" s="99" t="s">
        <v>4</v>
      </c>
      <c r="E2" s="99" t="s">
        <v>5</v>
      </c>
      <c r="F2" s="99"/>
      <c r="G2" s="99" t="s">
        <v>6</v>
      </c>
      <c r="H2" s="99"/>
      <c r="I2" s="99"/>
      <c r="J2" s="99"/>
    </row>
    <row r="3" ht="18.75" customHeight="1" spans="1:11">
      <c r="A3" s="99"/>
      <c r="B3" s="99"/>
      <c r="C3" s="109"/>
      <c r="D3" s="99"/>
      <c r="E3" s="99" t="s">
        <v>7</v>
      </c>
      <c r="F3" s="99" t="s">
        <v>8</v>
      </c>
      <c r="G3" s="105" t="s">
        <v>9</v>
      </c>
      <c r="H3" s="99" t="s">
        <v>10</v>
      </c>
      <c r="I3" s="99" t="s">
        <v>11</v>
      </c>
      <c r="J3" s="99" t="s">
        <v>12</v>
      </c>
      <c r="K3" s="99" t="s">
        <v>13</v>
      </c>
    </row>
    <row r="4" ht="18.75" customHeight="1" spans="1:11">
      <c r="A4" s="99"/>
      <c r="B4" s="99"/>
      <c r="C4" s="109"/>
      <c r="D4" s="99"/>
      <c r="E4" s="99"/>
      <c r="F4" s="99"/>
      <c r="H4" s="99"/>
      <c r="I4" s="99"/>
      <c r="J4" s="99"/>
      <c r="K4" s="99"/>
    </row>
    <row r="5" customHeight="1" spans="1:10">
      <c r="A5" s="110">
        <v>42224</v>
      </c>
      <c r="B5" s="105" t="s">
        <v>14</v>
      </c>
      <c r="C5" s="111" t="s">
        <v>15</v>
      </c>
      <c r="E5" s="111" t="s">
        <v>16</v>
      </c>
      <c r="H5" s="112">
        <v>0.26</v>
      </c>
      <c r="I5" s="105" t="s">
        <v>17</v>
      </c>
      <c r="J5" s="105" t="s">
        <v>17</v>
      </c>
    </row>
    <row r="6" customHeight="1" spans="1:10">
      <c r="A6" s="110">
        <v>42238</v>
      </c>
      <c r="B6" s="105" t="s">
        <v>14</v>
      </c>
      <c r="C6" s="111" t="s">
        <v>18</v>
      </c>
      <c r="E6" s="111" t="s">
        <v>16</v>
      </c>
      <c r="H6" s="112">
        <v>0.264</v>
      </c>
      <c r="I6" s="105" t="s">
        <v>17</v>
      </c>
      <c r="J6" s="105" t="s">
        <v>17</v>
      </c>
    </row>
    <row r="7" customHeight="1" spans="1:10">
      <c r="A7" s="110">
        <v>42242</v>
      </c>
      <c r="B7" s="105" t="s">
        <v>14</v>
      </c>
      <c r="C7" s="111" t="s">
        <v>19</v>
      </c>
      <c r="E7" s="111" t="s">
        <v>16</v>
      </c>
      <c r="G7" s="105" t="s">
        <v>20</v>
      </c>
      <c r="H7" s="112">
        <v>0.27</v>
      </c>
      <c r="I7" s="105" t="s">
        <v>17</v>
      </c>
      <c r="J7" s="105" t="s">
        <v>17</v>
      </c>
    </row>
  </sheetData>
  <mergeCells count="7">
    <mergeCell ref="A1:K1"/>
    <mergeCell ref="E2:F2"/>
    <mergeCell ref="G2:J2"/>
    <mergeCell ref="A2:A3"/>
    <mergeCell ref="B2:B3"/>
    <mergeCell ref="C2:C3"/>
    <mergeCell ref="D2:D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E9" sqref="E9"/>
    </sheetView>
  </sheetViews>
  <sheetFormatPr defaultColWidth="13" defaultRowHeight="27" customHeight="1" outlineLevelCol="3"/>
  <cols>
    <col min="1" max="1" width="15.875" style="96" customWidth="1"/>
    <col min="2" max="2" width="18.5" style="96" customWidth="1"/>
    <col min="3" max="3" width="15.5" style="96" customWidth="1"/>
    <col min="4" max="4" width="17.875" style="96" customWidth="1"/>
    <col min="5" max="256" width="13.5" style="96" customWidth="1"/>
    <col min="257" max="16384" width="9"/>
  </cols>
  <sheetData>
    <row r="1" customHeight="1" spans="1:4">
      <c r="A1" s="97" t="s">
        <v>21</v>
      </c>
      <c r="B1" s="98">
        <v>20000</v>
      </c>
      <c r="C1" s="99" t="s">
        <v>22</v>
      </c>
      <c r="D1" s="98">
        <v>25000</v>
      </c>
    </row>
    <row r="2" customHeight="1" spans="1:4">
      <c r="A2" s="99" t="s">
        <v>23</v>
      </c>
      <c r="B2" s="98">
        <v>1780</v>
      </c>
      <c r="C2" s="99" t="s">
        <v>24</v>
      </c>
      <c r="D2" s="98">
        <v>500</v>
      </c>
    </row>
    <row r="3" customHeight="1" spans="1:4">
      <c r="A3" s="99" t="s">
        <v>25</v>
      </c>
      <c r="B3" s="98">
        <v>1299</v>
      </c>
      <c r="C3" s="99" t="s">
        <v>26</v>
      </c>
      <c r="D3" s="98">
        <v>455</v>
      </c>
    </row>
    <row r="4" customHeight="1" spans="1:4">
      <c r="A4" s="99" t="s">
        <v>27</v>
      </c>
      <c r="B4" s="98">
        <v>1.47</v>
      </c>
      <c r="C4" s="99" t="s">
        <v>28</v>
      </c>
      <c r="D4" s="100">
        <f>(D2-D3)/D3</f>
        <v>0.0989010989010989</v>
      </c>
    </row>
    <row r="5" customHeight="1" spans="1:4">
      <c r="A5" s="99" t="s">
        <v>29</v>
      </c>
      <c r="B5" s="101">
        <f>(B1-B2-B3)/B4</f>
        <v>11510.8843537415</v>
      </c>
      <c r="C5" s="99" t="s">
        <v>30</v>
      </c>
      <c r="D5" s="101">
        <f>D1*(1-D4)/B5</f>
        <v>1.95705836625404</v>
      </c>
    </row>
    <row r="6" customHeight="1" spans="1:4">
      <c r="A6" s="99" t="s">
        <v>31</v>
      </c>
      <c r="B6" s="102">
        <v>2.66</v>
      </c>
      <c r="C6" s="99" t="s">
        <v>11</v>
      </c>
      <c r="D6" s="103">
        <f>D5/B7</f>
        <v>0.901870214863613</v>
      </c>
    </row>
    <row r="7" customHeight="1" spans="1:4">
      <c r="A7" s="99" t="s">
        <v>32</v>
      </c>
      <c r="B7" s="98">
        <v>2.17</v>
      </c>
      <c r="C7" s="98" t="s">
        <v>33</v>
      </c>
      <c r="D7" s="103">
        <f>1-D5/B6</f>
        <v>0.264263772084947</v>
      </c>
    </row>
    <row r="9" customHeight="1" spans="1:1">
      <c r="A9" s="104"/>
    </row>
    <row r="10" customHeight="1" spans="1:1">
      <c r="A10" s="10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6"/>
  <sheetViews>
    <sheetView workbookViewId="0">
      <selection activeCell="I33" sqref="I33"/>
    </sheetView>
  </sheetViews>
  <sheetFormatPr defaultColWidth="9" defaultRowHeight="13.8"/>
  <cols>
    <col min="2" max="3" width="5.75" customWidth="1"/>
    <col min="4" max="6" width="4.25" customWidth="1"/>
    <col min="7" max="9" width="4.5" customWidth="1"/>
    <col min="10" max="12" width="4.25" customWidth="1"/>
    <col min="14" max="15" width="5.625" customWidth="1"/>
    <col min="16" max="16" width="9" style="4" customWidth="1"/>
  </cols>
  <sheetData>
    <row r="1" ht="20.4" spans="1:24">
      <c r="A1" s="5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44"/>
      <c r="Q1" s="66"/>
      <c r="R1" s="66"/>
      <c r="S1" s="66"/>
      <c r="T1" s="66"/>
      <c r="U1" s="66"/>
      <c r="V1" s="66"/>
      <c r="W1" s="66"/>
      <c r="X1" s="67"/>
    </row>
    <row r="2" ht="15.6" spans="1:24">
      <c r="A2" s="6" t="s">
        <v>35</v>
      </c>
      <c r="B2" s="7"/>
      <c r="C2" s="7"/>
      <c r="D2" s="7"/>
      <c r="E2" s="7"/>
      <c r="F2" s="7"/>
      <c r="G2" s="7"/>
      <c r="H2" s="8" t="s">
        <v>36</v>
      </c>
      <c r="I2" s="8"/>
      <c r="J2" s="7"/>
      <c r="K2" s="7"/>
      <c r="L2" s="7"/>
      <c r="M2" s="7"/>
      <c r="N2" s="7"/>
      <c r="O2" s="7"/>
      <c r="P2" s="45"/>
      <c r="Q2" s="45"/>
      <c r="R2" s="45"/>
      <c r="S2" s="45"/>
      <c r="T2" s="45"/>
      <c r="U2" s="66"/>
      <c r="V2" s="66"/>
      <c r="W2" s="66"/>
      <c r="X2" s="67"/>
    </row>
    <row r="3" ht="15.6" spans="1:24">
      <c r="A3" s="6" t="s">
        <v>37</v>
      </c>
      <c r="B3" s="9"/>
      <c r="C3" s="9"/>
      <c r="D3" s="9"/>
      <c r="E3" s="9"/>
      <c r="F3" s="9"/>
      <c r="G3" s="9"/>
      <c r="H3" s="8" t="s">
        <v>38</v>
      </c>
      <c r="I3" s="8"/>
      <c r="J3" s="9"/>
      <c r="K3" s="9"/>
      <c r="L3" s="9"/>
      <c r="M3" s="9"/>
      <c r="N3" s="9"/>
      <c r="O3" s="9"/>
      <c r="P3" s="45"/>
      <c r="Q3" s="45"/>
      <c r="R3" s="45"/>
      <c r="S3" s="45"/>
      <c r="T3" s="45"/>
      <c r="U3" s="66"/>
      <c r="V3" s="66"/>
      <c r="W3" s="66"/>
      <c r="X3" s="67"/>
    </row>
    <row r="4" ht="15.6" spans="1:24">
      <c r="A4" s="6" t="s">
        <v>39</v>
      </c>
      <c r="B4" s="10"/>
      <c r="C4" s="10"/>
      <c r="D4" s="10"/>
      <c r="E4" s="10"/>
      <c r="F4" s="10"/>
      <c r="G4" s="10"/>
      <c r="H4" s="8" t="s">
        <v>40</v>
      </c>
      <c r="I4" s="8"/>
      <c r="J4" s="9"/>
      <c r="K4" s="9"/>
      <c r="L4" s="9"/>
      <c r="M4" s="9"/>
      <c r="N4" s="9"/>
      <c r="O4" s="9"/>
      <c r="P4" s="45"/>
      <c r="Q4" s="45"/>
      <c r="R4" s="45"/>
      <c r="S4" s="45"/>
      <c r="T4" s="45"/>
      <c r="U4" s="66"/>
      <c r="V4" s="66"/>
      <c r="W4" s="66"/>
      <c r="X4" s="67"/>
    </row>
    <row r="5" ht="15.6" spans="1:24">
      <c r="A5" s="6" t="s">
        <v>41</v>
      </c>
      <c r="B5" s="9"/>
      <c r="C5" s="9"/>
      <c r="D5" s="9"/>
      <c r="E5" s="9"/>
      <c r="F5" s="9"/>
      <c r="G5" s="9"/>
      <c r="H5" s="8" t="s">
        <v>42</v>
      </c>
      <c r="I5" s="8"/>
      <c r="J5" s="9"/>
      <c r="K5" s="9"/>
      <c r="L5" s="9"/>
      <c r="M5" s="9"/>
      <c r="N5" s="9"/>
      <c r="O5" s="9"/>
      <c r="P5" s="45"/>
      <c r="Q5" s="45"/>
      <c r="R5" s="68"/>
      <c r="S5" s="45"/>
      <c r="T5" s="45"/>
      <c r="U5" s="66"/>
      <c r="V5" s="66"/>
      <c r="W5" s="66"/>
      <c r="X5" s="67"/>
    </row>
    <row r="6" ht="16.35" spans="1:24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46"/>
      <c r="O6" s="46"/>
      <c r="P6" s="45"/>
      <c r="Q6" s="45"/>
      <c r="R6" s="68"/>
      <c r="S6" s="45"/>
      <c r="T6" s="45"/>
      <c r="U6" s="66"/>
      <c r="V6" s="66"/>
      <c r="W6" s="66"/>
      <c r="X6" s="67"/>
    </row>
    <row r="7" ht="21.6" spans="1:25">
      <c r="A7" s="13" t="s">
        <v>43</v>
      </c>
      <c r="B7" s="14"/>
      <c r="C7" s="14" t="s">
        <v>44</v>
      </c>
      <c r="D7" s="14"/>
      <c r="E7" s="14"/>
      <c r="F7" s="14" t="s">
        <v>45</v>
      </c>
      <c r="G7" s="14"/>
      <c r="H7" s="14" t="s">
        <v>46</v>
      </c>
      <c r="I7" s="14"/>
      <c r="J7" s="14" t="s">
        <v>47</v>
      </c>
      <c r="K7" s="14"/>
      <c r="L7" s="14" t="s">
        <v>48</v>
      </c>
      <c r="M7" s="14" t="s">
        <v>49</v>
      </c>
      <c r="N7" s="47" t="s">
        <v>50</v>
      </c>
      <c r="O7" s="47"/>
      <c r="P7" s="45"/>
      <c r="Q7" s="45"/>
      <c r="R7" s="68"/>
      <c r="S7" s="45"/>
      <c r="T7" s="45"/>
      <c r="U7" s="66"/>
      <c r="V7" s="66"/>
      <c r="W7" s="66"/>
      <c r="X7" s="67"/>
      <c r="Y7" s="88"/>
    </row>
    <row r="8" ht="21.6" spans="1:25">
      <c r="A8" s="15"/>
      <c r="B8" s="16"/>
      <c r="C8" s="16" t="s">
        <v>51</v>
      </c>
      <c r="D8" s="16"/>
      <c r="E8" s="16"/>
      <c r="F8" s="16" t="s">
        <v>52</v>
      </c>
      <c r="G8" s="16"/>
      <c r="H8" s="16"/>
      <c r="I8" s="16"/>
      <c r="J8" s="16" t="s">
        <v>53</v>
      </c>
      <c r="K8" s="16"/>
      <c r="L8" s="16" t="s">
        <v>54</v>
      </c>
      <c r="M8" s="16"/>
      <c r="N8" s="16"/>
      <c r="O8" s="16"/>
      <c r="P8" s="45"/>
      <c r="Q8" s="45"/>
      <c r="R8" s="68"/>
      <c r="S8" s="45"/>
      <c r="T8" s="45"/>
      <c r="U8" s="66"/>
      <c r="V8" s="66"/>
      <c r="W8" s="66"/>
      <c r="X8" s="67"/>
      <c r="Y8" s="88"/>
    </row>
    <row r="9" ht="15.6" spans="1:25">
      <c r="A9" s="15"/>
      <c r="B9" s="16"/>
      <c r="C9" s="16" t="s">
        <v>17</v>
      </c>
      <c r="D9" s="16"/>
      <c r="E9" s="16"/>
      <c r="F9" s="16" t="s">
        <v>17</v>
      </c>
      <c r="G9" s="16"/>
      <c r="H9" s="16" t="s">
        <v>17</v>
      </c>
      <c r="I9" s="16"/>
      <c r="J9" s="16" t="s">
        <v>17</v>
      </c>
      <c r="K9" s="16"/>
      <c r="L9" s="16" t="s">
        <v>17</v>
      </c>
      <c r="M9" s="16"/>
      <c r="N9" s="16"/>
      <c r="O9" s="16"/>
      <c r="P9" s="45"/>
      <c r="Q9" s="45"/>
      <c r="R9" s="68"/>
      <c r="S9" s="45"/>
      <c r="T9" s="45"/>
      <c r="U9" s="66"/>
      <c r="V9" s="66"/>
      <c r="W9" s="66"/>
      <c r="X9" s="67"/>
      <c r="Y9" s="88"/>
    </row>
    <row r="10" ht="15.6" spans="1:25">
      <c r="A10" s="15" t="s">
        <v>55</v>
      </c>
      <c r="B10" s="16"/>
      <c r="C10" s="16"/>
      <c r="D10" s="16"/>
      <c r="E10" s="16"/>
      <c r="F10" s="16"/>
      <c r="G10" s="16"/>
      <c r="H10" s="16" t="s">
        <v>56</v>
      </c>
      <c r="I10" s="16"/>
      <c r="J10" s="16"/>
      <c r="K10" s="16"/>
      <c r="L10" s="16" t="s">
        <v>57</v>
      </c>
      <c r="M10" s="16"/>
      <c r="N10" s="16"/>
      <c r="O10" s="16"/>
      <c r="P10" s="45"/>
      <c r="Q10" s="45"/>
      <c r="R10" s="68"/>
      <c r="S10" s="45"/>
      <c r="T10" s="45"/>
      <c r="U10" s="66"/>
      <c r="V10" s="66"/>
      <c r="W10" s="66"/>
      <c r="X10" s="67"/>
      <c r="Y10" s="88"/>
    </row>
    <row r="11" ht="15.6" spans="1:25">
      <c r="A11" s="15" t="s">
        <v>58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45"/>
      <c r="Q11" s="45"/>
      <c r="R11" s="68"/>
      <c r="S11" s="45"/>
      <c r="T11" s="45"/>
      <c r="U11" s="66"/>
      <c r="V11" s="66"/>
      <c r="W11" s="66"/>
      <c r="X11" s="67"/>
      <c r="Y11" s="88"/>
    </row>
    <row r="12" ht="15.6" spans="1:25">
      <c r="A12" s="15" t="s">
        <v>59</v>
      </c>
      <c r="B12" s="16" t="s">
        <v>60</v>
      </c>
      <c r="C12" s="16"/>
      <c r="D12" s="16" t="s">
        <v>61</v>
      </c>
      <c r="E12" s="16"/>
      <c r="F12" s="16"/>
      <c r="G12" s="16" t="s">
        <v>62</v>
      </c>
      <c r="H12" s="16"/>
      <c r="I12" s="16"/>
      <c r="J12" s="16"/>
      <c r="K12" s="16"/>
      <c r="L12" s="16"/>
      <c r="M12" s="16"/>
      <c r="N12" s="16" t="s">
        <v>63</v>
      </c>
      <c r="O12" s="16"/>
      <c r="P12" s="45"/>
      <c r="Q12" s="45"/>
      <c r="R12" s="68"/>
      <c r="S12" s="45"/>
      <c r="T12" s="45"/>
      <c r="U12" s="66"/>
      <c r="V12" s="66"/>
      <c r="W12" s="66"/>
      <c r="X12" s="67"/>
      <c r="Y12" s="88"/>
    </row>
    <row r="13" ht="15.6" spans="1:25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45"/>
      <c r="Q13" s="45"/>
      <c r="R13" s="45"/>
      <c r="S13" s="45"/>
      <c r="T13" s="45"/>
      <c r="U13" s="66"/>
      <c r="V13" s="66"/>
      <c r="W13" s="66"/>
      <c r="X13" s="67"/>
      <c r="Y13" s="88"/>
    </row>
    <row r="14" ht="15.6" spans="1:25">
      <c r="A14" s="15"/>
      <c r="B14" s="16"/>
      <c r="C14" s="16"/>
      <c r="D14" s="16"/>
      <c r="E14" s="16"/>
      <c r="F14" s="16"/>
      <c r="G14" s="17" t="s">
        <v>64</v>
      </c>
      <c r="H14" s="18"/>
      <c r="I14" s="18"/>
      <c r="J14" s="16" t="s">
        <v>65</v>
      </c>
      <c r="K14" s="16"/>
      <c r="L14" s="16"/>
      <c r="M14" s="16" t="s">
        <v>66</v>
      </c>
      <c r="N14" s="16"/>
      <c r="O14" s="16"/>
      <c r="P14" s="45"/>
      <c r="Q14" s="45"/>
      <c r="R14" s="68"/>
      <c r="S14" s="45"/>
      <c r="T14" s="45"/>
      <c r="U14" s="45"/>
      <c r="V14" s="45"/>
      <c r="W14" s="45"/>
      <c r="X14" s="67"/>
      <c r="Y14" s="88"/>
    </row>
    <row r="15" ht="15.6" spans="1:25">
      <c r="A15" s="15" t="s">
        <v>67</v>
      </c>
      <c r="B15" s="16">
        <v>0.04</v>
      </c>
      <c r="C15" s="16"/>
      <c r="D15" s="19">
        <v>1.62</v>
      </c>
      <c r="E15" s="20"/>
      <c r="F15" s="21"/>
      <c r="G15" s="22"/>
      <c r="H15" s="22"/>
      <c r="I15" s="22"/>
      <c r="J15" s="22"/>
      <c r="K15" s="22"/>
      <c r="L15" s="22"/>
      <c r="M15" s="48"/>
      <c r="N15" s="23"/>
      <c r="O15" s="23"/>
      <c r="P15" s="49"/>
      <c r="Q15" s="69"/>
      <c r="R15" s="70"/>
      <c r="S15" s="71"/>
      <c r="T15" s="72"/>
      <c r="U15" s="71"/>
      <c r="V15" s="55"/>
      <c r="W15" s="73"/>
      <c r="X15" s="74"/>
      <c r="Y15" s="88"/>
    </row>
    <row r="16" ht="15.6" spans="1:25">
      <c r="A16" s="15" t="s">
        <v>68</v>
      </c>
      <c r="B16" s="23">
        <v>0</v>
      </c>
      <c r="C16" s="23"/>
      <c r="D16" s="19">
        <v>0</v>
      </c>
      <c r="E16" s="20"/>
      <c r="F16" s="21"/>
      <c r="G16" s="24">
        <v>0</v>
      </c>
      <c r="H16" s="24"/>
      <c r="I16" s="24"/>
      <c r="J16" s="24">
        <v>0</v>
      </c>
      <c r="K16" s="24"/>
      <c r="L16" s="24"/>
      <c r="M16" s="50">
        <f>AVERAGE(G16:L16)</f>
        <v>0</v>
      </c>
      <c r="N16" s="51">
        <f>M16/100</f>
        <v>0</v>
      </c>
      <c r="O16" s="51"/>
      <c r="P16" s="52">
        <f>B16</f>
        <v>0</v>
      </c>
      <c r="Q16" s="75">
        <f>N16</f>
        <v>0</v>
      </c>
      <c r="R16" s="70"/>
      <c r="S16" s="72"/>
      <c r="T16" s="72"/>
      <c r="U16" s="71"/>
      <c r="V16" s="55"/>
      <c r="W16" s="73"/>
      <c r="X16" s="73"/>
      <c r="Y16" s="88"/>
    </row>
    <row r="17" ht="15.6" spans="1:25">
      <c r="A17" s="15">
        <v>1</v>
      </c>
      <c r="B17" s="23">
        <v>0.04</v>
      </c>
      <c r="C17" s="23"/>
      <c r="D17" s="19">
        <v>1.62</v>
      </c>
      <c r="E17" s="20"/>
      <c r="F17" s="21"/>
      <c r="G17" s="24">
        <v>19</v>
      </c>
      <c r="H17" s="24"/>
      <c r="I17" s="24"/>
      <c r="J17" s="24">
        <v>20</v>
      </c>
      <c r="K17" s="24"/>
      <c r="L17" s="24"/>
      <c r="M17" s="50">
        <f t="shared" ref="M17:M21" si="0">AVERAGE(G17:L17)</f>
        <v>19.5</v>
      </c>
      <c r="N17" s="53">
        <f t="shared" ref="N17:N21" si="1">M17/100</f>
        <v>0.195</v>
      </c>
      <c r="O17" s="54"/>
      <c r="P17" s="52">
        <f t="shared" ref="P17:P21" si="2">B17</f>
        <v>0.04</v>
      </c>
      <c r="Q17" s="75">
        <f t="shared" ref="Q17:Q21" si="3">N17</f>
        <v>0.195</v>
      </c>
      <c r="R17" s="70"/>
      <c r="S17" s="72"/>
      <c r="T17" s="72"/>
      <c r="U17" s="71"/>
      <c r="V17" s="55"/>
      <c r="W17" s="73"/>
      <c r="X17" s="73"/>
      <c r="Y17" s="88"/>
    </row>
    <row r="18" ht="15.6" spans="1:25">
      <c r="A18" s="15">
        <v>2</v>
      </c>
      <c r="B18" s="23">
        <v>0.08</v>
      </c>
      <c r="C18" s="23"/>
      <c r="D18" s="19">
        <v>3.14</v>
      </c>
      <c r="E18" s="20"/>
      <c r="F18" s="21"/>
      <c r="G18" s="24">
        <v>75</v>
      </c>
      <c r="H18" s="24"/>
      <c r="I18" s="24"/>
      <c r="J18" s="24">
        <v>76</v>
      </c>
      <c r="K18" s="24"/>
      <c r="L18" s="24"/>
      <c r="M18" s="50">
        <f t="shared" si="0"/>
        <v>75.5</v>
      </c>
      <c r="N18" s="53">
        <f t="shared" si="1"/>
        <v>0.755</v>
      </c>
      <c r="O18" s="54"/>
      <c r="P18" s="52">
        <f t="shared" si="2"/>
        <v>0.08</v>
      </c>
      <c r="Q18" s="75">
        <f t="shared" si="3"/>
        <v>0.755</v>
      </c>
      <c r="R18" s="70"/>
      <c r="S18" s="72"/>
      <c r="T18" s="72"/>
      <c r="U18" s="71"/>
      <c r="V18" s="55"/>
      <c r="W18" s="73"/>
      <c r="X18" s="73"/>
      <c r="Y18" s="88"/>
    </row>
    <row r="19" ht="15.6" spans="1:25">
      <c r="A19" s="15">
        <v>3</v>
      </c>
      <c r="B19" s="23">
        <v>0.12</v>
      </c>
      <c r="C19" s="23"/>
      <c r="D19" s="19">
        <v>4.64</v>
      </c>
      <c r="E19" s="20"/>
      <c r="F19" s="21"/>
      <c r="G19" s="24">
        <v>120</v>
      </c>
      <c r="H19" s="24"/>
      <c r="I19" s="24"/>
      <c r="J19" s="24">
        <v>140</v>
      </c>
      <c r="K19" s="24"/>
      <c r="L19" s="24"/>
      <c r="M19" s="50">
        <f t="shared" si="0"/>
        <v>130</v>
      </c>
      <c r="N19" s="53">
        <f t="shared" si="1"/>
        <v>1.3</v>
      </c>
      <c r="O19" s="54"/>
      <c r="P19" s="52">
        <f t="shared" si="2"/>
        <v>0.12</v>
      </c>
      <c r="Q19" s="75">
        <f t="shared" si="3"/>
        <v>1.3</v>
      </c>
      <c r="R19" s="70"/>
      <c r="S19" s="72"/>
      <c r="T19" s="72"/>
      <c r="U19" s="71"/>
      <c r="V19" s="55"/>
      <c r="W19" s="73"/>
      <c r="X19" s="73"/>
      <c r="Y19" s="88"/>
    </row>
    <row r="20" ht="15.6" spans="1:25">
      <c r="A20" s="15">
        <v>4</v>
      </c>
      <c r="B20" s="23">
        <v>0.16</v>
      </c>
      <c r="C20" s="23"/>
      <c r="D20" s="19">
        <v>6.14</v>
      </c>
      <c r="E20" s="20"/>
      <c r="F20" s="21"/>
      <c r="G20" s="24">
        <v>180</v>
      </c>
      <c r="H20" s="24"/>
      <c r="I20" s="24"/>
      <c r="J20" s="24">
        <v>214</v>
      </c>
      <c r="K20" s="24"/>
      <c r="L20" s="24"/>
      <c r="M20" s="50">
        <f t="shared" si="0"/>
        <v>197</v>
      </c>
      <c r="N20" s="53">
        <f t="shared" si="1"/>
        <v>1.97</v>
      </c>
      <c r="O20" s="54"/>
      <c r="P20" s="52">
        <f t="shared" si="2"/>
        <v>0.16</v>
      </c>
      <c r="Q20" s="75">
        <f t="shared" si="3"/>
        <v>1.97</v>
      </c>
      <c r="R20" s="70"/>
      <c r="S20" s="72"/>
      <c r="T20" s="72"/>
      <c r="U20" s="71"/>
      <c r="V20" s="55"/>
      <c r="W20" s="73"/>
      <c r="X20" s="73"/>
      <c r="Y20" s="88"/>
    </row>
    <row r="21" ht="15.6" spans="1:25">
      <c r="A21" s="15">
        <v>5</v>
      </c>
      <c r="B21" s="23">
        <v>0.2</v>
      </c>
      <c r="C21" s="23"/>
      <c r="D21" s="19">
        <v>7.65</v>
      </c>
      <c r="E21" s="20"/>
      <c r="F21" s="21"/>
      <c r="G21" s="24">
        <v>225</v>
      </c>
      <c r="H21" s="24"/>
      <c r="I21" s="24"/>
      <c r="J21" s="24">
        <v>266</v>
      </c>
      <c r="K21" s="24"/>
      <c r="L21" s="24"/>
      <c r="M21" s="50">
        <f t="shared" si="0"/>
        <v>245.5</v>
      </c>
      <c r="N21" s="53">
        <f t="shared" si="1"/>
        <v>2.455</v>
      </c>
      <c r="O21" s="54"/>
      <c r="P21" s="52">
        <f t="shared" si="2"/>
        <v>0.2</v>
      </c>
      <c r="Q21" s="75">
        <f t="shared" si="3"/>
        <v>2.455</v>
      </c>
      <c r="R21" s="70"/>
      <c r="S21" s="72"/>
      <c r="T21" s="72"/>
      <c r="U21" s="71"/>
      <c r="V21" s="55"/>
      <c r="W21" s="73"/>
      <c r="X21" s="73"/>
      <c r="Y21" s="88"/>
    </row>
    <row r="22" ht="15.6" spans="1:25">
      <c r="A22" s="15">
        <v>6</v>
      </c>
      <c r="B22" s="23">
        <v>0.24</v>
      </c>
      <c r="C22" s="23"/>
      <c r="D22" s="19">
        <v>9.16</v>
      </c>
      <c r="E22" s="20"/>
      <c r="F22" s="21"/>
      <c r="G22" s="22"/>
      <c r="H22" s="22"/>
      <c r="I22" s="22"/>
      <c r="J22" s="22"/>
      <c r="K22" s="22"/>
      <c r="L22" s="22"/>
      <c r="M22" s="23"/>
      <c r="N22" s="16"/>
      <c r="O22" s="16"/>
      <c r="P22" s="55"/>
      <c r="Q22" s="69"/>
      <c r="R22" s="70"/>
      <c r="S22" s="72"/>
      <c r="T22" s="72"/>
      <c r="U22" s="71"/>
      <c r="V22" s="55"/>
      <c r="W22" s="73"/>
      <c r="X22" s="73"/>
      <c r="Y22" s="88"/>
    </row>
    <row r="23" ht="15.6" spans="1:25">
      <c r="A23" s="15">
        <v>7</v>
      </c>
      <c r="B23" s="23">
        <v>0.28</v>
      </c>
      <c r="C23" s="23"/>
      <c r="D23" s="19">
        <v>10.67</v>
      </c>
      <c r="E23" s="20"/>
      <c r="F23" s="21"/>
      <c r="G23" s="22"/>
      <c r="H23" s="22"/>
      <c r="I23" s="22"/>
      <c r="J23" s="22"/>
      <c r="K23" s="22"/>
      <c r="L23" s="22"/>
      <c r="M23" s="23"/>
      <c r="N23" s="16"/>
      <c r="O23" s="16"/>
      <c r="P23" s="55"/>
      <c r="Q23" s="69"/>
      <c r="R23" s="70"/>
      <c r="S23" s="72"/>
      <c r="T23" s="72"/>
      <c r="U23" s="71"/>
      <c r="V23" s="55"/>
      <c r="W23" s="73"/>
      <c r="X23" s="73"/>
      <c r="Y23" s="88"/>
    </row>
    <row r="24" ht="15.6" spans="1:25">
      <c r="A24" s="15">
        <v>8</v>
      </c>
      <c r="B24" s="23">
        <v>0.32</v>
      </c>
      <c r="C24" s="23"/>
      <c r="D24" s="19">
        <v>12.18</v>
      </c>
      <c r="E24" s="20"/>
      <c r="F24" s="21"/>
      <c r="G24" s="22"/>
      <c r="H24" s="22"/>
      <c r="I24" s="22"/>
      <c r="J24" s="22"/>
      <c r="K24" s="22"/>
      <c r="L24" s="22"/>
      <c r="M24" s="23"/>
      <c r="N24" s="16"/>
      <c r="O24" s="16"/>
      <c r="P24" s="55"/>
      <c r="Q24" s="69"/>
      <c r="R24" s="70"/>
      <c r="S24" s="72"/>
      <c r="T24" s="72"/>
      <c r="U24" s="71"/>
      <c r="V24" s="55"/>
      <c r="W24" s="73"/>
      <c r="X24" s="73"/>
      <c r="Y24" s="88"/>
    </row>
    <row r="25" ht="15.6" spans="1:25">
      <c r="A25" s="15">
        <v>9</v>
      </c>
      <c r="B25" s="23">
        <v>0.36</v>
      </c>
      <c r="C25" s="23"/>
      <c r="D25" s="19">
        <v>13.69</v>
      </c>
      <c r="E25" s="20"/>
      <c r="F25" s="21"/>
      <c r="G25" s="22"/>
      <c r="H25" s="90"/>
      <c r="I25" s="90"/>
      <c r="J25" s="22"/>
      <c r="K25" s="22"/>
      <c r="L25" s="22"/>
      <c r="M25" s="23"/>
      <c r="N25" s="16"/>
      <c r="O25" s="16"/>
      <c r="P25" s="55"/>
      <c r="Q25" s="69"/>
      <c r="R25" s="70"/>
      <c r="S25" s="72"/>
      <c r="T25" s="72"/>
      <c r="U25" s="71"/>
      <c r="V25" s="55"/>
      <c r="W25" s="73"/>
      <c r="X25" s="73"/>
      <c r="Y25" s="88"/>
    </row>
    <row r="26" ht="15.6" spans="1:27">
      <c r="A26" s="15">
        <v>10</v>
      </c>
      <c r="B26" s="23">
        <v>0.4</v>
      </c>
      <c r="C26" s="23"/>
      <c r="D26" s="19"/>
      <c r="E26" s="20"/>
      <c r="F26" s="21"/>
      <c r="G26" s="91"/>
      <c r="H26" s="92"/>
      <c r="I26" s="93"/>
      <c r="J26" s="94"/>
      <c r="K26" s="95"/>
      <c r="L26" s="95"/>
      <c r="M26" s="23"/>
      <c r="N26" s="16"/>
      <c r="O26" s="16"/>
      <c r="P26" s="55"/>
      <c r="Q26" s="76"/>
      <c r="R26" s="55"/>
      <c r="S26" s="55"/>
      <c r="T26" s="49"/>
      <c r="U26" s="45"/>
      <c r="V26" s="45"/>
      <c r="W26" s="45"/>
      <c r="X26" s="77"/>
      <c r="Y26" s="89"/>
      <c r="Z26" s="89"/>
      <c r="AA26" s="89"/>
    </row>
    <row r="27" ht="183" customHeight="1" spans="1:27">
      <c r="A27" s="34" t="s">
        <v>69</v>
      </c>
      <c r="B27" s="35"/>
      <c r="C27" s="35"/>
      <c r="D27" s="35"/>
      <c r="E27" s="35"/>
      <c r="F27" s="35"/>
      <c r="G27" s="35"/>
      <c r="H27" s="36"/>
      <c r="I27" s="36"/>
      <c r="J27" s="35"/>
      <c r="K27" s="35"/>
      <c r="L27" s="35"/>
      <c r="M27" s="35"/>
      <c r="N27" s="35"/>
      <c r="O27" s="59"/>
      <c r="P27" s="45"/>
      <c r="Q27" s="45"/>
      <c r="R27" s="78"/>
      <c r="S27" s="79"/>
      <c r="T27" s="45"/>
      <c r="U27" s="45"/>
      <c r="V27" s="45"/>
      <c r="W27" s="45"/>
      <c r="X27" s="77"/>
      <c r="Y27" s="89"/>
      <c r="Z27" s="89"/>
      <c r="AA27" s="89"/>
    </row>
    <row r="28" ht="15.6" spans="1:25">
      <c r="A28" s="37" t="s">
        <v>70</v>
      </c>
      <c r="B28" s="18"/>
      <c r="C28" s="18"/>
      <c r="D28" s="18"/>
      <c r="E28" s="38">
        <f>((-(INDEX(LINEST(N17:N21,B17:B21),2)))+1.25)/(INDEX(LINEST(N17:N21,B17:B21),1))</f>
        <v>0.114071490845684</v>
      </c>
      <c r="F28" s="38"/>
      <c r="G28" s="39" t="s">
        <v>71</v>
      </c>
      <c r="H28" s="39"/>
      <c r="I28" s="60" t="s">
        <v>72</v>
      </c>
      <c r="J28" s="60"/>
      <c r="K28" s="60"/>
      <c r="L28" s="60"/>
      <c r="M28" s="61">
        <f>(E28/1.25)*1000</f>
        <v>91.2571926765475</v>
      </c>
      <c r="N28" s="62" t="s">
        <v>73</v>
      </c>
      <c r="O28" s="63"/>
      <c r="P28" s="64"/>
      <c r="Q28" s="80"/>
      <c r="R28" s="80"/>
      <c r="S28" s="45"/>
      <c r="T28" s="45"/>
      <c r="U28" s="66"/>
      <c r="V28" s="66"/>
      <c r="W28" s="66"/>
      <c r="X28" s="81"/>
      <c r="Y28" s="88"/>
    </row>
    <row r="29" ht="15.6" spans="1:25">
      <c r="A29" s="34" t="s">
        <v>74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64"/>
      <c r="Q29" s="45"/>
      <c r="R29" s="68"/>
      <c r="S29" s="45"/>
      <c r="T29" s="45"/>
      <c r="U29" s="66"/>
      <c r="V29" s="66"/>
      <c r="W29" s="66"/>
      <c r="X29" s="81"/>
      <c r="Y29" s="88"/>
    </row>
    <row r="30" ht="15.6" spans="1:25">
      <c r="A30" s="8" t="s">
        <v>75</v>
      </c>
      <c r="B30" s="40"/>
      <c r="C30" s="40"/>
      <c r="D30" s="40"/>
      <c r="E30" s="41"/>
      <c r="F30" s="42" t="s">
        <v>76</v>
      </c>
      <c r="G30" s="42"/>
      <c r="H30" s="40"/>
      <c r="I30" s="40"/>
      <c r="J30" s="40"/>
      <c r="K30" s="41"/>
      <c r="L30" s="8" t="s">
        <v>77</v>
      </c>
      <c r="M30" s="40"/>
      <c r="N30" s="40"/>
      <c r="O30" s="40"/>
      <c r="P30" s="64"/>
      <c r="Q30" s="45"/>
      <c r="R30" s="68"/>
      <c r="S30" s="45"/>
      <c r="T30" s="45"/>
      <c r="U30" s="66"/>
      <c r="V30" s="66"/>
      <c r="W30" s="66"/>
      <c r="X30" s="81"/>
      <c r="Y30" s="88"/>
    </row>
    <row r="31" ht="15.6" spans="1:2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64"/>
      <c r="Q31" s="45"/>
      <c r="R31" s="68"/>
      <c r="S31" s="45"/>
      <c r="T31" s="45"/>
      <c r="U31" s="82"/>
      <c r="V31" s="82"/>
      <c r="W31" s="82"/>
      <c r="X31" s="83"/>
      <c r="Y31" s="88"/>
    </row>
    <row r="32" ht="15.6" spans="1: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64"/>
      <c r="Q32" s="45"/>
      <c r="R32" s="68"/>
      <c r="S32" s="45"/>
      <c r="T32" s="45"/>
      <c r="U32" s="82"/>
      <c r="V32" s="82"/>
      <c r="W32" s="82"/>
      <c r="X32" s="83"/>
      <c r="Y32" s="88"/>
    </row>
    <row r="33" ht="15.6" spans="16:25">
      <c r="P33" s="65"/>
      <c r="Q33" s="84"/>
      <c r="R33" s="68"/>
      <c r="S33" s="84"/>
      <c r="T33" s="84"/>
      <c r="U33" s="85"/>
      <c r="V33" s="85"/>
      <c r="W33" s="85"/>
      <c r="X33" s="86"/>
      <c r="Y33" s="88"/>
    </row>
    <row r="34" ht="15.6" spans="16:25">
      <c r="P34" s="65"/>
      <c r="Q34" s="84"/>
      <c r="R34" s="68"/>
      <c r="S34" s="84"/>
      <c r="T34" s="84"/>
      <c r="U34" s="85"/>
      <c r="V34" s="85"/>
      <c r="W34" s="85"/>
      <c r="X34" s="86"/>
      <c r="Y34" s="88"/>
    </row>
    <row r="35" spans="16:23">
      <c r="P35" s="65"/>
      <c r="Q35" s="84"/>
      <c r="R35" s="84"/>
      <c r="S35" s="84"/>
      <c r="T35" s="84"/>
      <c r="U35" s="87"/>
      <c r="V35" s="87"/>
      <c r="W35" s="87"/>
    </row>
    <row r="36" spans="16:23">
      <c r="P36" s="65"/>
      <c r="Q36" s="84"/>
      <c r="R36" s="84"/>
      <c r="S36" s="84"/>
      <c r="T36" s="84"/>
      <c r="U36" s="87"/>
      <c r="V36" s="87"/>
      <c r="W36" s="87"/>
    </row>
    <row r="37" spans="16:23">
      <c r="P37" s="65"/>
      <c r="Q37" s="84"/>
      <c r="R37" s="84"/>
      <c r="S37" s="84"/>
      <c r="T37" s="84"/>
      <c r="U37" s="87"/>
      <c r="V37" s="87"/>
      <c r="W37" s="87"/>
    </row>
    <row r="38" spans="16:23">
      <c r="P38" s="65"/>
      <c r="Q38" s="84"/>
      <c r="R38" s="84"/>
      <c r="S38" s="84"/>
      <c r="T38" s="84"/>
      <c r="U38" s="87"/>
      <c r="V38" s="87"/>
      <c r="W38" s="87"/>
    </row>
    <row r="39" spans="16:23">
      <c r="P39" s="65"/>
      <c r="Q39" s="84"/>
      <c r="R39" s="84"/>
      <c r="S39" s="84"/>
      <c r="T39" s="84"/>
      <c r="U39" s="87"/>
      <c r="V39" s="87"/>
      <c r="W39" s="87"/>
    </row>
    <row r="40" spans="16:23">
      <c r="P40" s="65"/>
      <c r="Q40" s="84"/>
      <c r="R40" s="84"/>
      <c r="S40" s="84"/>
      <c r="T40" s="84"/>
      <c r="U40" s="87"/>
      <c r="V40" s="87"/>
      <c r="W40" s="87"/>
    </row>
    <row r="41" spans="17:23">
      <c r="Q41" s="87"/>
      <c r="R41" s="87"/>
      <c r="S41" s="87"/>
      <c r="T41" s="87"/>
      <c r="U41" s="87"/>
      <c r="V41" s="87"/>
      <c r="W41" s="87"/>
    </row>
    <row r="42" spans="17:23">
      <c r="Q42" s="87"/>
      <c r="R42" s="87"/>
      <c r="S42" s="87"/>
      <c r="T42" s="87"/>
      <c r="U42" s="87"/>
      <c r="V42" s="87"/>
      <c r="W42" s="87"/>
    </row>
    <row r="43" spans="17:23">
      <c r="Q43" s="87"/>
      <c r="R43" s="87"/>
      <c r="S43" s="87"/>
      <c r="T43" s="87"/>
      <c r="U43" s="87"/>
      <c r="V43" s="87"/>
      <c r="W43" s="87"/>
    </row>
    <row r="44" spans="17:23">
      <c r="Q44" s="87"/>
      <c r="R44" s="87"/>
      <c r="S44" s="87"/>
      <c r="T44" s="87"/>
      <c r="U44" s="87"/>
      <c r="V44" s="87"/>
      <c r="W44" s="87"/>
    </row>
    <row r="45" spans="17:23">
      <c r="Q45" s="87"/>
      <c r="R45" s="87"/>
      <c r="S45" s="87"/>
      <c r="T45" s="87"/>
      <c r="U45" s="87"/>
      <c r="V45" s="87"/>
      <c r="W45" s="87"/>
    </row>
    <row r="46" spans="17:23">
      <c r="Q46" s="87"/>
      <c r="R46" s="87"/>
      <c r="S46" s="87"/>
      <c r="T46" s="87"/>
      <c r="U46" s="87"/>
      <c r="V46" s="87"/>
      <c r="W46" s="87"/>
    </row>
  </sheetData>
  <mergeCells count="112">
    <mergeCell ref="A1:O1"/>
    <mergeCell ref="B2:G2"/>
    <mergeCell ref="H2:I2"/>
    <mergeCell ref="J2:O2"/>
    <mergeCell ref="B3:G3"/>
    <mergeCell ref="H3:I3"/>
    <mergeCell ref="J3:O3"/>
    <mergeCell ref="B4:G4"/>
    <mergeCell ref="H4:I4"/>
    <mergeCell ref="J4:O4"/>
    <mergeCell ref="B5:G5"/>
    <mergeCell ref="H5:I5"/>
    <mergeCell ref="J5:O5"/>
    <mergeCell ref="C7:E7"/>
    <mergeCell ref="F7:G7"/>
    <mergeCell ref="H7:I7"/>
    <mergeCell ref="J7:K7"/>
    <mergeCell ref="N7:O7"/>
    <mergeCell ref="C8:E8"/>
    <mergeCell ref="F8:G8"/>
    <mergeCell ref="H8:I8"/>
    <mergeCell ref="J8:K8"/>
    <mergeCell ref="C9:E9"/>
    <mergeCell ref="F9:G9"/>
    <mergeCell ref="H9:I9"/>
    <mergeCell ref="J9:K9"/>
    <mergeCell ref="A10:B10"/>
    <mergeCell ref="C10:G10"/>
    <mergeCell ref="H10:K10"/>
    <mergeCell ref="L10:O10"/>
    <mergeCell ref="A11:O11"/>
    <mergeCell ref="G14:I14"/>
    <mergeCell ref="J14:L14"/>
    <mergeCell ref="B15:C15"/>
    <mergeCell ref="D15:F15"/>
    <mergeCell ref="G15:I15"/>
    <mergeCell ref="J15:L15"/>
    <mergeCell ref="N15:O15"/>
    <mergeCell ref="B16:C16"/>
    <mergeCell ref="D16:F16"/>
    <mergeCell ref="G16:I16"/>
    <mergeCell ref="J16:L16"/>
    <mergeCell ref="N16:O16"/>
    <mergeCell ref="B17:C17"/>
    <mergeCell ref="D17:F17"/>
    <mergeCell ref="G17:I17"/>
    <mergeCell ref="J17:L17"/>
    <mergeCell ref="N17:O17"/>
    <mergeCell ref="B18:C18"/>
    <mergeCell ref="D18:F18"/>
    <mergeCell ref="G18:I18"/>
    <mergeCell ref="J18:L18"/>
    <mergeCell ref="N18:O18"/>
    <mergeCell ref="B19:C19"/>
    <mergeCell ref="D19:F19"/>
    <mergeCell ref="G19:I19"/>
    <mergeCell ref="J19:L19"/>
    <mergeCell ref="N19:O19"/>
    <mergeCell ref="B20:C20"/>
    <mergeCell ref="D20:F20"/>
    <mergeCell ref="G20:I20"/>
    <mergeCell ref="J20:L20"/>
    <mergeCell ref="N20:O20"/>
    <mergeCell ref="B21:C21"/>
    <mergeCell ref="D21:F21"/>
    <mergeCell ref="G21:I21"/>
    <mergeCell ref="J21:L21"/>
    <mergeCell ref="N21:O21"/>
    <mergeCell ref="B22:C22"/>
    <mergeCell ref="D22:F22"/>
    <mergeCell ref="G22:I22"/>
    <mergeCell ref="J22:L22"/>
    <mergeCell ref="N22:O22"/>
    <mergeCell ref="B23:C23"/>
    <mergeCell ref="D23:F23"/>
    <mergeCell ref="G23:I23"/>
    <mergeCell ref="J23:L23"/>
    <mergeCell ref="N23:O23"/>
    <mergeCell ref="B24:C24"/>
    <mergeCell ref="D24:F24"/>
    <mergeCell ref="G24:I24"/>
    <mergeCell ref="J24:L24"/>
    <mergeCell ref="N24:O24"/>
    <mergeCell ref="B25:C25"/>
    <mergeCell ref="D25:F25"/>
    <mergeCell ref="G25:I25"/>
    <mergeCell ref="J25:L25"/>
    <mergeCell ref="N25:O25"/>
    <mergeCell ref="B26:C26"/>
    <mergeCell ref="D26:F26"/>
    <mergeCell ref="G26:I26"/>
    <mergeCell ref="J26:L26"/>
    <mergeCell ref="N26:O26"/>
    <mergeCell ref="A27:O27"/>
    <mergeCell ref="A28:D28"/>
    <mergeCell ref="E28:F28"/>
    <mergeCell ref="G28:H28"/>
    <mergeCell ref="I28:L28"/>
    <mergeCell ref="N28:O28"/>
    <mergeCell ref="A29:O29"/>
    <mergeCell ref="B30:D30"/>
    <mergeCell ref="F30:G30"/>
    <mergeCell ref="H30:J30"/>
    <mergeCell ref="M30:O30"/>
    <mergeCell ref="A12:A14"/>
    <mergeCell ref="M8:M9"/>
    <mergeCell ref="G12:M13"/>
    <mergeCell ref="B12:C14"/>
    <mergeCell ref="N12:O14"/>
    <mergeCell ref="D12:F14"/>
    <mergeCell ref="A7:B9"/>
    <mergeCell ref="N8:O9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6"/>
  <sheetViews>
    <sheetView zoomScale="80" zoomScaleNormal="80" workbookViewId="0">
      <selection activeCell="T14" sqref="T14"/>
    </sheetView>
  </sheetViews>
  <sheetFormatPr defaultColWidth="9" defaultRowHeight="13.8"/>
  <cols>
    <col min="2" max="3" width="5.75" customWidth="1"/>
    <col min="4" max="6" width="4.25" customWidth="1"/>
    <col min="7" max="9" width="4.5" customWidth="1"/>
    <col min="10" max="12" width="4.25" customWidth="1"/>
    <col min="14" max="15" width="5.625" customWidth="1"/>
    <col min="16" max="16" width="9" style="4" customWidth="1"/>
  </cols>
  <sheetData>
    <row r="1" ht="20.4" spans="1:24">
      <c r="A1" s="5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44"/>
      <c r="Q1" s="66"/>
      <c r="R1" s="66"/>
      <c r="S1" s="66"/>
      <c r="T1" s="66"/>
      <c r="U1" s="66"/>
      <c r="V1" s="66"/>
      <c r="W1" s="66"/>
      <c r="X1" s="67"/>
    </row>
    <row r="2" ht="15.6" spans="1:24">
      <c r="A2" s="6" t="s">
        <v>35</v>
      </c>
      <c r="B2" s="7"/>
      <c r="C2" s="7"/>
      <c r="D2" s="7"/>
      <c r="E2" s="7"/>
      <c r="F2" s="7"/>
      <c r="G2" s="7"/>
      <c r="H2" s="8" t="s">
        <v>36</v>
      </c>
      <c r="I2" s="8"/>
      <c r="J2" s="7"/>
      <c r="K2" s="7"/>
      <c r="L2" s="7"/>
      <c r="M2" s="7"/>
      <c r="N2" s="7"/>
      <c r="O2" s="7"/>
      <c r="P2" s="45"/>
      <c r="Q2" s="45"/>
      <c r="R2" s="45"/>
      <c r="S2" s="45"/>
      <c r="T2" s="45"/>
      <c r="U2" s="66"/>
      <c r="V2" s="66"/>
      <c r="W2" s="66"/>
      <c r="X2" s="67"/>
    </row>
    <row r="3" ht="15.6" spans="1:24">
      <c r="A3" s="6" t="s">
        <v>37</v>
      </c>
      <c r="B3" s="9"/>
      <c r="C3" s="9"/>
      <c r="D3" s="9"/>
      <c r="E3" s="9"/>
      <c r="F3" s="9"/>
      <c r="G3" s="9"/>
      <c r="H3" s="8" t="s">
        <v>38</v>
      </c>
      <c r="I3" s="8"/>
      <c r="J3" s="9"/>
      <c r="K3" s="9"/>
      <c r="L3" s="9"/>
      <c r="M3" s="9"/>
      <c r="N3" s="9"/>
      <c r="O3" s="9"/>
      <c r="P3" s="45"/>
      <c r="Q3" s="45"/>
      <c r="R3" s="45"/>
      <c r="S3" s="45"/>
      <c r="T3" s="45"/>
      <c r="U3" s="66"/>
      <c r="V3" s="66"/>
      <c r="W3" s="66"/>
      <c r="X3" s="67"/>
    </row>
    <row r="4" ht="15.6" spans="1:24">
      <c r="A4" s="6" t="s">
        <v>39</v>
      </c>
      <c r="B4" s="10"/>
      <c r="C4" s="10"/>
      <c r="D4" s="10"/>
      <c r="E4" s="10"/>
      <c r="F4" s="10"/>
      <c r="G4" s="10"/>
      <c r="H4" s="8" t="s">
        <v>40</v>
      </c>
      <c r="I4" s="8"/>
      <c r="J4" s="9"/>
      <c r="K4" s="9"/>
      <c r="L4" s="9"/>
      <c r="M4" s="9"/>
      <c r="N4" s="9"/>
      <c r="O4" s="9"/>
      <c r="P4" s="45"/>
      <c r="Q4" s="45"/>
      <c r="R4" s="45"/>
      <c r="S4" s="45"/>
      <c r="T4" s="45"/>
      <c r="U4" s="66"/>
      <c r="V4" s="66"/>
      <c r="W4" s="66"/>
      <c r="X4" s="67"/>
    </row>
    <row r="5" ht="15.6" spans="1:24">
      <c r="A5" s="6" t="s">
        <v>41</v>
      </c>
      <c r="B5" s="9"/>
      <c r="C5" s="9"/>
      <c r="D5" s="9"/>
      <c r="E5" s="9"/>
      <c r="F5" s="9"/>
      <c r="G5" s="9"/>
      <c r="H5" s="8" t="s">
        <v>42</v>
      </c>
      <c r="I5" s="8"/>
      <c r="J5" s="9"/>
      <c r="K5" s="9"/>
      <c r="L5" s="9"/>
      <c r="M5" s="9"/>
      <c r="N5" s="9"/>
      <c r="O5" s="9"/>
      <c r="P5" s="45"/>
      <c r="Q5" s="45"/>
      <c r="R5" s="68"/>
      <c r="S5" s="45"/>
      <c r="T5" s="45"/>
      <c r="U5" s="66"/>
      <c r="V5" s="66"/>
      <c r="W5" s="66"/>
      <c r="X5" s="67"/>
    </row>
    <row r="6" ht="16.35" spans="1:24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46"/>
      <c r="O6" s="46"/>
      <c r="P6" s="45"/>
      <c r="Q6" s="45"/>
      <c r="R6" s="68"/>
      <c r="S6" s="45"/>
      <c r="T6" s="45"/>
      <c r="U6" s="66"/>
      <c r="V6" s="66"/>
      <c r="W6" s="66"/>
      <c r="X6" s="67"/>
    </row>
    <row r="7" ht="21.6" spans="1:25">
      <c r="A7" s="13" t="s">
        <v>43</v>
      </c>
      <c r="B7" s="14"/>
      <c r="C7" s="14" t="s">
        <v>44</v>
      </c>
      <c r="D7" s="14"/>
      <c r="E7" s="14"/>
      <c r="F7" s="14" t="s">
        <v>45</v>
      </c>
      <c r="G7" s="14"/>
      <c r="H7" s="14" t="s">
        <v>46</v>
      </c>
      <c r="I7" s="14"/>
      <c r="J7" s="14" t="s">
        <v>47</v>
      </c>
      <c r="K7" s="14"/>
      <c r="L7" s="14" t="s">
        <v>48</v>
      </c>
      <c r="M7" s="14" t="s">
        <v>49</v>
      </c>
      <c r="N7" s="47" t="s">
        <v>50</v>
      </c>
      <c r="O7" s="47"/>
      <c r="P7" s="45"/>
      <c r="Q7" s="45"/>
      <c r="R7" s="68"/>
      <c r="S7" s="45"/>
      <c r="T7" s="45"/>
      <c r="U7" s="66"/>
      <c r="V7" s="66"/>
      <c r="W7" s="66"/>
      <c r="X7" s="67"/>
      <c r="Y7" s="88"/>
    </row>
    <row r="8" ht="21.6" spans="1:25">
      <c r="A8" s="15"/>
      <c r="B8" s="16"/>
      <c r="C8" s="16" t="s">
        <v>51</v>
      </c>
      <c r="D8" s="16"/>
      <c r="E8" s="16"/>
      <c r="F8" s="16" t="s">
        <v>52</v>
      </c>
      <c r="G8" s="16"/>
      <c r="H8" s="16"/>
      <c r="I8" s="16"/>
      <c r="J8" s="16" t="s">
        <v>53</v>
      </c>
      <c r="K8" s="16"/>
      <c r="L8" s="16" t="s">
        <v>54</v>
      </c>
      <c r="M8" s="16"/>
      <c r="N8" s="16"/>
      <c r="O8" s="16"/>
      <c r="P8" s="45"/>
      <c r="Q8" s="45"/>
      <c r="R8" s="68"/>
      <c r="S8" s="45"/>
      <c r="T8" s="45"/>
      <c r="U8" s="66"/>
      <c r="V8" s="66"/>
      <c r="W8" s="66"/>
      <c r="X8" s="67"/>
      <c r="Y8" s="88"/>
    </row>
    <row r="9" ht="15.6" spans="1:25">
      <c r="A9" s="15"/>
      <c r="B9" s="16"/>
      <c r="C9" s="16" t="s">
        <v>17</v>
      </c>
      <c r="D9" s="16"/>
      <c r="E9" s="16"/>
      <c r="F9" s="16" t="s">
        <v>17</v>
      </c>
      <c r="G9" s="16"/>
      <c r="H9" s="16" t="s">
        <v>17</v>
      </c>
      <c r="I9" s="16"/>
      <c r="J9" s="16" t="s">
        <v>17</v>
      </c>
      <c r="K9" s="16"/>
      <c r="L9" s="16" t="s">
        <v>17</v>
      </c>
      <c r="M9" s="16"/>
      <c r="N9" s="16"/>
      <c r="O9" s="16"/>
      <c r="P9" s="45"/>
      <c r="Q9" s="45"/>
      <c r="R9" s="68"/>
      <c r="S9" s="45"/>
      <c r="T9" s="45"/>
      <c r="U9" s="66"/>
      <c r="V9" s="66"/>
      <c r="W9" s="66"/>
      <c r="X9" s="67"/>
      <c r="Y9" s="88"/>
    </row>
    <row r="10" ht="15.6" spans="1:25">
      <c r="A10" s="15" t="s">
        <v>55</v>
      </c>
      <c r="B10" s="16"/>
      <c r="C10" s="16"/>
      <c r="D10" s="16"/>
      <c r="E10" s="16"/>
      <c r="F10" s="16"/>
      <c r="G10" s="16"/>
      <c r="H10" s="16" t="s">
        <v>56</v>
      </c>
      <c r="I10" s="16"/>
      <c r="J10" s="16"/>
      <c r="K10" s="16"/>
      <c r="L10" s="16" t="s">
        <v>57</v>
      </c>
      <c r="M10" s="16"/>
      <c r="N10" s="16"/>
      <c r="O10" s="16"/>
      <c r="P10" s="45"/>
      <c r="Q10" s="45"/>
      <c r="R10" s="68"/>
      <c r="S10" s="45"/>
      <c r="T10" s="45"/>
      <c r="U10" s="66"/>
      <c r="V10" s="66"/>
      <c r="W10" s="66"/>
      <c r="X10" s="67"/>
      <c r="Y10" s="88"/>
    </row>
    <row r="11" ht="15.6" spans="1:25">
      <c r="A11" s="15" t="s">
        <v>58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45"/>
      <c r="Q11" s="45"/>
      <c r="R11" s="68"/>
      <c r="S11" s="45"/>
      <c r="T11" s="45"/>
      <c r="U11" s="66"/>
      <c r="V11" s="66"/>
      <c r="W11" s="66"/>
      <c r="X11" s="67"/>
      <c r="Y11" s="88"/>
    </row>
    <row r="12" ht="15.6" spans="1:25">
      <c r="A12" s="15" t="s">
        <v>59</v>
      </c>
      <c r="B12" s="16" t="s">
        <v>60</v>
      </c>
      <c r="C12" s="16"/>
      <c r="D12" s="16" t="s">
        <v>61</v>
      </c>
      <c r="E12" s="16"/>
      <c r="F12" s="16"/>
      <c r="G12" s="16" t="s">
        <v>62</v>
      </c>
      <c r="H12" s="16"/>
      <c r="I12" s="16"/>
      <c r="J12" s="16"/>
      <c r="K12" s="16"/>
      <c r="L12" s="16"/>
      <c r="M12" s="16"/>
      <c r="N12" s="16" t="s">
        <v>63</v>
      </c>
      <c r="O12" s="16"/>
      <c r="P12" s="45"/>
      <c r="Q12" s="45"/>
      <c r="R12" s="68"/>
      <c r="S12" s="45"/>
      <c r="T12" s="45"/>
      <c r="U12" s="66"/>
      <c r="V12" s="66"/>
      <c r="W12" s="66"/>
      <c r="X12" s="67"/>
      <c r="Y12" s="88"/>
    </row>
    <row r="13" ht="15.6" spans="1:25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45"/>
      <c r="Q13" s="45"/>
      <c r="R13" s="45"/>
      <c r="S13" s="45"/>
      <c r="T13" s="45"/>
      <c r="U13" s="66"/>
      <c r="V13" s="66"/>
      <c r="W13" s="66"/>
      <c r="X13" s="67"/>
      <c r="Y13" s="88"/>
    </row>
    <row r="14" ht="15.6" spans="1:25">
      <c r="A14" s="15"/>
      <c r="B14" s="16"/>
      <c r="C14" s="16"/>
      <c r="D14" s="16"/>
      <c r="E14" s="16"/>
      <c r="F14" s="16"/>
      <c r="G14" s="17" t="s">
        <v>64</v>
      </c>
      <c r="H14" s="18"/>
      <c r="I14" s="18"/>
      <c r="J14" s="16" t="s">
        <v>65</v>
      </c>
      <c r="K14" s="16"/>
      <c r="L14" s="16"/>
      <c r="M14" s="16" t="s">
        <v>66</v>
      </c>
      <c r="N14" s="16"/>
      <c r="O14" s="16"/>
      <c r="P14" s="45"/>
      <c r="Q14" s="45"/>
      <c r="R14" s="68"/>
      <c r="S14" s="45"/>
      <c r="T14" s="45"/>
      <c r="U14" s="45"/>
      <c r="V14" s="45"/>
      <c r="W14" s="45"/>
      <c r="X14" s="67"/>
      <c r="Y14" s="88"/>
    </row>
    <row r="15" ht="15.6" spans="1:25">
      <c r="A15" s="15" t="s">
        <v>67</v>
      </c>
      <c r="B15" s="16">
        <v>0.04</v>
      </c>
      <c r="C15" s="16"/>
      <c r="D15" s="19">
        <v>1.69</v>
      </c>
      <c r="E15" s="20"/>
      <c r="F15" s="21"/>
      <c r="G15" s="22"/>
      <c r="H15" s="22"/>
      <c r="I15" s="22"/>
      <c r="J15" s="22"/>
      <c r="K15" s="22"/>
      <c r="L15" s="22"/>
      <c r="M15" s="48"/>
      <c r="N15" s="23"/>
      <c r="O15" s="23"/>
      <c r="P15" s="49"/>
      <c r="Q15" s="69"/>
      <c r="R15" s="70"/>
      <c r="S15" s="71"/>
      <c r="T15" s="72"/>
      <c r="U15" s="71"/>
      <c r="V15" s="55"/>
      <c r="W15" s="73"/>
      <c r="X15" s="74"/>
      <c r="Y15" s="88"/>
    </row>
    <row r="16" ht="15.6" spans="1:25">
      <c r="A16" s="15" t="s">
        <v>68</v>
      </c>
      <c r="B16" s="23">
        <v>0</v>
      </c>
      <c r="C16" s="23"/>
      <c r="D16" s="19">
        <v>0</v>
      </c>
      <c r="E16" s="20"/>
      <c r="F16" s="21"/>
      <c r="G16" s="24">
        <v>0</v>
      </c>
      <c r="H16" s="24"/>
      <c r="I16" s="24"/>
      <c r="J16" s="24">
        <v>0</v>
      </c>
      <c r="K16" s="24"/>
      <c r="L16" s="24"/>
      <c r="M16" s="50">
        <f>AVERAGE(G16:L16)</f>
        <v>0</v>
      </c>
      <c r="N16" s="51">
        <f>M16/100</f>
        <v>0</v>
      </c>
      <c r="O16" s="51"/>
      <c r="P16" s="52">
        <f>B16</f>
        <v>0</v>
      </c>
      <c r="Q16" s="75">
        <f>N16</f>
        <v>0</v>
      </c>
      <c r="R16" s="70"/>
      <c r="S16" s="72"/>
      <c r="T16" s="72"/>
      <c r="U16" s="71"/>
      <c r="V16" s="55"/>
      <c r="W16" s="73"/>
      <c r="X16" s="73"/>
      <c r="Y16" s="88"/>
    </row>
    <row r="17" ht="15.6" spans="1:25">
      <c r="A17" s="15">
        <v>1</v>
      </c>
      <c r="B17" s="23">
        <v>0.04</v>
      </c>
      <c r="C17" s="23"/>
      <c r="D17" s="19">
        <v>1.69</v>
      </c>
      <c r="E17" s="20"/>
      <c r="F17" s="21"/>
      <c r="G17" s="24">
        <v>9</v>
      </c>
      <c r="H17" s="24"/>
      <c r="I17" s="24"/>
      <c r="J17" s="24">
        <v>11</v>
      </c>
      <c r="K17" s="24"/>
      <c r="L17" s="24"/>
      <c r="M17" s="50">
        <f t="shared" ref="M17:M26" si="0">AVERAGE(G17:L17)</f>
        <v>10</v>
      </c>
      <c r="N17" s="53">
        <f t="shared" ref="N17:N21" si="1">M17/100</f>
        <v>0.1</v>
      </c>
      <c r="O17" s="54"/>
      <c r="P17" s="52">
        <f t="shared" ref="P17:P21" si="2">B17</f>
        <v>0.04</v>
      </c>
      <c r="Q17" s="75">
        <f t="shared" ref="Q17:Q21" si="3">N17</f>
        <v>0.1</v>
      </c>
      <c r="R17" s="70"/>
      <c r="S17" s="72"/>
      <c r="T17" s="72"/>
      <c r="U17" s="71"/>
      <c r="V17" s="55"/>
      <c r="W17" s="73"/>
      <c r="X17" s="73"/>
      <c r="Y17" s="88"/>
    </row>
    <row r="18" ht="15.6" spans="1:25">
      <c r="A18" s="15">
        <v>2</v>
      </c>
      <c r="B18" s="23">
        <v>0.08</v>
      </c>
      <c r="C18" s="23"/>
      <c r="D18" s="19">
        <v>3.14</v>
      </c>
      <c r="E18" s="20"/>
      <c r="F18" s="21"/>
      <c r="G18" s="24">
        <v>22</v>
      </c>
      <c r="H18" s="24"/>
      <c r="I18" s="24"/>
      <c r="J18" s="24">
        <v>33</v>
      </c>
      <c r="K18" s="24"/>
      <c r="L18" s="24"/>
      <c r="M18" s="50">
        <f t="shared" si="0"/>
        <v>27.5</v>
      </c>
      <c r="N18" s="53">
        <f t="shared" si="1"/>
        <v>0.275</v>
      </c>
      <c r="O18" s="54"/>
      <c r="P18" s="52">
        <f t="shared" si="2"/>
        <v>0.08</v>
      </c>
      <c r="Q18" s="75">
        <f t="shared" si="3"/>
        <v>0.275</v>
      </c>
      <c r="R18" s="70"/>
      <c r="S18" s="72"/>
      <c r="T18" s="72"/>
      <c r="U18" s="71"/>
      <c r="V18" s="55"/>
      <c r="W18" s="73"/>
      <c r="X18" s="73"/>
      <c r="Y18" s="88"/>
    </row>
    <row r="19" ht="15.6" spans="1:25">
      <c r="A19" s="15">
        <v>3</v>
      </c>
      <c r="B19" s="23">
        <v>0.12</v>
      </c>
      <c r="C19" s="23"/>
      <c r="D19" s="19">
        <v>4.59</v>
      </c>
      <c r="E19" s="20"/>
      <c r="F19" s="21"/>
      <c r="G19" s="24">
        <v>34</v>
      </c>
      <c r="H19" s="24"/>
      <c r="I19" s="24"/>
      <c r="J19" s="24">
        <v>69</v>
      </c>
      <c r="K19" s="24"/>
      <c r="L19" s="24"/>
      <c r="M19" s="50">
        <f t="shared" si="0"/>
        <v>51.5</v>
      </c>
      <c r="N19" s="53">
        <f t="shared" si="1"/>
        <v>0.515</v>
      </c>
      <c r="O19" s="54"/>
      <c r="P19" s="52">
        <f t="shared" si="2"/>
        <v>0.12</v>
      </c>
      <c r="Q19" s="75">
        <f t="shared" si="3"/>
        <v>0.515</v>
      </c>
      <c r="R19" s="70"/>
      <c r="S19" s="72"/>
      <c r="T19" s="72"/>
      <c r="U19" s="71"/>
      <c r="V19" s="55"/>
      <c r="W19" s="73"/>
      <c r="X19" s="73"/>
      <c r="Y19" s="88"/>
    </row>
    <row r="20" ht="15.6" spans="1:25">
      <c r="A20" s="15">
        <v>4</v>
      </c>
      <c r="B20" s="23">
        <v>0.16</v>
      </c>
      <c r="C20" s="23"/>
      <c r="D20" s="19">
        <v>6.04</v>
      </c>
      <c r="E20" s="20"/>
      <c r="F20" s="21"/>
      <c r="G20" s="24">
        <v>51</v>
      </c>
      <c r="H20" s="24"/>
      <c r="I20" s="24"/>
      <c r="J20" s="24">
        <v>86</v>
      </c>
      <c r="K20" s="24"/>
      <c r="L20" s="24"/>
      <c r="M20" s="50">
        <f t="shared" si="0"/>
        <v>68.5</v>
      </c>
      <c r="N20" s="53">
        <f t="shared" si="1"/>
        <v>0.685</v>
      </c>
      <c r="O20" s="54"/>
      <c r="P20" s="52">
        <f t="shared" si="2"/>
        <v>0.16</v>
      </c>
      <c r="Q20" s="75">
        <f t="shared" si="3"/>
        <v>0.685</v>
      </c>
      <c r="R20" s="70"/>
      <c r="S20" s="72"/>
      <c r="T20" s="72"/>
      <c r="U20" s="71"/>
      <c r="V20" s="55"/>
      <c r="W20" s="73"/>
      <c r="X20" s="73"/>
      <c r="Y20" s="88"/>
    </row>
    <row r="21" ht="15.6" spans="1:25">
      <c r="A21" s="15">
        <v>5</v>
      </c>
      <c r="B21" s="23">
        <v>0.2</v>
      </c>
      <c r="C21" s="23"/>
      <c r="D21" s="25">
        <v>7.49</v>
      </c>
      <c r="E21" s="26"/>
      <c r="F21" s="27"/>
      <c r="G21" s="24">
        <v>55</v>
      </c>
      <c r="H21" s="24"/>
      <c r="I21" s="24"/>
      <c r="J21" s="24">
        <v>68</v>
      </c>
      <c r="K21" s="24"/>
      <c r="L21" s="24"/>
      <c r="M21" s="50">
        <f t="shared" si="0"/>
        <v>61.5</v>
      </c>
      <c r="N21" s="53">
        <f t="shared" si="1"/>
        <v>0.615</v>
      </c>
      <c r="O21" s="54"/>
      <c r="P21" s="52">
        <f t="shared" si="2"/>
        <v>0.2</v>
      </c>
      <c r="Q21" s="75">
        <f t="shared" si="3"/>
        <v>0.615</v>
      </c>
      <c r="R21" s="70"/>
      <c r="S21" s="72"/>
      <c r="T21" s="72"/>
      <c r="U21" s="71"/>
      <c r="V21" s="55"/>
      <c r="W21" s="73"/>
      <c r="X21" s="73"/>
      <c r="Y21" s="88"/>
    </row>
    <row r="22" ht="15.6" spans="1:25">
      <c r="A22" s="15">
        <v>6</v>
      </c>
      <c r="B22" s="23">
        <v>0.24</v>
      </c>
      <c r="C22" s="23"/>
      <c r="D22" s="19">
        <v>8.94</v>
      </c>
      <c r="E22" s="20"/>
      <c r="F22" s="21"/>
      <c r="G22" s="24">
        <v>81</v>
      </c>
      <c r="H22" s="24"/>
      <c r="I22" s="24"/>
      <c r="J22" s="24">
        <v>114</v>
      </c>
      <c r="K22" s="24"/>
      <c r="L22" s="24"/>
      <c r="M22" s="50">
        <f t="shared" si="0"/>
        <v>97.5</v>
      </c>
      <c r="N22" s="53">
        <f t="shared" ref="N22:N26" si="4">M22/100</f>
        <v>0.975</v>
      </c>
      <c r="O22" s="54"/>
      <c r="P22" s="55"/>
      <c r="Q22" s="69"/>
      <c r="R22" s="70"/>
      <c r="S22" s="72"/>
      <c r="T22" s="72"/>
      <c r="U22" s="71"/>
      <c r="V22" s="55"/>
      <c r="W22" s="73"/>
      <c r="X22" s="73"/>
      <c r="Y22" s="88"/>
    </row>
    <row r="23" ht="15" customHeight="1" spans="1:25">
      <c r="A23" s="15">
        <v>7</v>
      </c>
      <c r="B23" s="23">
        <v>0.28</v>
      </c>
      <c r="C23" s="23"/>
      <c r="D23" s="19">
        <v>10.39</v>
      </c>
      <c r="E23" s="20"/>
      <c r="F23" s="21"/>
      <c r="G23" s="24">
        <v>93</v>
      </c>
      <c r="H23" s="24"/>
      <c r="I23" s="24"/>
      <c r="J23" s="24">
        <v>124</v>
      </c>
      <c r="K23" s="24"/>
      <c r="L23" s="24"/>
      <c r="M23" s="50">
        <f t="shared" si="0"/>
        <v>108.5</v>
      </c>
      <c r="N23" s="53">
        <f t="shared" si="4"/>
        <v>1.085</v>
      </c>
      <c r="O23" s="54"/>
      <c r="P23" s="55"/>
      <c r="Q23" s="69"/>
      <c r="R23" s="70"/>
      <c r="S23" s="72"/>
      <c r="T23" s="72"/>
      <c r="U23" s="71"/>
      <c r="V23" s="55"/>
      <c r="W23" s="73"/>
      <c r="X23" s="73"/>
      <c r="Y23" s="88"/>
    </row>
    <row r="24" ht="15" customHeight="1" spans="1:25">
      <c r="A24" s="15">
        <v>8</v>
      </c>
      <c r="B24" s="23">
        <v>0.32</v>
      </c>
      <c r="C24" s="23"/>
      <c r="D24" s="19">
        <v>11.84</v>
      </c>
      <c r="E24" s="20"/>
      <c r="F24" s="21"/>
      <c r="G24" s="24">
        <v>106</v>
      </c>
      <c r="H24" s="24"/>
      <c r="I24" s="24"/>
      <c r="J24" s="24">
        <v>139</v>
      </c>
      <c r="K24" s="24"/>
      <c r="L24" s="24"/>
      <c r="M24" s="50">
        <f t="shared" si="0"/>
        <v>122.5</v>
      </c>
      <c r="N24" s="53">
        <f t="shared" si="4"/>
        <v>1.225</v>
      </c>
      <c r="O24" s="54"/>
      <c r="P24" s="55"/>
      <c r="Q24" s="69"/>
      <c r="R24" s="70"/>
      <c r="S24" s="72"/>
      <c r="T24" s="72"/>
      <c r="U24" s="71"/>
      <c r="V24" s="55"/>
      <c r="W24" s="73"/>
      <c r="X24" s="73"/>
      <c r="Y24" s="88"/>
    </row>
    <row r="25" ht="15" customHeight="1" spans="1:25">
      <c r="A25" s="15">
        <v>9</v>
      </c>
      <c r="B25" s="23">
        <v>0.36</v>
      </c>
      <c r="C25" s="23"/>
      <c r="D25" s="19">
        <v>13.29</v>
      </c>
      <c r="E25" s="20"/>
      <c r="F25" s="21"/>
      <c r="G25" s="24"/>
      <c r="H25" s="28"/>
      <c r="I25" s="28"/>
      <c r="J25" s="24"/>
      <c r="K25" s="24"/>
      <c r="L25" s="24"/>
      <c r="M25" s="50" t="e">
        <f t="shared" si="0"/>
        <v>#DIV/0!</v>
      </c>
      <c r="N25" s="53" t="e">
        <f t="shared" si="4"/>
        <v>#DIV/0!</v>
      </c>
      <c r="O25" s="54"/>
      <c r="P25" s="55"/>
      <c r="Q25" s="69"/>
      <c r="R25" s="70"/>
      <c r="S25" s="72"/>
      <c r="T25" s="72"/>
      <c r="U25" s="71"/>
      <c r="V25" s="55"/>
      <c r="W25" s="73"/>
      <c r="X25" s="73"/>
      <c r="Y25" s="88"/>
    </row>
    <row r="26" ht="15" customHeight="1" spans="1:27">
      <c r="A26" s="15">
        <v>10</v>
      </c>
      <c r="B26" s="23">
        <v>0.4</v>
      </c>
      <c r="C26" s="23"/>
      <c r="D26" s="29"/>
      <c r="E26" s="30"/>
      <c r="F26" s="31"/>
      <c r="G26" s="32"/>
      <c r="H26" s="33"/>
      <c r="I26" s="56"/>
      <c r="J26" s="57"/>
      <c r="K26" s="58"/>
      <c r="L26" s="58"/>
      <c r="M26" s="50"/>
      <c r="N26" s="53"/>
      <c r="O26" s="54"/>
      <c r="P26" s="55"/>
      <c r="Q26" s="76"/>
      <c r="R26" s="55"/>
      <c r="S26" s="55"/>
      <c r="T26" s="49"/>
      <c r="U26" s="45"/>
      <c r="V26" s="45"/>
      <c r="W26" s="45"/>
      <c r="X26" s="77"/>
      <c r="Y26" s="89"/>
      <c r="Z26" s="89"/>
      <c r="AA26" s="89"/>
    </row>
    <row r="27" ht="183" customHeight="1" spans="1:27">
      <c r="A27" s="34" t="s">
        <v>69</v>
      </c>
      <c r="B27" s="35"/>
      <c r="C27" s="35"/>
      <c r="D27" s="35"/>
      <c r="E27" s="35"/>
      <c r="F27" s="35"/>
      <c r="G27" s="35"/>
      <c r="H27" s="36"/>
      <c r="I27" s="36"/>
      <c r="J27" s="35"/>
      <c r="K27" s="35"/>
      <c r="L27" s="35"/>
      <c r="M27" s="35"/>
      <c r="N27" s="35"/>
      <c r="O27" s="59"/>
      <c r="P27" s="45"/>
      <c r="Q27" s="45"/>
      <c r="R27" s="78"/>
      <c r="S27" s="79"/>
      <c r="T27" s="45"/>
      <c r="U27" s="45"/>
      <c r="V27" s="45"/>
      <c r="W27" s="45"/>
      <c r="X27" s="77"/>
      <c r="Y27" s="89"/>
      <c r="Z27" s="89"/>
      <c r="AA27" s="89"/>
    </row>
    <row r="28" ht="15.6" spans="1:25">
      <c r="A28" s="37" t="s">
        <v>70</v>
      </c>
      <c r="B28" s="18"/>
      <c r="C28" s="18"/>
      <c r="D28" s="18"/>
      <c r="E28" s="38">
        <f>((-(INDEX(LINEST(N17:N21,B17:B21),2)))+1.25)/(INDEX(LINEST(N17:N21,B17:B21),1))</f>
        <v>0.345555555555556</v>
      </c>
      <c r="F28" s="38"/>
      <c r="G28" s="39" t="s">
        <v>71</v>
      </c>
      <c r="H28" s="39"/>
      <c r="I28" s="60" t="s">
        <v>72</v>
      </c>
      <c r="J28" s="60"/>
      <c r="K28" s="60"/>
      <c r="L28" s="60"/>
      <c r="M28" s="61">
        <f>(E28/1.25)*1000</f>
        <v>276.444444444445</v>
      </c>
      <c r="N28" s="62" t="s">
        <v>73</v>
      </c>
      <c r="O28" s="63"/>
      <c r="P28" s="64"/>
      <c r="Q28" s="80"/>
      <c r="R28" s="80"/>
      <c r="S28" s="45"/>
      <c r="T28" s="45"/>
      <c r="U28" s="66"/>
      <c r="V28" s="66"/>
      <c r="W28" s="66"/>
      <c r="X28" s="81"/>
      <c r="Y28" s="88"/>
    </row>
    <row r="29" ht="15.6" spans="1:25">
      <c r="A29" s="34" t="s">
        <v>74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64"/>
      <c r="Q29" s="45"/>
      <c r="R29" s="68"/>
      <c r="S29" s="45"/>
      <c r="T29" s="45"/>
      <c r="U29" s="66"/>
      <c r="V29" s="66"/>
      <c r="W29" s="66"/>
      <c r="X29" s="81"/>
      <c r="Y29" s="88"/>
    </row>
    <row r="30" ht="15.6" spans="1:25">
      <c r="A30" s="8" t="s">
        <v>75</v>
      </c>
      <c r="B30" s="40"/>
      <c r="C30" s="40"/>
      <c r="D30" s="40"/>
      <c r="E30" s="41"/>
      <c r="F30" s="42" t="s">
        <v>76</v>
      </c>
      <c r="G30" s="42"/>
      <c r="H30" s="40"/>
      <c r="I30" s="40"/>
      <c r="J30" s="40"/>
      <c r="K30" s="41"/>
      <c r="L30" s="8" t="s">
        <v>77</v>
      </c>
      <c r="M30" s="40"/>
      <c r="N30" s="40"/>
      <c r="O30" s="40"/>
      <c r="P30" s="64"/>
      <c r="Q30" s="45"/>
      <c r="R30" s="68"/>
      <c r="S30" s="45"/>
      <c r="T30" s="45"/>
      <c r="U30" s="66"/>
      <c r="V30" s="66"/>
      <c r="W30" s="66"/>
      <c r="X30" s="81"/>
      <c r="Y30" s="88"/>
    </row>
    <row r="31" ht="15.6" spans="1:2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64"/>
      <c r="Q31" s="45"/>
      <c r="R31" s="68"/>
      <c r="S31" s="45"/>
      <c r="T31" s="45"/>
      <c r="U31" s="82"/>
      <c r="V31" s="82"/>
      <c r="W31" s="82"/>
      <c r="X31" s="83"/>
      <c r="Y31" s="88"/>
    </row>
    <row r="32" ht="15.6" spans="1: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64"/>
      <c r="Q32" s="45"/>
      <c r="R32" s="68"/>
      <c r="S32" s="45"/>
      <c r="T32" s="45"/>
      <c r="U32" s="82"/>
      <c r="V32" s="82"/>
      <c r="W32" s="82"/>
      <c r="X32" s="83"/>
      <c r="Y32" s="88"/>
    </row>
    <row r="33" ht="15" customHeight="1" spans="16:25">
      <c r="P33" s="65"/>
      <c r="Q33" s="84">
        <v>1.69</v>
      </c>
      <c r="R33" s="68"/>
      <c r="S33" s="84"/>
      <c r="T33" s="84"/>
      <c r="U33" s="85"/>
      <c r="V33" s="85"/>
      <c r="W33" s="85"/>
      <c r="X33" s="86"/>
      <c r="Y33" s="88"/>
    </row>
    <row r="34" ht="15" customHeight="1" spans="16:25">
      <c r="P34" s="65"/>
      <c r="Q34" s="84">
        <v>0</v>
      </c>
      <c r="R34" s="68"/>
      <c r="S34" s="84"/>
      <c r="T34" s="84"/>
      <c r="U34" s="85"/>
      <c r="V34" s="85"/>
      <c r="W34" s="85"/>
      <c r="X34" s="86"/>
      <c r="Y34" s="88"/>
    </row>
    <row r="35" spans="16:23">
      <c r="P35" s="65"/>
      <c r="Q35" s="84">
        <v>1.69</v>
      </c>
      <c r="R35" s="84"/>
      <c r="S35" s="84"/>
      <c r="T35" s="84"/>
      <c r="U35" s="87"/>
      <c r="V35" s="87"/>
      <c r="W35" s="87"/>
    </row>
    <row r="36" spans="16:23">
      <c r="P36" s="65"/>
      <c r="Q36" s="84">
        <v>3.14</v>
      </c>
      <c r="R36" s="84"/>
      <c r="S36" s="84"/>
      <c r="T36" s="84"/>
      <c r="U36" s="87"/>
      <c r="V36" s="87"/>
      <c r="W36" s="87"/>
    </row>
    <row r="37" spans="16:23">
      <c r="P37" s="65"/>
      <c r="Q37" s="84">
        <v>4.59</v>
      </c>
      <c r="R37" s="84"/>
      <c r="S37" s="84"/>
      <c r="T37" s="84"/>
      <c r="U37" s="87"/>
      <c r="V37" s="87"/>
      <c r="W37" s="87"/>
    </row>
    <row r="38" spans="16:23">
      <c r="P38" s="65"/>
      <c r="Q38" s="84">
        <v>6.04</v>
      </c>
      <c r="R38" s="84"/>
      <c r="S38" s="84"/>
      <c r="T38" s="84"/>
      <c r="U38" s="87"/>
      <c r="V38" s="87"/>
      <c r="W38" s="87"/>
    </row>
    <row r="39" spans="16:23">
      <c r="P39" s="65"/>
      <c r="Q39" s="84">
        <v>6.77</v>
      </c>
      <c r="R39" s="84"/>
      <c r="S39" s="84"/>
      <c r="T39" s="84"/>
      <c r="U39" s="87"/>
      <c r="V39" s="87"/>
      <c r="W39" s="87"/>
    </row>
    <row r="40" spans="16:23">
      <c r="P40" s="65"/>
      <c r="Q40" s="84">
        <v>7.49</v>
      </c>
      <c r="R40" s="84"/>
      <c r="S40" s="84"/>
      <c r="T40" s="84"/>
      <c r="U40" s="87"/>
      <c r="V40" s="87"/>
      <c r="W40" s="87"/>
    </row>
    <row r="41" spans="17:23">
      <c r="Q41" s="87">
        <v>8.94</v>
      </c>
      <c r="R41" s="87"/>
      <c r="S41" s="87"/>
      <c r="T41" s="87"/>
      <c r="U41" s="87"/>
      <c r="V41" s="87"/>
      <c r="W41" s="87"/>
    </row>
    <row r="42" spans="17:23">
      <c r="Q42" s="87">
        <v>10.39</v>
      </c>
      <c r="R42" s="87"/>
      <c r="S42" s="87"/>
      <c r="T42" s="87"/>
      <c r="U42" s="87"/>
      <c r="V42" s="87"/>
      <c r="W42" s="87"/>
    </row>
    <row r="43" spans="17:23">
      <c r="Q43" s="87">
        <v>11.84</v>
      </c>
      <c r="R43" s="87"/>
      <c r="S43" s="87"/>
      <c r="T43" s="87"/>
      <c r="U43" s="87"/>
      <c r="V43" s="87"/>
      <c r="W43" s="87"/>
    </row>
    <row r="44" spans="17:23">
      <c r="Q44" s="87">
        <f>Q36-Q35+Q43</f>
        <v>13.29</v>
      </c>
      <c r="R44" s="87"/>
      <c r="S44" s="87"/>
      <c r="T44" s="87"/>
      <c r="U44" s="87"/>
      <c r="V44" s="87"/>
      <c r="W44" s="87"/>
    </row>
    <row r="45" spans="17:23">
      <c r="Q45" s="87"/>
      <c r="R45" s="87"/>
      <c r="S45" s="87"/>
      <c r="T45" s="87"/>
      <c r="U45" s="87"/>
      <c r="V45" s="87"/>
      <c r="W45" s="87"/>
    </row>
    <row r="46" spans="17:23">
      <c r="Q46" s="87"/>
      <c r="R46" s="87"/>
      <c r="S46" s="87"/>
      <c r="T46" s="87"/>
      <c r="U46" s="87"/>
      <c r="V46" s="87"/>
      <c r="W46" s="87"/>
    </row>
  </sheetData>
  <mergeCells count="112">
    <mergeCell ref="A1:O1"/>
    <mergeCell ref="B2:G2"/>
    <mergeCell ref="H2:I2"/>
    <mergeCell ref="J2:O2"/>
    <mergeCell ref="B3:G3"/>
    <mergeCell ref="H3:I3"/>
    <mergeCell ref="J3:O3"/>
    <mergeCell ref="B4:G4"/>
    <mergeCell ref="H4:I4"/>
    <mergeCell ref="J4:O4"/>
    <mergeCell ref="B5:G5"/>
    <mergeCell ref="H5:I5"/>
    <mergeCell ref="J5:O5"/>
    <mergeCell ref="C7:E7"/>
    <mergeCell ref="F7:G7"/>
    <mergeCell ref="H7:I7"/>
    <mergeCell ref="J7:K7"/>
    <mergeCell ref="N7:O7"/>
    <mergeCell ref="C8:E8"/>
    <mergeCell ref="F8:G8"/>
    <mergeCell ref="H8:I8"/>
    <mergeCell ref="J8:K8"/>
    <mergeCell ref="C9:E9"/>
    <mergeCell ref="F9:G9"/>
    <mergeCell ref="H9:I9"/>
    <mergeCell ref="J9:K9"/>
    <mergeCell ref="A10:B10"/>
    <mergeCell ref="C10:G10"/>
    <mergeCell ref="H10:K10"/>
    <mergeCell ref="L10:O10"/>
    <mergeCell ref="A11:O11"/>
    <mergeCell ref="G14:I14"/>
    <mergeCell ref="J14:L14"/>
    <mergeCell ref="B15:C15"/>
    <mergeCell ref="D15:F15"/>
    <mergeCell ref="G15:I15"/>
    <mergeCell ref="J15:L15"/>
    <mergeCell ref="N15:O15"/>
    <mergeCell ref="B16:C16"/>
    <mergeCell ref="D16:F16"/>
    <mergeCell ref="G16:I16"/>
    <mergeCell ref="J16:L16"/>
    <mergeCell ref="N16:O16"/>
    <mergeCell ref="B17:C17"/>
    <mergeCell ref="D17:F17"/>
    <mergeCell ref="G17:I17"/>
    <mergeCell ref="J17:L17"/>
    <mergeCell ref="N17:O17"/>
    <mergeCell ref="B18:C18"/>
    <mergeCell ref="D18:F18"/>
    <mergeCell ref="G18:I18"/>
    <mergeCell ref="J18:L18"/>
    <mergeCell ref="N18:O18"/>
    <mergeCell ref="B19:C19"/>
    <mergeCell ref="D19:F19"/>
    <mergeCell ref="G19:I19"/>
    <mergeCell ref="J19:L19"/>
    <mergeCell ref="N19:O19"/>
    <mergeCell ref="B20:C20"/>
    <mergeCell ref="D20:F20"/>
    <mergeCell ref="G20:I20"/>
    <mergeCell ref="J20:L20"/>
    <mergeCell ref="N20:O20"/>
    <mergeCell ref="B21:C21"/>
    <mergeCell ref="D21:F21"/>
    <mergeCell ref="G21:I21"/>
    <mergeCell ref="J21:L21"/>
    <mergeCell ref="N21:O21"/>
    <mergeCell ref="B22:C22"/>
    <mergeCell ref="D22:F22"/>
    <mergeCell ref="G22:I22"/>
    <mergeCell ref="J22:L22"/>
    <mergeCell ref="N22:O22"/>
    <mergeCell ref="B23:C23"/>
    <mergeCell ref="D23:F23"/>
    <mergeCell ref="G23:I23"/>
    <mergeCell ref="J23:L23"/>
    <mergeCell ref="N23:O23"/>
    <mergeCell ref="B24:C24"/>
    <mergeCell ref="D24:F24"/>
    <mergeCell ref="G24:I24"/>
    <mergeCell ref="J24:L24"/>
    <mergeCell ref="N24:O24"/>
    <mergeCell ref="B25:C25"/>
    <mergeCell ref="D25:F25"/>
    <mergeCell ref="G25:I25"/>
    <mergeCell ref="J25:L25"/>
    <mergeCell ref="N25:O25"/>
    <mergeCell ref="B26:C26"/>
    <mergeCell ref="D26:F26"/>
    <mergeCell ref="G26:I26"/>
    <mergeCell ref="J26:L26"/>
    <mergeCell ref="N26:O26"/>
    <mergeCell ref="A27:O27"/>
    <mergeCell ref="A28:D28"/>
    <mergeCell ref="E28:F28"/>
    <mergeCell ref="G28:H28"/>
    <mergeCell ref="I28:L28"/>
    <mergeCell ref="N28:O28"/>
    <mergeCell ref="A29:O29"/>
    <mergeCell ref="B30:D30"/>
    <mergeCell ref="F30:G30"/>
    <mergeCell ref="H30:J30"/>
    <mergeCell ref="M30:O30"/>
    <mergeCell ref="A12:A14"/>
    <mergeCell ref="M8:M9"/>
    <mergeCell ref="B12:C14"/>
    <mergeCell ref="N12:O14"/>
    <mergeCell ref="N8:O9"/>
    <mergeCell ref="A7:B9"/>
    <mergeCell ref="D12:F14"/>
    <mergeCell ref="G12:M13"/>
  </mergeCells>
  <pageMargins left="0" right="0" top="0" bottom="0" header="0" footer="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G31"/>
  <sheetViews>
    <sheetView topLeftCell="A4" workbookViewId="0">
      <selection activeCell="K22" sqref="K22"/>
    </sheetView>
  </sheetViews>
  <sheetFormatPr defaultColWidth="9" defaultRowHeight="13.8" outlineLevelCol="6"/>
  <sheetData>
    <row r="7" spans="3:4">
      <c r="C7" s="1" t="s">
        <v>78</v>
      </c>
      <c r="D7" s="1" t="s">
        <v>79</v>
      </c>
    </row>
    <row r="8" spans="3:4">
      <c r="C8">
        <v>0.01</v>
      </c>
      <c r="D8" s="2">
        <f>37.735*C8+0.107</f>
        <v>0.48435</v>
      </c>
    </row>
    <row r="9" spans="3:7">
      <c r="C9" s="1">
        <v>0.04</v>
      </c>
      <c r="D9" s="2">
        <f>37.735*C9+0.107</f>
        <v>1.6164</v>
      </c>
      <c r="E9">
        <v>2</v>
      </c>
      <c r="F9">
        <v>0.15</v>
      </c>
      <c r="G9">
        <v>0</v>
      </c>
    </row>
    <row r="10" spans="3:6">
      <c r="C10" s="1">
        <v>0.08</v>
      </c>
      <c r="D10" s="2">
        <f t="shared" ref="D10:D18" si="0">37.735*C10+0.107</f>
        <v>3.1258</v>
      </c>
      <c r="E10">
        <v>4</v>
      </c>
      <c r="F10">
        <v>0.21</v>
      </c>
    </row>
    <row r="11" spans="3:6">
      <c r="C11" s="1">
        <v>0.12</v>
      </c>
      <c r="D11" s="2">
        <f t="shared" si="0"/>
        <v>4.6352</v>
      </c>
      <c r="E11">
        <v>6</v>
      </c>
      <c r="F11">
        <v>0.27</v>
      </c>
    </row>
    <row r="12" spans="3:6">
      <c r="C12" s="1">
        <v>0.16</v>
      </c>
      <c r="D12" s="2">
        <f t="shared" si="0"/>
        <v>6.1446</v>
      </c>
      <c r="E12">
        <v>8</v>
      </c>
      <c r="F12">
        <v>0.32</v>
      </c>
    </row>
    <row r="13" spans="3:6">
      <c r="C13" s="1">
        <v>0.2</v>
      </c>
      <c r="D13" s="2">
        <f t="shared" si="0"/>
        <v>7.654</v>
      </c>
      <c r="E13">
        <v>10</v>
      </c>
      <c r="F13">
        <v>0.37</v>
      </c>
    </row>
    <row r="14" spans="3:6">
      <c r="C14" s="1">
        <v>0.24</v>
      </c>
      <c r="D14" s="2">
        <f t="shared" si="0"/>
        <v>9.1634</v>
      </c>
      <c r="E14">
        <v>12</v>
      </c>
      <c r="F14">
        <v>0.43</v>
      </c>
    </row>
    <row r="15" spans="3:6">
      <c r="C15" s="1">
        <v>0.28</v>
      </c>
      <c r="D15" s="2">
        <f t="shared" si="0"/>
        <v>10.6728</v>
      </c>
      <c r="E15">
        <v>14</v>
      </c>
      <c r="F15">
        <v>0.49</v>
      </c>
    </row>
    <row r="16" spans="3:6">
      <c r="C16" s="1">
        <v>0.32</v>
      </c>
      <c r="D16" s="2">
        <f t="shared" si="0"/>
        <v>12.1822</v>
      </c>
      <c r="E16">
        <v>16</v>
      </c>
      <c r="F16">
        <v>0.54</v>
      </c>
    </row>
    <row r="17" spans="3:6">
      <c r="C17" s="1">
        <v>0.36</v>
      </c>
      <c r="D17" s="2">
        <f t="shared" si="0"/>
        <v>13.6916</v>
      </c>
      <c r="E17">
        <v>18</v>
      </c>
      <c r="F17">
        <v>0.6</v>
      </c>
    </row>
    <row r="18" spans="3:6">
      <c r="C18" s="1">
        <v>0.4</v>
      </c>
      <c r="D18" s="2">
        <f t="shared" si="0"/>
        <v>15.201</v>
      </c>
      <c r="E18">
        <v>20</v>
      </c>
      <c r="F18">
        <v>0.65</v>
      </c>
    </row>
    <row r="19" spans="5:6">
      <c r="E19">
        <v>22</v>
      </c>
      <c r="F19">
        <v>0.71</v>
      </c>
    </row>
    <row r="22" spans="2:6">
      <c r="B22" s="2">
        <v>1.6164</v>
      </c>
      <c r="C22" s="2"/>
      <c r="D22" s="2"/>
      <c r="E22" s="3"/>
      <c r="F22" s="3"/>
    </row>
    <row r="23" spans="2:6">
      <c r="B23" s="2">
        <v>3.1258</v>
      </c>
      <c r="C23" s="2"/>
      <c r="D23" s="2">
        <v>2.6164</v>
      </c>
      <c r="E23" s="3"/>
      <c r="F23" s="3"/>
    </row>
    <row r="24" spans="2:6">
      <c r="B24" s="2">
        <v>4.6352</v>
      </c>
      <c r="C24" s="2"/>
      <c r="D24" s="2">
        <v>3.6164</v>
      </c>
      <c r="E24" s="3"/>
      <c r="F24" s="3"/>
    </row>
    <row r="25" spans="2:6">
      <c r="B25" s="2">
        <v>6.1446</v>
      </c>
      <c r="C25" s="2"/>
      <c r="D25" s="2">
        <v>4.6164</v>
      </c>
      <c r="E25" s="3"/>
      <c r="F25" s="3"/>
    </row>
    <row r="26" spans="2:6">
      <c r="B26" s="2">
        <v>7.654</v>
      </c>
      <c r="C26" s="2"/>
      <c r="D26" s="2">
        <v>5.6164</v>
      </c>
      <c r="E26" s="3"/>
      <c r="F26" s="3"/>
    </row>
    <row r="27" spans="2:6">
      <c r="B27" s="2">
        <v>9.1634</v>
      </c>
      <c r="C27" s="2"/>
      <c r="D27" s="2">
        <v>6.6164</v>
      </c>
      <c r="E27" s="3"/>
      <c r="F27" s="3"/>
    </row>
    <row r="28" spans="2:6">
      <c r="B28" s="2">
        <v>10.6728</v>
      </c>
      <c r="C28" s="2"/>
      <c r="D28" s="2">
        <v>7.6164</v>
      </c>
      <c r="E28" s="3"/>
      <c r="F28" s="3"/>
    </row>
    <row r="29" spans="2:6">
      <c r="B29" s="2">
        <v>12.1822</v>
      </c>
      <c r="C29" s="2"/>
      <c r="D29" s="2">
        <v>8.6164</v>
      </c>
      <c r="E29" s="3"/>
      <c r="F29" s="3"/>
    </row>
    <row r="30" spans="2:6">
      <c r="B30" s="2">
        <v>13.6916</v>
      </c>
      <c r="C30" s="2"/>
      <c r="D30" s="2">
        <v>9.6164</v>
      </c>
      <c r="E30" s="3"/>
      <c r="F30" s="3"/>
    </row>
    <row r="31" spans="2:6">
      <c r="B31" s="2">
        <v>15.201</v>
      </c>
      <c r="C31" s="2"/>
      <c r="D31" s="2">
        <v>10.6164</v>
      </c>
      <c r="E31" s="3"/>
      <c r="F31" s="3"/>
    </row>
  </sheetData>
  <mergeCells count="10"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平行检测台帐</vt:lpstr>
      <vt:lpstr>压实密度</vt:lpstr>
      <vt:lpstr>三架队K30</vt:lpstr>
      <vt:lpstr>一架队K30</vt:lpstr>
      <vt:lpstr>油压表回归曲线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asus</cp:lastModifiedBy>
  <dcterms:created xsi:type="dcterms:W3CDTF">2008-09-11T09:22:00Z</dcterms:created>
  <dcterms:modified xsi:type="dcterms:W3CDTF">2020-08-28T01:29:25Z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