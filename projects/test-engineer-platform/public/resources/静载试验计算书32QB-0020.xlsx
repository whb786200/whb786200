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wmf" ContentType="image/x-wmf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583" windowHeight="9840" firstSheet="2" activeTab="6"/>
  </bookViews>
  <sheets>
    <sheet name="加载计算书" sheetId="1" r:id="rId1"/>
    <sheet name="加载记录表" sheetId="2" r:id="rId2"/>
    <sheet name="加载时间记录表" sheetId="3" r:id="rId3"/>
    <sheet name="加载挠度记录表" sheetId="4" r:id="rId4"/>
    <sheet name="加载挠度记录表 (整理后的)" sheetId="5" r:id="rId5"/>
    <sheet name="试验报告" sheetId="6" r:id="rId6"/>
    <sheet name="传感器、千斤顶分布" sheetId="7" r:id="rId7"/>
  </sheets>
  <externalReferences>
    <externalReference r:id="rId8"/>
  </externalReferences>
  <calcPr calcId="144525"/>
</workbook>
</file>

<file path=xl/sharedStrings.xml><?xml version="1.0" encoding="utf-8"?>
<sst xmlns="http://schemas.openxmlformats.org/spreadsheetml/2006/main" count="361" uniqueCount="210">
  <si>
    <t>北京中铁房山桥梁有限公司龙口制梁场</t>
  </si>
  <si>
    <r>
      <rPr>
        <b/>
        <sz val="16"/>
        <rFont val="宋体"/>
        <charset val="134"/>
      </rPr>
      <t>静</t>
    </r>
    <r>
      <rPr>
        <b/>
        <sz val="16"/>
        <rFont val="Times New Roman"/>
        <charset val="134"/>
      </rPr>
      <t xml:space="preserve">   </t>
    </r>
    <r>
      <rPr>
        <b/>
        <sz val="16"/>
        <rFont val="宋体"/>
        <charset val="134"/>
      </rPr>
      <t>载</t>
    </r>
    <r>
      <rPr>
        <b/>
        <sz val="16"/>
        <rFont val="Times New Roman"/>
        <charset val="134"/>
      </rPr>
      <t xml:space="preserve">   </t>
    </r>
    <r>
      <rPr>
        <b/>
        <sz val="16"/>
        <rFont val="宋体"/>
        <charset val="134"/>
      </rPr>
      <t>试</t>
    </r>
    <r>
      <rPr>
        <b/>
        <sz val="16"/>
        <rFont val="Times New Roman"/>
        <charset val="134"/>
      </rPr>
      <t xml:space="preserve">   </t>
    </r>
    <r>
      <rPr>
        <b/>
        <sz val="16"/>
        <rFont val="宋体"/>
        <charset val="134"/>
      </rPr>
      <t>验</t>
    </r>
    <r>
      <rPr>
        <b/>
        <sz val="16"/>
        <rFont val="Times New Roman"/>
        <charset val="134"/>
      </rPr>
      <t xml:space="preserve">   </t>
    </r>
    <r>
      <rPr>
        <b/>
        <sz val="16"/>
        <rFont val="宋体"/>
        <charset val="134"/>
      </rPr>
      <t>计</t>
    </r>
    <r>
      <rPr>
        <b/>
        <sz val="16"/>
        <rFont val="Times New Roman"/>
        <charset val="134"/>
      </rPr>
      <t xml:space="preserve">   </t>
    </r>
    <r>
      <rPr>
        <b/>
        <sz val="16"/>
        <rFont val="宋体"/>
        <charset val="134"/>
      </rPr>
      <t>算</t>
    </r>
    <r>
      <rPr>
        <b/>
        <sz val="16"/>
        <rFont val="Times New Roman"/>
        <charset val="134"/>
      </rPr>
      <t xml:space="preserve">   </t>
    </r>
    <r>
      <rPr>
        <b/>
        <sz val="16"/>
        <rFont val="宋体"/>
        <charset val="134"/>
      </rPr>
      <t>书</t>
    </r>
  </si>
  <si>
    <t>一、</t>
  </si>
  <si>
    <t>试验原因</t>
  </si>
  <si>
    <t>实地核查</t>
  </si>
  <si>
    <t>二、</t>
  </si>
  <si>
    <t>试验梁基本数据表</t>
  </si>
  <si>
    <t>试验梁号</t>
  </si>
  <si>
    <t>FL32QB-0020</t>
  </si>
  <si>
    <t>设计图号</t>
  </si>
  <si>
    <r>
      <rPr>
        <sz val="12"/>
        <rFont val="宋体"/>
        <charset val="134"/>
      </rPr>
      <t>通桥（20</t>
    </r>
    <r>
      <rPr>
        <sz val="12"/>
        <rFont val="宋体"/>
        <charset val="134"/>
      </rPr>
      <t>12</t>
    </r>
    <r>
      <rPr>
        <sz val="12"/>
        <rFont val="宋体"/>
        <charset val="134"/>
      </rPr>
      <t>）2101-Ⅰ</t>
    </r>
  </si>
  <si>
    <r>
      <rPr>
        <sz val="12"/>
        <rFont val="宋体"/>
        <charset val="134"/>
      </rPr>
      <t>跨度</t>
    </r>
    <r>
      <rPr>
        <sz val="12"/>
        <rFont val="Times New Roman"/>
        <charset val="134"/>
      </rPr>
      <t>(m)</t>
    </r>
  </si>
  <si>
    <r>
      <rPr>
        <sz val="12"/>
        <rFont val="宋体"/>
        <charset val="134"/>
      </rPr>
      <t>设计混凝土强度</t>
    </r>
    <r>
      <rPr>
        <sz val="12"/>
        <rFont val="Times New Roman"/>
        <charset val="134"/>
      </rPr>
      <t>(MPa)</t>
    </r>
  </si>
  <si>
    <t>C55</t>
  </si>
  <si>
    <r>
      <rPr>
        <sz val="12"/>
        <rFont val="宋体"/>
        <charset val="134"/>
      </rPr>
      <t>设计弹性模量</t>
    </r>
    <r>
      <rPr>
        <sz val="12"/>
        <rFont val="Times New Roman"/>
        <charset val="134"/>
      </rPr>
      <t>(GPa)</t>
    </r>
  </si>
  <si>
    <t>混凝土灌注时间</t>
  </si>
  <si>
    <t>2014.10.27</t>
  </si>
  <si>
    <t>终张拉时间</t>
  </si>
  <si>
    <t>2014.11.16</t>
  </si>
  <si>
    <t>静载试验时间</t>
  </si>
  <si>
    <t>2014.12.24</t>
  </si>
  <si>
    <t>终张－静载试验的天数</t>
  </si>
  <si>
    <t>三、</t>
  </si>
  <si>
    <t>设计院提供静载试验参数</t>
  </si>
  <si>
    <r>
      <rPr>
        <sz val="12"/>
        <rFont val="宋体"/>
        <charset val="134"/>
      </rPr>
      <t>跨度</t>
    </r>
    <r>
      <rPr>
        <sz val="12"/>
        <rFont val="Times New Roman"/>
        <charset val="134"/>
      </rPr>
      <t>L(m)</t>
    </r>
  </si>
  <si>
    <r>
      <rPr>
        <sz val="12"/>
        <rFont val="宋体"/>
        <charset val="134"/>
      </rPr>
      <t>梁体质量对跨中的弯矩</t>
    </r>
    <r>
      <rPr>
        <sz val="12"/>
        <rFont val="Times New Roman"/>
        <charset val="134"/>
      </rPr>
      <t>Mz(kN.m)</t>
    </r>
  </si>
  <si>
    <r>
      <rPr>
        <sz val="12"/>
        <rFont val="宋体"/>
        <charset val="134"/>
      </rPr>
      <t>道渣线路设备质量对跨中弯矩</t>
    </r>
    <r>
      <rPr>
        <sz val="12"/>
        <rFont val="Times New Roman"/>
        <charset val="134"/>
      </rPr>
      <t>Md(kN.m)</t>
    </r>
  </si>
  <si>
    <r>
      <rPr>
        <sz val="12"/>
        <rFont val="宋体"/>
        <charset val="134"/>
      </rPr>
      <t>防水层质量对跨中的弯矩</t>
    </r>
    <r>
      <rPr>
        <sz val="12"/>
        <rFont val="Times New Roman"/>
        <charset val="134"/>
      </rPr>
      <t>Mf(kN.m)</t>
    </r>
  </si>
  <si>
    <r>
      <rPr>
        <sz val="12"/>
        <rFont val="宋体"/>
        <charset val="134"/>
      </rPr>
      <t>活载对跨中的弯矩</t>
    </r>
    <r>
      <rPr>
        <sz val="12"/>
        <rFont val="Times New Roman"/>
        <charset val="134"/>
      </rPr>
      <t>Mh(kN.m)</t>
    </r>
  </si>
  <si>
    <r>
      <rPr>
        <sz val="12"/>
        <rFont val="宋体"/>
        <charset val="134"/>
      </rPr>
      <t>冲击系数</t>
    </r>
    <r>
      <rPr>
        <sz val="12"/>
        <rFont val="Times New Roman"/>
        <charset val="134"/>
      </rPr>
      <t>1</t>
    </r>
    <r>
      <rPr>
        <sz val="12"/>
        <rFont val="宋体"/>
        <charset val="134"/>
      </rPr>
      <t>＋μ</t>
    </r>
  </si>
  <si>
    <r>
      <rPr>
        <sz val="12"/>
        <rFont val="宋体"/>
        <charset val="134"/>
      </rPr>
      <t>跨中换算截面面积</t>
    </r>
    <r>
      <rPr>
        <sz val="12"/>
        <rFont val="Times New Roman"/>
        <charset val="134"/>
      </rPr>
      <t>A0(m2)</t>
    </r>
  </si>
  <si>
    <r>
      <rPr>
        <sz val="12"/>
        <rFont val="宋体"/>
        <charset val="134"/>
      </rPr>
      <t>对跨中截面下边缘换算截面抵抗矩</t>
    </r>
    <r>
      <rPr>
        <sz val="12"/>
        <rFont val="Times New Roman"/>
        <charset val="134"/>
      </rPr>
      <t>W0(m3)</t>
    </r>
  </si>
  <si>
    <r>
      <rPr>
        <sz val="12"/>
        <rFont val="宋体"/>
        <charset val="134"/>
      </rPr>
      <t>预应力钢束面积</t>
    </r>
    <r>
      <rPr>
        <sz val="12"/>
        <rFont val="Times New Roman"/>
        <charset val="134"/>
      </rPr>
      <t>Ay(m2)</t>
    </r>
  </si>
  <si>
    <r>
      <rPr>
        <sz val="12"/>
        <rFont val="宋体"/>
        <charset val="134"/>
      </rPr>
      <t>预应力合力中心至换算截面重心轴的距离</t>
    </r>
    <r>
      <rPr>
        <sz val="12"/>
        <rFont val="Times New Roman"/>
        <charset val="134"/>
      </rPr>
      <t>e0(m)</t>
    </r>
  </si>
  <si>
    <r>
      <rPr>
        <sz val="12"/>
        <rFont val="宋体"/>
        <charset val="134"/>
      </rPr>
      <t>收缩、徐变损失σ</t>
    </r>
    <r>
      <rPr>
        <vertAlign val="subscript"/>
        <sz val="12"/>
        <rFont val="宋体"/>
        <charset val="134"/>
      </rPr>
      <t>L6</t>
    </r>
    <r>
      <rPr>
        <sz val="12"/>
        <rFont val="Times New Roman"/>
        <charset val="134"/>
      </rPr>
      <t>(MPa)</t>
    </r>
  </si>
  <si>
    <r>
      <rPr>
        <sz val="12"/>
        <rFont val="宋体"/>
        <charset val="134"/>
      </rPr>
      <t>钢束松弛损失σ</t>
    </r>
    <r>
      <rPr>
        <vertAlign val="subscript"/>
        <sz val="12"/>
        <rFont val="宋体"/>
        <charset val="134"/>
      </rPr>
      <t>L5</t>
    </r>
    <r>
      <rPr>
        <sz val="12"/>
        <rFont val="Times New Roman"/>
        <charset val="134"/>
      </rPr>
      <t>(MPa)</t>
    </r>
  </si>
  <si>
    <r>
      <rPr>
        <sz val="12"/>
        <rFont val="宋体"/>
        <charset val="134"/>
      </rPr>
      <t>设计挠跨比</t>
    </r>
    <r>
      <rPr>
        <sz val="12"/>
        <rFont val="Times New Roman"/>
        <charset val="134"/>
      </rPr>
      <t>f/L</t>
    </r>
  </si>
  <si>
    <t>1/1892</t>
  </si>
  <si>
    <r>
      <rPr>
        <sz val="12"/>
        <rFont val="宋体"/>
        <charset val="134"/>
      </rPr>
      <t>设计抗裂安全系数</t>
    </r>
    <r>
      <rPr>
        <sz val="12"/>
        <rFont val="Times New Roman"/>
        <charset val="134"/>
      </rPr>
      <t>kf</t>
    </r>
  </si>
  <si>
    <t xml:space="preserve">   P             P</t>
  </si>
  <si>
    <t xml:space="preserve"> P          P</t>
  </si>
  <si>
    <t xml:space="preserve">  P             </t>
  </si>
  <si>
    <t>加载图示</t>
  </si>
  <si>
    <t>四、</t>
  </si>
  <si>
    <t>计算相关系数α</t>
  </si>
  <si>
    <t>R=5P/2</t>
  </si>
  <si>
    <r>
      <rPr>
        <sz val="12"/>
        <rFont val="Times New Roman"/>
        <charset val="134"/>
      </rPr>
      <t>M1=R</t>
    </r>
    <r>
      <rPr>
        <sz val="12"/>
        <rFont val="宋体"/>
        <charset val="134"/>
      </rPr>
      <t>×</t>
    </r>
    <r>
      <rPr>
        <sz val="12"/>
        <rFont val="Times New Roman"/>
        <charset val="134"/>
      </rPr>
      <t xml:space="preserve">L/2=5P/2×32/2=40P    </t>
    </r>
  </si>
  <si>
    <r>
      <rPr>
        <sz val="12"/>
        <rFont val="Times New Roman"/>
        <charset val="134"/>
      </rPr>
      <t>M=</t>
    </r>
    <r>
      <rPr>
        <sz val="12"/>
        <rFont val="宋体"/>
        <charset val="134"/>
      </rPr>
      <t>∑</t>
    </r>
    <r>
      <rPr>
        <sz val="12"/>
        <rFont val="Times New Roman"/>
        <charset val="134"/>
      </rPr>
      <t>PiXi=M1-8P-4P=28P</t>
    </r>
  </si>
  <si>
    <r>
      <rPr>
        <sz val="12"/>
        <rFont val="宋体"/>
        <charset val="134"/>
      </rPr>
      <t>得α</t>
    </r>
    <r>
      <rPr>
        <sz val="12"/>
        <rFont val="Times New Roman"/>
        <charset val="134"/>
      </rPr>
      <t xml:space="preserve">= </t>
    </r>
  </si>
  <si>
    <t>五、</t>
  </si>
  <si>
    <r>
      <rPr>
        <b/>
        <sz val="12"/>
        <rFont val="宋体"/>
        <charset val="134"/>
      </rPr>
      <t>计算未完成应力损失的补偿弯矩Δ</t>
    </r>
    <r>
      <rPr>
        <b/>
        <sz val="12"/>
        <rFont val="Times New Roman"/>
        <charset val="134"/>
      </rPr>
      <t>M</t>
    </r>
    <r>
      <rPr>
        <b/>
        <vertAlign val="subscript"/>
        <sz val="12"/>
        <rFont val="Times New Roman"/>
        <charset val="134"/>
      </rPr>
      <t>S</t>
    </r>
  </si>
  <si>
    <r>
      <rPr>
        <sz val="12"/>
        <rFont val="宋体"/>
        <charset val="134"/>
      </rPr>
      <t>根据梁体基本数据表中终张</t>
    </r>
    <r>
      <rPr>
        <sz val="12"/>
        <rFont val="Times New Roman"/>
        <charset val="134"/>
      </rPr>
      <t>-</t>
    </r>
    <r>
      <rPr>
        <sz val="12"/>
        <rFont val="宋体"/>
        <charset val="134"/>
      </rPr>
      <t>加载时间的天数，</t>
    </r>
  </si>
  <si>
    <t>查《预制后张法预应力混凝土简支梁静载试验方法》附录，</t>
  </si>
  <si>
    <r>
      <rPr>
        <sz val="12"/>
        <rFont val="宋体"/>
        <charset val="134"/>
      </rPr>
      <t>查得η</t>
    </r>
    <r>
      <rPr>
        <vertAlign val="subscript"/>
        <sz val="12"/>
        <rFont val="Times New Roman"/>
        <charset val="134"/>
      </rPr>
      <t>1</t>
    </r>
    <r>
      <rPr>
        <sz val="12"/>
        <rFont val="宋体"/>
        <charset val="134"/>
      </rPr>
      <t>、η</t>
    </r>
    <r>
      <rPr>
        <vertAlign val="subscript"/>
        <sz val="12"/>
        <rFont val="Times New Roman"/>
        <charset val="134"/>
      </rPr>
      <t>2</t>
    </r>
    <r>
      <rPr>
        <sz val="12"/>
        <rFont val="宋体"/>
        <charset val="134"/>
      </rPr>
      <t>，并按下列公式Δσ</t>
    </r>
    <r>
      <rPr>
        <vertAlign val="subscript"/>
        <sz val="12"/>
        <rFont val="Times New Roman"/>
        <charset val="134"/>
      </rPr>
      <t>S</t>
    </r>
    <r>
      <rPr>
        <sz val="12"/>
        <rFont val="宋体"/>
        <charset val="134"/>
      </rPr>
      <t>、Δ</t>
    </r>
    <r>
      <rPr>
        <sz val="12"/>
        <rFont val="Times New Roman"/>
        <charset val="134"/>
      </rPr>
      <t>M</t>
    </r>
    <r>
      <rPr>
        <vertAlign val="subscript"/>
        <sz val="12"/>
        <rFont val="Times New Roman"/>
        <charset val="134"/>
      </rPr>
      <t>S</t>
    </r>
    <r>
      <rPr>
        <sz val="12"/>
        <rFont val="宋体"/>
        <charset val="134"/>
      </rPr>
      <t>；</t>
    </r>
  </si>
  <si>
    <t>η1=</t>
  </si>
  <si>
    <t>η2=</t>
  </si>
  <si>
    <t>六、</t>
  </si>
  <si>
    <r>
      <rPr>
        <b/>
        <sz val="12"/>
        <rFont val="宋体"/>
        <charset val="134"/>
      </rPr>
      <t>Δσ</t>
    </r>
    <r>
      <rPr>
        <b/>
        <vertAlign val="subscript"/>
        <sz val="12"/>
        <rFont val="Times New Roman"/>
        <charset val="134"/>
      </rPr>
      <t xml:space="preserve">S  </t>
    </r>
    <r>
      <rPr>
        <b/>
        <sz val="12"/>
        <rFont val="Times New Roman"/>
        <charset val="134"/>
      </rPr>
      <t>=</t>
    </r>
    <r>
      <rPr>
        <b/>
        <sz val="12"/>
        <rFont val="宋体"/>
        <charset val="134"/>
      </rPr>
      <t>（</t>
    </r>
    <r>
      <rPr>
        <b/>
        <sz val="12"/>
        <rFont val="Times New Roman"/>
        <charset val="134"/>
      </rPr>
      <t>1-</t>
    </r>
    <r>
      <rPr>
        <b/>
        <sz val="12"/>
        <rFont val="宋体"/>
        <charset val="134"/>
      </rPr>
      <t>η</t>
    </r>
    <r>
      <rPr>
        <b/>
        <vertAlign val="subscript"/>
        <sz val="12"/>
        <rFont val="Times New Roman"/>
        <charset val="134"/>
      </rPr>
      <t>1</t>
    </r>
    <r>
      <rPr>
        <b/>
        <sz val="12"/>
        <rFont val="宋体"/>
        <charset val="134"/>
      </rPr>
      <t>）σ</t>
    </r>
    <r>
      <rPr>
        <b/>
        <vertAlign val="subscript"/>
        <sz val="12"/>
        <rFont val="Times New Roman"/>
        <charset val="134"/>
      </rPr>
      <t>L6</t>
    </r>
    <r>
      <rPr>
        <b/>
        <sz val="12"/>
        <rFont val="Times New Roman"/>
        <charset val="134"/>
      </rPr>
      <t>+</t>
    </r>
    <r>
      <rPr>
        <b/>
        <sz val="12"/>
        <rFont val="宋体"/>
        <charset val="134"/>
      </rPr>
      <t>（</t>
    </r>
    <r>
      <rPr>
        <b/>
        <sz val="12"/>
        <rFont val="Times New Roman"/>
        <charset val="134"/>
      </rPr>
      <t>1-</t>
    </r>
    <r>
      <rPr>
        <b/>
        <sz val="12"/>
        <rFont val="宋体"/>
        <charset val="134"/>
      </rPr>
      <t>η</t>
    </r>
    <r>
      <rPr>
        <b/>
        <vertAlign val="subscript"/>
        <sz val="12"/>
        <rFont val="Times New Roman"/>
        <charset val="134"/>
      </rPr>
      <t>2</t>
    </r>
    <r>
      <rPr>
        <b/>
        <sz val="12"/>
        <rFont val="宋体"/>
        <charset val="134"/>
      </rPr>
      <t>）σ</t>
    </r>
    <r>
      <rPr>
        <b/>
        <vertAlign val="subscript"/>
        <sz val="12"/>
        <rFont val="Times New Roman"/>
        <charset val="134"/>
      </rPr>
      <t>L5</t>
    </r>
  </si>
  <si>
    <t xml:space="preserve">     =</t>
  </si>
  <si>
    <t>(1-0.424)*162.93+(1-0.973684211)*11.94</t>
  </si>
  <si>
    <r>
      <rPr>
        <b/>
        <sz val="12"/>
        <rFont val="宋体"/>
        <charset val="134"/>
      </rPr>
      <t>Δ</t>
    </r>
    <r>
      <rPr>
        <b/>
        <sz val="12"/>
        <rFont val="Times New Roman"/>
        <charset val="134"/>
      </rPr>
      <t>M</t>
    </r>
    <r>
      <rPr>
        <b/>
        <vertAlign val="subscript"/>
        <sz val="12"/>
        <rFont val="Times New Roman"/>
        <charset val="134"/>
      </rPr>
      <t>S</t>
    </r>
    <r>
      <rPr>
        <b/>
        <sz val="12"/>
        <rFont val="Times New Roman"/>
        <charset val="134"/>
      </rPr>
      <t xml:space="preserve"> =</t>
    </r>
    <r>
      <rPr>
        <b/>
        <sz val="12"/>
        <rFont val="宋体"/>
        <charset val="134"/>
      </rPr>
      <t>Δσ</t>
    </r>
    <r>
      <rPr>
        <b/>
        <vertAlign val="subscript"/>
        <sz val="12"/>
        <rFont val="Times New Roman"/>
        <charset val="134"/>
      </rPr>
      <t>S</t>
    </r>
    <r>
      <rPr>
        <b/>
        <sz val="12"/>
        <rFont val="宋体"/>
        <charset val="134"/>
      </rPr>
      <t>×</t>
    </r>
    <r>
      <rPr>
        <b/>
        <sz val="12"/>
        <rFont val="Times New Roman"/>
        <charset val="134"/>
      </rPr>
      <t>A</t>
    </r>
    <r>
      <rPr>
        <b/>
        <vertAlign val="subscript"/>
        <sz val="12"/>
        <rFont val="Times New Roman"/>
        <charset val="134"/>
      </rPr>
      <t>y</t>
    </r>
    <r>
      <rPr>
        <b/>
        <sz val="12"/>
        <rFont val="宋体"/>
        <charset val="134"/>
      </rPr>
      <t>×（</t>
    </r>
    <r>
      <rPr>
        <b/>
        <sz val="12"/>
        <rFont val="Times New Roman"/>
        <charset val="134"/>
      </rPr>
      <t>W</t>
    </r>
    <r>
      <rPr>
        <b/>
        <vertAlign val="subscript"/>
        <sz val="12"/>
        <rFont val="Times New Roman"/>
        <charset val="134"/>
      </rPr>
      <t>0</t>
    </r>
    <r>
      <rPr>
        <b/>
        <sz val="12"/>
        <rFont val="Times New Roman"/>
        <charset val="134"/>
      </rPr>
      <t>/A</t>
    </r>
    <r>
      <rPr>
        <b/>
        <vertAlign val="subscript"/>
        <sz val="12"/>
        <rFont val="Times New Roman"/>
        <charset val="134"/>
      </rPr>
      <t>0</t>
    </r>
    <r>
      <rPr>
        <b/>
        <sz val="12"/>
        <rFont val="Times New Roman"/>
        <charset val="134"/>
      </rPr>
      <t>+e</t>
    </r>
    <r>
      <rPr>
        <b/>
        <vertAlign val="subscript"/>
        <sz val="12"/>
        <rFont val="Times New Roman"/>
        <charset val="134"/>
      </rPr>
      <t>0</t>
    </r>
    <r>
      <rPr>
        <b/>
        <sz val="12"/>
        <rFont val="宋体"/>
        <charset val="134"/>
      </rPr>
      <t>）×</t>
    </r>
    <r>
      <rPr>
        <b/>
        <sz val="12"/>
        <rFont val="Times New Roman"/>
        <charset val="134"/>
      </rPr>
      <t>10</t>
    </r>
    <r>
      <rPr>
        <b/>
        <vertAlign val="superscript"/>
        <sz val="12"/>
        <rFont val="Times New Roman"/>
        <charset val="134"/>
      </rPr>
      <t>3</t>
    </r>
  </si>
  <si>
    <t>94.16*0.01218*(0.848094/1.33642+1.1108)*1000</t>
  </si>
  <si>
    <t>梁号</t>
  </si>
  <si>
    <t>计算天数</t>
  </si>
  <si>
    <r>
      <rPr>
        <sz val="12"/>
        <rFont val="宋体"/>
        <charset val="134"/>
      </rPr>
      <t>η</t>
    </r>
    <r>
      <rPr>
        <sz val="12"/>
        <rFont val="Times New Roman"/>
        <charset val="134"/>
      </rPr>
      <t>1</t>
    </r>
  </si>
  <si>
    <r>
      <rPr>
        <sz val="12"/>
        <rFont val="宋体"/>
        <charset val="134"/>
      </rPr>
      <t>η</t>
    </r>
    <r>
      <rPr>
        <sz val="12"/>
        <rFont val="Times New Roman"/>
        <charset val="134"/>
      </rPr>
      <t>2</t>
    </r>
  </si>
  <si>
    <r>
      <rPr>
        <sz val="12"/>
        <rFont val="宋体"/>
        <charset val="134"/>
      </rPr>
      <t>Δσ</t>
    </r>
    <r>
      <rPr>
        <sz val="12"/>
        <rFont val="Times New Roman"/>
        <charset val="134"/>
      </rPr>
      <t>S</t>
    </r>
    <r>
      <rPr>
        <sz val="12"/>
        <rFont val="宋体"/>
        <charset val="134"/>
      </rPr>
      <t>（</t>
    </r>
    <r>
      <rPr>
        <sz val="12"/>
        <rFont val="Times New Roman"/>
        <charset val="134"/>
      </rPr>
      <t>MPa</t>
    </r>
    <r>
      <rPr>
        <sz val="12"/>
        <rFont val="宋体"/>
        <charset val="134"/>
      </rPr>
      <t>）</t>
    </r>
  </si>
  <si>
    <r>
      <rPr>
        <sz val="12"/>
        <rFont val="宋体"/>
        <charset val="134"/>
      </rPr>
      <t>Δ</t>
    </r>
    <r>
      <rPr>
        <sz val="12"/>
        <rFont val="Times New Roman"/>
        <charset val="134"/>
      </rPr>
      <t>MS</t>
    </r>
    <r>
      <rPr>
        <sz val="12"/>
        <rFont val="宋体"/>
        <charset val="134"/>
      </rPr>
      <t>（</t>
    </r>
    <r>
      <rPr>
        <sz val="12"/>
        <rFont val="Times New Roman"/>
        <charset val="134"/>
      </rPr>
      <t>kN</t>
    </r>
    <r>
      <rPr>
        <sz val="12"/>
        <rFont val="宋体"/>
        <charset val="134"/>
      </rPr>
      <t>·</t>
    </r>
    <r>
      <rPr>
        <sz val="12"/>
        <rFont val="Times New Roman"/>
        <charset val="134"/>
      </rPr>
      <t>m</t>
    </r>
    <r>
      <rPr>
        <sz val="12"/>
        <rFont val="宋体"/>
        <charset val="134"/>
      </rPr>
      <t>）</t>
    </r>
  </si>
  <si>
    <t>七、</t>
  </si>
  <si>
    <r>
      <rPr>
        <b/>
        <sz val="12"/>
        <rFont val="宋体"/>
        <charset val="134"/>
      </rPr>
      <t>加载设备对跨中产生的弯矩</t>
    </r>
    <r>
      <rPr>
        <b/>
        <sz val="12"/>
        <rFont val="Times New Roman"/>
        <charset val="134"/>
      </rPr>
      <t>Ms</t>
    </r>
  </si>
  <si>
    <r>
      <rPr>
        <sz val="12"/>
        <rFont val="宋体"/>
        <charset val="134"/>
      </rPr>
      <t>跨中3个载点重量</t>
    </r>
    <r>
      <rPr>
        <sz val="12"/>
        <rFont val="Times New Roman"/>
        <charset val="134"/>
      </rPr>
      <t>N=4.0147kN,</t>
    </r>
    <r>
      <rPr>
        <sz val="12"/>
        <rFont val="宋体"/>
        <charset val="134"/>
      </rPr>
      <t>两端每个加载点重量N=4.8847（按照每个250t千斤顶</t>
    </r>
    <r>
      <rPr>
        <sz val="12"/>
        <rFont val="Times New Roman"/>
        <charset val="134"/>
      </rPr>
      <t>0.263t</t>
    </r>
    <r>
      <rPr>
        <sz val="12"/>
        <rFont val="宋体"/>
        <charset val="134"/>
      </rPr>
      <t>；</t>
    </r>
    <r>
      <rPr>
        <sz val="12"/>
        <rFont val="Times New Roman"/>
        <charset val="134"/>
      </rPr>
      <t>350t</t>
    </r>
    <r>
      <rPr>
        <sz val="12"/>
        <rFont val="宋体"/>
        <charset val="134"/>
      </rPr>
      <t>千斤顶重0.35t重；钢板</t>
    </r>
    <r>
      <rPr>
        <sz val="12"/>
        <rFont val="Times New Roman"/>
        <charset val="134"/>
      </rPr>
      <t>0.5*0.5*0.19625=0.049t</t>
    </r>
    <r>
      <rPr>
        <sz val="12"/>
        <rFont val="宋体"/>
        <charset val="134"/>
      </rPr>
      <t>；砂</t>
    </r>
    <r>
      <rPr>
        <sz val="12"/>
        <rFont val="Times New Roman"/>
        <charset val="134"/>
      </rPr>
      <t>0.6*0.6*0.04*1.5=0.022t</t>
    </r>
    <r>
      <rPr>
        <sz val="12"/>
        <rFont val="宋体"/>
        <charset val="134"/>
      </rPr>
      <t>，锚具</t>
    </r>
    <r>
      <rPr>
        <sz val="12"/>
        <rFont val="Times New Roman"/>
        <charset val="134"/>
      </rPr>
      <t>2</t>
    </r>
    <r>
      <rPr>
        <sz val="12"/>
        <rFont val="宋体"/>
        <charset val="134"/>
      </rPr>
      <t>个</t>
    </r>
    <r>
      <rPr>
        <sz val="12"/>
        <rFont val="Times New Roman"/>
        <charset val="134"/>
      </rPr>
      <t>9.07*2/1000=0.06349t</t>
    </r>
    <r>
      <rPr>
        <sz val="12"/>
        <rFont val="宋体"/>
        <charset val="134"/>
      </rPr>
      <t>；传感器</t>
    </r>
    <r>
      <rPr>
        <sz val="12"/>
        <rFont val="Times New Roman"/>
        <charset val="134"/>
      </rPr>
      <t>0.00398t</t>
    </r>
    <r>
      <rPr>
        <sz val="12"/>
        <rFont val="宋体"/>
        <charset val="134"/>
      </rPr>
      <t>，总重为</t>
    </r>
    <r>
      <rPr>
        <sz val="12"/>
        <rFont val="Times New Roman"/>
        <charset val="134"/>
      </rPr>
      <t>3.2947kN</t>
    </r>
    <r>
      <rPr>
        <sz val="12"/>
        <rFont val="宋体"/>
        <charset val="134"/>
      </rPr>
      <t>）平均每个顶0.3t,砂子0.05t，铁板：0.015t,锚具：0.06349t；传感器0.00398，平均每个点重：3.75329KN</t>
    </r>
  </si>
  <si>
    <t xml:space="preserve">Ms   =   </t>
  </si>
  <si>
    <t>5N/2*32/2-8N-4N</t>
  </si>
  <si>
    <t xml:space="preserve">        =   </t>
  </si>
  <si>
    <t>kN·m</t>
  </si>
  <si>
    <t>八、</t>
  </si>
  <si>
    <t>计算各级加载的跨中弯矩和荷载值</t>
  </si>
  <si>
    <t>防水层已铺</t>
  </si>
  <si>
    <r>
      <rPr>
        <sz val="12"/>
        <rFont val="Times New Roman"/>
        <charset val="134"/>
      </rPr>
      <t>Mka =Md+</t>
    </r>
    <r>
      <rPr>
        <sz val="12"/>
        <rFont val="宋体"/>
        <charset val="134"/>
      </rPr>
      <t>Δ</t>
    </r>
    <r>
      <rPr>
        <sz val="12"/>
        <rFont val="Times New Roman"/>
        <charset val="134"/>
      </rPr>
      <t>M</t>
    </r>
    <r>
      <rPr>
        <vertAlign val="subscript"/>
        <sz val="12"/>
        <rFont val="Times New Roman"/>
        <charset val="134"/>
      </rPr>
      <t>S</t>
    </r>
    <r>
      <rPr>
        <sz val="12"/>
        <rFont val="Times New Roman"/>
        <charset val="134"/>
      </rPr>
      <t xml:space="preserve"> –Ms</t>
    </r>
  </si>
  <si>
    <r>
      <rPr>
        <sz val="12"/>
        <rFont val="Times New Roman"/>
        <charset val="134"/>
      </rPr>
      <t>Mk  =K(M</t>
    </r>
    <r>
      <rPr>
        <vertAlign val="subscript"/>
        <sz val="12"/>
        <rFont val="Times New Roman"/>
        <charset val="134"/>
      </rPr>
      <t>z</t>
    </r>
    <r>
      <rPr>
        <sz val="12"/>
        <rFont val="Times New Roman"/>
        <charset val="134"/>
      </rPr>
      <t>+Md+Mh+Mf)+</t>
    </r>
    <r>
      <rPr>
        <sz val="12"/>
        <rFont val="宋体"/>
        <charset val="134"/>
      </rPr>
      <t xml:space="preserve"> Δ</t>
    </r>
    <r>
      <rPr>
        <sz val="12"/>
        <rFont val="Times New Roman"/>
        <charset val="134"/>
      </rPr>
      <t>M</t>
    </r>
    <r>
      <rPr>
        <vertAlign val="subscript"/>
        <sz val="12"/>
        <rFont val="Times New Roman"/>
        <charset val="134"/>
      </rPr>
      <t>S</t>
    </r>
    <r>
      <rPr>
        <sz val="12"/>
        <rFont val="Times New Roman"/>
        <charset val="134"/>
      </rPr>
      <t xml:space="preserve"> -Mz -Ms-Mf</t>
    </r>
  </si>
  <si>
    <t xml:space="preserve">        = K*   </t>
  </si>
  <si>
    <r>
      <rPr>
        <sz val="12"/>
        <rFont val="宋体"/>
        <charset val="134"/>
      </rPr>
      <t>其中，</t>
    </r>
    <r>
      <rPr>
        <sz val="12"/>
        <rFont val="Times New Roman"/>
        <charset val="134"/>
      </rPr>
      <t>K=0.6</t>
    </r>
    <r>
      <rPr>
        <sz val="12"/>
        <rFont val="宋体"/>
        <charset val="134"/>
      </rPr>
      <t>、</t>
    </r>
    <r>
      <rPr>
        <sz val="12"/>
        <rFont val="Times New Roman"/>
        <charset val="134"/>
      </rPr>
      <t>0.8</t>
    </r>
    <r>
      <rPr>
        <sz val="12"/>
        <rFont val="宋体"/>
        <charset val="134"/>
      </rPr>
      <t>、</t>
    </r>
    <r>
      <rPr>
        <sz val="12"/>
        <rFont val="Times New Roman"/>
        <charset val="134"/>
      </rPr>
      <t>kb</t>
    </r>
    <r>
      <rPr>
        <sz val="12"/>
        <rFont val="宋体"/>
        <charset val="134"/>
      </rPr>
      <t>、</t>
    </r>
    <r>
      <rPr>
        <sz val="12"/>
        <rFont val="Times New Roman"/>
        <charset val="134"/>
      </rPr>
      <t>1.0</t>
    </r>
    <r>
      <rPr>
        <sz val="12"/>
        <rFont val="宋体"/>
        <charset val="134"/>
      </rPr>
      <t>、</t>
    </r>
    <r>
      <rPr>
        <sz val="12"/>
        <rFont val="Times New Roman"/>
        <charset val="134"/>
      </rPr>
      <t>1.05</t>
    </r>
    <r>
      <rPr>
        <sz val="12"/>
        <rFont val="宋体"/>
        <charset val="134"/>
      </rPr>
      <t>、</t>
    </r>
    <r>
      <rPr>
        <sz val="12"/>
        <rFont val="Times New Roman"/>
        <charset val="134"/>
      </rPr>
      <t>1.1</t>
    </r>
    <r>
      <rPr>
        <sz val="12"/>
        <rFont val="宋体"/>
        <charset val="134"/>
      </rPr>
      <t>、</t>
    </r>
    <r>
      <rPr>
        <sz val="12"/>
        <rFont val="Times New Roman"/>
        <charset val="134"/>
      </rPr>
      <t>1.15</t>
    </r>
    <r>
      <rPr>
        <sz val="12"/>
        <rFont val="宋体"/>
        <charset val="134"/>
      </rPr>
      <t>、</t>
    </r>
    <r>
      <rPr>
        <sz val="12"/>
        <rFont val="Times New Roman"/>
        <charset val="134"/>
      </rPr>
      <t>1.2</t>
    </r>
  </si>
  <si>
    <r>
      <rPr>
        <sz val="12"/>
        <rFont val="Times New Roman"/>
        <charset val="134"/>
      </rPr>
      <t>Kb   =[Mh/(1+</t>
    </r>
    <r>
      <rPr>
        <sz val="12"/>
        <rFont val="宋体"/>
        <charset val="134"/>
      </rPr>
      <t>μ</t>
    </r>
    <r>
      <rPr>
        <sz val="12"/>
        <rFont val="Times New Roman"/>
        <charset val="134"/>
      </rPr>
      <t>)+Md+Mf+Mz]/( Mh +Md+Mf+Mz)</t>
    </r>
  </si>
  <si>
    <t>各级加载的弯矩值和荷载值</t>
  </si>
  <si>
    <t>由步骤四可知：</t>
  </si>
  <si>
    <t>P=M/28</t>
  </si>
  <si>
    <t>级别</t>
  </si>
  <si>
    <r>
      <rPr>
        <sz val="12"/>
        <rFont val="宋体"/>
        <charset val="134"/>
      </rPr>
      <t>加载弯矩</t>
    </r>
    <r>
      <rPr>
        <sz val="12"/>
        <rFont val="Times New Roman"/>
        <charset val="134"/>
      </rPr>
      <t>M</t>
    </r>
    <r>
      <rPr>
        <sz val="12"/>
        <rFont val="宋体"/>
        <charset val="134"/>
      </rPr>
      <t>（</t>
    </r>
    <r>
      <rPr>
        <sz val="12"/>
        <rFont val="Times New Roman"/>
        <charset val="134"/>
      </rPr>
      <t>kN</t>
    </r>
    <r>
      <rPr>
        <sz val="12"/>
        <rFont val="宋体"/>
        <charset val="134"/>
      </rPr>
      <t>·</t>
    </r>
    <r>
      <rPr>
        <sz val="12"/>
        <rFont val="Times New Roman"/>
        <charset val="134"/>
      </rPr>
      <t>m</t>
    </r>
    <r>
      <rPr>
        <sz val="12"/>
        <rFont val="宋体"/>
        <charset val="134"/>
      </rPr>
      <t>）</t>
    </r>
  </si>
  <si>
    <r>
      <rPr>
        <sz val="12"/>
        <rFont val="宋体"/>
        <charset val="134"/>
      </rPr>
      <t>荷载</t>
    </r>
    <r>
      <rPr>
        <sz val="12"/>
        <rFont val="Times New Roman"/>
        <charset val="134"/>
      </rPr>
      <t>P</t>
    </r>
    <r>
      <rPr>
        <sz val="12"/>
        <rFont val="宋体"/>
        <charset val="134"/>
      </rPr>
      <t>（</t>
    </r>
    <r>
      <rPr>
        <sz val="12"/>
        <rFont val="Times New Roman"/>
        <charset val="134"/>
      </rPr>
      <t>kN</t>
    </r>
    <r>
      <rPr>
        <sz val="12"/>
        <rFont val="宋体"/>
        <charset val="134"/>
      </rPr>
      <t>）</t>
    </r>
  </si>
  <si>
    <t>ka</t>
  </si>
  <si>
    <t xml:space="preserve">kb </t>
  </si>
  <si>
    <t>1.00</t>
  </si>
  <si>
    <t>1.10</t>
  </si>
  <si>
    <t>1.20</t>
  </si>
  <si>
    <t>注：本梁已铺防水层，按已铺防水层加载。</t>
  </si>
  <si>
    <r>
      <rPr>
        <sz val="12"/>
        <rFont val="宋体"/>
        <charset val="134"/>
      </rPr>
      <t>计算：</t>
    </r>
    <r>
      <rPr>
        <sz val="12"/>
        <rFont val="Times New Roman"/>
        <charset val="134"/>
      </rPr>
      <t xml:space="preserve">                                         </t>
    </r>
    <r>
      <rPr>
        <sz val="12"/>
        <rFont val="宋体"/>
        <charset val="134"/>
      </rPr>
      <t>复核：</t>
    </r>
  </si>
  <si>
    <t>静载试验加载记录表</t>
  </si>
  <si>
    <r>
      <rPr>
        <sz val="11"/>
        <rFont val="宋体"/>
        <charset val="134"/>
      </rPr>
      <t>跨</t>
    </r>
    <r>
      <rPr>
        <sz val="11"/>
        <rFont val="Times New Roman"/>
        <charset val="134"/>
      </rPr>
      <t xml:space="preserve">      </t>
    </r>
    <r>
      <rPr>
        <sz val="11"/>
        <rFont val="宋体"/>
        <charset val="134"/>
      </rPr>
      <t>度</t>
    </r>
    <r>
      <rPr>
        <sz val="11"/>
        <rFont val="Times New Roman"/>
        <charset val="134"/>
      </rPr>
      <t xml:space="preserve">                      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</t>
    </r>
    <r>
      <rPr>
        <sz val="11"/>
        <rFont val="宋体"/>
        <charset val="134"/>
      </rPr>
      <t>）</t>
    </r>
  </si>
  <si>
    <r>
      <rPr>
        <sz val="11"/>
        <rFont val="宋体"/>
        <charset val="134"/>
      </rPr>
      <t>梁</t>
    </r>
    <r>
      <rPr>
        <sz val="11"/>
        <rFont val="Times New Roman"/>
        <charset val="134"/>
      </rPr>
      <t xml:space="preserve">        </t>
    </r>
    <r>
      <rPr>
        <sz val="11"/>
        <rFont val="宋体"/>
        <charset val="134"/>
      </rPr>
      <t>别</t>
    </r>
  </si>
  <si>
    <t>直线边梁</t>
  </si>
  <si>
    <t>试验日期</t>
  </si>
  <si>
    <t>量测仪表</t>
  </si>
  <si>
    <t>百分表</t>
  </si>
  <si>
    <t>梁内外侧</t>
  </si>
  <si>
    <t xml:space="preserve">    侧</t>
  </si>
  <si>
    <t>加
载
情
况</t>
  </si>
  <si>
    <t>阶段</t>
  </si>
  <si>
    <t>第一加载循环</t>
  </si>
  <si>
    <t>第二加载循环</t>
  </si>
  <si>
    <t>加载等级 K</t>
  </si>
  <si>
    <t>初始  状态</t>
  </si>
  <si>
    <r>
      <rPr>
        <sz val="11"/>
        <rFont val="宋体"/>
        <charset val="134"/>
      </rPr>
      <t>加载值</t>
    </r>
    <r>
      <rPr>
        <sz val="11"/>
        <rFont val="Times New Roman"/>
        <charset val="134"/>
      </rPr>
      <t xml:space="preserve"> Pk  (kN)</t>
    </r>
  </si>
  <si>
    <t>实际持荷时间</t>
  </si>
  <si>
    <t>读数仪标定计算值</t>
  </si>
  <si>
    <t>读数仪实际值</t>
  </si>
  <si>
    <t>-</t>
  </si>
  <si>
    <t>附注</t>
  </si>
  <si>
    <r>
      <rPr>
        <sz val="11"/>
        <rFont val="Times New Roman"/>
        <charset val="134"/>
      </rPr>
      <t xml:space="preserve">                 #</t>
    </r>
    <r>
      <rPr>
        <sz val="11"/>
        <rFont val="宋体"/>
        <charset val="134"/>
      </rPr>
      <t>传感器</t>
    </r>
  </si>
  <si>
    <t>企业名称</t>
  </si>
  <si>
    <t>操作者</t>
  </si>
  <si>
    <t>计算者</t>
  </si>
  <si>
    <t>复核者</t>
  </si>
  <si>
    <t>检验单位名称</t>
  </si>
  <si>
    <t>中铁十四局集团</t>
  </si>
  <si>
    <t>现场监视人</t>
  </si>
  <si>
    <t>签认日期</t>
  </si>
  <si>
    <t>静载试验加载时间记录表</t>
  </si>
  <si>
    <t>试验阶段</t>
  </si>
  <si>
    <t>Ka</t>
  </si>
  <si>
    <t>Kb</t>
  </si>
  <si>
    <t>`1.20</t>
  </si>
  <si>
    <t>持荷开始时刻</t>
  </si>
  <si>
    <t>持荷结束时刻</t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</si>
  <si>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各加载级间</t>
    </r>
    <r>
      <rPr>
        <sz val="11"/>
        <rFont val="Times New Roman"/>
        <charset val="134"/>
      </rPr>
      <t>1.00</t>
    </r>
    <r>
      <rPr>
        <sz val="11"/>
        <rFont val="宋体"/>
        <charset val="134"/>
      </rPr>
      <t>级以前持荷</t>
    </r>
    <r>
      <rPr>
        <sz val="11"/>
        <rFont val="Times New Roman"/>
        <charset val="134"/>
      </rPr>
      <t>3min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1.00</t>
    </r>
    <r>
      <rPr>
        <sz val="11"/>
        <rFont val="宋体"/>
        <charset val="134"/>
      </rPr>
      <t>级及以后持荷</t>
    </r>
    <r>
      <rPr>
        <sz val="11"/>
        <rFont val="Times New Roman"/>
        <charset val="134"/>
      </rPr>
      <t>5min</t>
    </r>
    <r>
      <rPr>
        <sz val="11"/>
        <rFont val="宋体"/>
        <charset val="134"/>
      </rPr>
      <t>；第一循环</t>
    </r>
    <r>
      <rPr>
        <sz val="11"/>
        <rFont val="Times New Roman"/>
        <charset val="134"/>
      </rPr>
      <t>K</t>
    </r>
    <r>
      <rPr>
        <vertAlign val="subscript"/>
        <sz val="11"/>
        <rFont val="Times New Roman"/>
        <charset val="134"/>
      </rPr>
      <t>f</t>
    </r>
    <r>
      <rPr>
        <sz val="11"/>
        <rFont val="Times New Roman"/>
        <charset val="134"/>
      </rPr>
      <t>=1.00</t>
    </r>
    <r>
      <rPr>
        <sz val="11"/>
        <rFont val="宋体"/>
        <charset val="134"/>
      </rPr>
      <t>静停</t>
    </r>
    <r>
      <rPr>
        <sz val="11"/>
        <rFont val="Times New Roman"/>
        <charset val="134"/>
      </rPr>
      <t>20min</t>
    </r>
    <r>
      <rPr>
        <sz val="11"/>
        <rFont val="宋体"/>
        <charset val="134"/>
      </rPr>
      <t>；第二循环</t>
    </r>
    <r>
      <rPr>
        <sz val="11"/>
        <rFont val="Times New Roman"/>
        <charset val="134"/>
      </rPr>
      <t>K</t>
    </r>
    <r>
      <rPr>
        <vertAlign val="subscript"/>
        <sz val="11"/>
        <rFont val="Times New Roman"/>
        <charset val="134"/>
      </rPr>
      <t>f</t>
    </r>
    <r>
      <rPr>
        <sz val="11"/>
        <rFont val="Times New Roman"/>
        <charset val="134"/>
      </rPr>
      <t>=1.20</t>
    </r>
    <r>
      <rPr>
        <sz val="11"/>
        <rFont val="宋体"/>
        <charset val="134"/>
      </rPr>
      <t>静停</t>
    </r>
    <r>
      <rPr>
        <sz val="11"/>
        <rFont val="Times New Roman"/>
        <charset val="134"/>
      </rPr>
      <t>20min</t>
    </r>
    <r>
      <rPr>
        <sz val="11"/>
        <rFont val="宋体"/>
        <charset val="134"/>
      </rPr>
      <t xml:space="preserve">。
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第一循环与第二循环之间静停（挠度恢复）</t>
    </r>
    <r>
      <rPr>
        <sz val="11"/>
        <rFont val="Times New Roman"/>
        <charset val="134"/>
      </rPr>
      <t>10min</t>
    </r>
    <r>
      <rPr>
        <sz val="11"/>
        <rFont val="宋体"/>
        <charset val="134"/>
      </rPr>
      <t>。</t>
    </r>
    <r>
      <rPr>
        <sz val="11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3.</t>
    </r>
    <r>
      <rPr>
        <sz val="11"/>
        <rFont val="宋体"/>
        <charset val="134"/>
      </rPr>
      <t>记录实际持荷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静停的起止时刻（时：分：秒）。</t>
    </r>
  </si>
  <si>
    <t>记录人</t>
  </si>
  <si>
    <t>复核人</t>
  </si>
  <si>
    <t>静载试验挠度记录表</t>
  </si>
  <si>
    <r>
      <rPr>
        <sz val="10"/>
        <rFont val="宋体"/>
        <charset val="134"/>
      </rPr>
      <t>跨</t>
    </r>
    <r>
      <rPr>
        <sz val="10"/>
        <rFont val="Times New Roman"/>
        <charset val="134"/>
      </rPr>
      <t xml:space="preserve">      </t>
    </r>
    <r>
      <rPr>
        <sz val="10"/>
        <rFont val="宋体"/>
        <charset val="134"/>
      </rPr>
      <t>度（</t>
    </r>
    <r>
      <rPr>
        <sz val="10"/>
        <rFont val="Times New Roman"/>
        <charset val="134"/>
      </rPr>
      <t>m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</si>
  <si>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梁</t>
    </r>
    <r>
      <rPr>
        <sz val="10"/>
        <rFont val="Times New Roman"/>
        <charset val="134"/>
      </rPr>
      <t xml:space="preserve">        </t>
    </r>
    <r>
      <rPr>
        <sz val="10"/>
        <rFont val="宋体"/>
        <charset val="134"/>
      </rPr>
      <t>别</t>
    </r>
  </si>
  <si>
    <t>梁侧</t>
  </si>
  <si>
    <t>大面侧</t>
  </si>
  <si>
    <t>第一加载循环挠度</t>
  </si>
  <si>
    <t>第二加载循环挠度</t>
  </si>
  <si>
    <t>加载级别</t>
  </si>
  <si>
    <t>初始状态</t>
  </si>
  <si>
    <r>
      <rPr>
        <sz val="10"/>
        <rFont val="宋体"/>
        <charset val="134"/>
      </rPr>
      <t>加载值</t>
    </r>
    <r>
      <rPr>
        <sz val="10"/>
        <rFont val="Times New Roman"/>
        <charset val="134"/>
      </rPr>
      <t>(kN)</t>
    </r>
  </si>
  <si>
    <t>各
测
点
读
数</t>
  </si>
  <si>
    <r>
      <rPr>
        <sz val="10"/>
        <rFont val="宋体"/>
        <charset val="134"/>
      </rPr>
      <t>支点△</t>
    </r>
    <r>
      <rPr>
        <vertAlign val="subscript"/>
        <sz val="10"/>
        <rFont val="宋体"/>
        <charset val="134"/>
      </rPr>
      <t>龙</t>
    </r>
  </si>
  <si>
    <r>
      <rPr>
        <sz val="10"/>
        <rFont val="宋体"/>
        <charset val="134"/>
      </rPr>
      <t>跨中</t>
    </r>
    <r>
      <rPr>
        <sz val="10"/>
        <rFont val="Times New Roman"/>
        <charset val="134"/>
      </rPr>
      <t>f</t>
    </r>
    <r>
      <rPr>
        <vertAlign val="subscript"/>
        <sz val="10"/>
        <rFont val="Times New Roman"/>
        <charset val="134"/>
      </rPr>
      <t>L/2</t>
    </r>
  </si>
  <si>
    <r>
      <rPr>
        <sz val="10"/>
        <rFont val="宋体"/>
        <charset val="134"/>
      </rPr>
      <t>支点△</t>
    </r>
    <r>
      <rPr>
        <vertAlign val="subscript"/>
        <sz val="10"/>
        <rFont val="宋体"/>
        <charset val="134"/>
      </rPr>
      <t>烟</t>
    </r>
  </si>
  <si>
    <r>
      <rPr>
        <sz val="10"/>
        <rFont val="宋体"/>
        <charset val="134"/>
      </rPr>
      <t>挠度值（mm）f=fL/2-（△</t>
    </r>
    <r>
      <rPr>
        <vertAlign val="subscript"/>
        <sz val="10"/>
        <rFont val="宋体"/>
        <charset val="134"/>
      </rPr>
      <t>龙</t>
    </r>
    <r>
      <rPr>
        <sz val="10"/>
        <rFont val="宋体"/>
        <charset val="134"/>
      </rPr>
      <t>+△</t>
    </r>
    <r>
      <rPr>
        <vertAlign val="subscript"/>
        <sz val="10"/>
        <rFont val="宋体"/>
        <charset val="134"/>
      </rPr>
      <t>烟</t>
    </r>
    <r>
      <rPr>
        <sz val="10"/>
        <rFont val="宋体"/>
        <charset val="134"/>
      </rPr>
      <t xml:space="preserve">）/2 </t>
    </r>
  </si>
  <si>
    <r>
      <rPr>
        <sz val="11"/>
        <rFont val="Times New Roman"/>
        <charset val="134"/>
      </rPr>
      <t>1.</t>
    </r>
    <r>
      <rPr>
        <sz val="11"/>
        <rFont val="宋体"/>
        <charset val="134"/>
      </rPr>
      <t>△</t>
    </r>
    <r>
      <rPr>
        <vertAlign val="subscript"/>
        <sz val="11"/>
        <rFont val="宋体"/>
        <charset val="134"/>
      </rPr>
      <t>龙</t>
    </r>
    <r>
      <rPr>
        <sz val="11"/>
        <rFont val="宋体"/>
        <charset val="134"/>
      </rPr>
      <t>、△</t>
    </r>
    <r>
      <rPr>
        <vertAlign val="subscript"/>
        <sz val="11"/>
        <rFont val="宋体"/>
        <charset val="134"/>
      </rPr>
      <t>烟</t>
    </r>
    <r>
      <rPr>
        <sz val="11"/>
        <rFont val="宋体"/>
        <charset val="134"/>
      </rPr>
      <t xml:space="preserve">为两端支座下沉量；
</t>
    </r>
    <r>
      <rPr>
        <sz val="11"/>
        <rFont val="Times New Roman"/>
        <charset val="134"/>
      </rPr>
      <t>2.</t>
    </r>
    <r>
      <rPr>
        <sz val="11"/>
        <rFont val="宋体"/>
        <charset val="134"/>
      </rPr>
      <t>挠度测量应在持荷即将结束前进行；</t>
    </r>
    <r>
      <rPr>
        <sz val="11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3.</t>
    </r>
    <r>
      <rPr>
        <sz val="11"/>
        <rFont val="宋体"/>
        <charset val="134"/>
      </rPr>
      <t>每个加载循环的挠度值取梁两侧挠度的平均值。</t>
    </r>
  </si>
  <si>
    <t>记录者</t>
  </si>
  <si>
    <r>
      <rPr>
        <sz val="10"/>
        <rFont val="宋体"/>
        <charset val="134"/>
      </rPr>
      <t>跨</t>
    </r>
    <r>
      <rPr>
        <sz val="10"/>
        <rFont val="Times New Roman"/>
        <charset val="134"/>
      </rPr>
      <t xml:space="preserve">      </t>
    </r>
    <r>
      <rPr>
        <sz val="10"/>
        <rFont val="宋体"/>
        <charset val="134"/>
      </rPr>
      <t>度</t>
    </r>
    <r>
      <rPr>
        <sz val="10"/>
        <rFont val="宋体"/>
        <charset val="134"/>
      </rPr>
      <t>（</t>
    </r>
    <r>
      <rPr>
        <sz val="10"/>
        <rFont val="Times New Roman"/>
        <charset val="134"/>
      </rPr>
      <t>m</t>
    </r>
    <r>
      <rPr>
        <sz val="10"/>
        <rFont val="宋体"/>
        <charset val="134"/>
      </rPr>
      <t>）</t>
    </r>
  </si>
  <si>
    <t>小面侧</t>
  </si>
  <si>
    <t>第一循环两侧平均挠度</t>
  </si>
  <si>
    <t>第二循环两侧平均挠度</t>
  </si>
  <si>
    <r>
      <rPr>
        <sz val="10"/>
        <rFont val="宋体"/>
        <charset val="134"/>
      </rPr>
      <t>支点△</t>
    </r>
    <r>
      <rPr>
        <vertAlign val="subscript"/>
        <sz val="10"/>
        <rFont val="宋体"/>
        <charset val="134"/>
      </rPr>
      <t>龙外</t>
    </r>
  </si>
  <si>
    <r>
      <rPr>
        <sz val="10"/>
        <rFont val="宋体"/>
        <charset val="134"/>
      </rPr>
      <t>跨中</t>
    </r>
    <r>
      <rPr>
        <sz val="10"/>
        <rFont val="Times New Roman"/>
        <charset val="134"/>
      </rPr>
      <t>f</t>
    </r>
    <r>
      <rPr>
        <vertAlign val="subscript"/>
        <sz val="10"/>
        <rFont val="Times New Roman"/>
        <charset val="134"/>
      </rPr>
      <t>L/2</t>
    </r>
    <r>
      <rPr>
        <vertAlign val="subscript"/>
        <sz val="10"/>
        <rFont val="宋体"/>
        <charset val="134"/>
      </rPr>
      <t>外</t>
    </r>
  </si>
  <si>
    <r>
      <rPr>
        <sz val="10"/>
        <rFont val="宋体"/>
        <charset val="134"/>
      </rPr>
      <t>支点△</t>
    </r>
    <r>
      <rPr>
        <vertAlign val="subscript"/>
        <sz val="10"/>
        <rFont val="宋体"/>
        <charset val="134"/>
      </rPr>
      <t>烟外</t>
    </r>
  </si>
  <si>
    <r>
      <rPr>
        <sz val="10"/>
        <rFont val="宋体"/>
        <charset val="134"/>
      </rPr>
      <t>支点△</t>
    </r>
    <r>
      <rPr>
        <vertAlign val="subscript"/>
        <sz val="10"/>
        <rFont val="宋体"/>
        <charset val="134"/>
      </rPr>
      <t>龙内</t>
    </r>
  </si>
  <si>
    <r>
      <rPr>
        <sz val="10"/>
        <rFont val="宋体"/>
        <charset val="134"/>
      </rPr>
      <t>跨中</t>
    </r>
    <r>
      <rPr>
        <sz val="10"/>
        <rFont val="Times New Roman"/>
        <charset val="134"/>
      </rPr>
      <t>f</t>
    </r>
    <r>
      <rPr>
        <vertAlign val="subscript"/>
        <sz val="10"/>
        <rFont val="Times New Roman"/>
        <charset val="134"/>
      </rPr>
      <t>L/2</t>
    </r>
    <r>
      <rPr>
        <vertAlign val="subscript"/>
        <sz val="10"/>
        <rFont val="宋体"/>
        <charset val="134"/>
      </rPr>
      <t>内</t>
    </r>
  </si>
  <si>
    <r>
      <rPr>
        <sz val="10"/>
        <rFont val="宋体"/>
        <charset val="134"/>
      </rPr>
      <t>支点△</t>
    </r>
    <r>
      <rPr>
        <vertAlign val="subscript"/>
        <sz val="10"/>
        <rFont val="宋体"/>
        <charset val="134"/>
      </rPr>
      <t>烟内</t>
    </r>
  </si>
  <si>
    <r>
      <rPr>
        <sz val="10"/>
        <rFont val="宋体"/>
        <charset val="134"/>
      </rPr>
      <t>挠度值（mm）f=（f</t>
    </r>
    <r>
      <rPr>
        <vertAlign val="subscript"/>
        <sz val="10"/>
        <rFont val="宋体"/>
        <charset val="134"/>
      </rPr>
      <t>L/2外</t>
    </r>
    <r>
      <rPr>
        <sz val="10"/>
        <rFont val="宋体"/>
        <charset val="134"/>
      </rPr>
      <t>+f</t>
    </r>
    <r>
      <rPr>
        <vertAlign val="subscript"/>
        <sz val="10"/>
        <rFont val="宋体"/>
        <charset val="134"/>
      </rPr>
      <t>L/2内</t>
    </r>
    <r>
      <rPr>
        <sz val="10"/>
        <rFont val="宋体"/>
        <charset val="134"/>
      </rPr>
      <t>-（△</t>
    </r>
    <r>
      <rPr>
        <vertAlign val="subscript"/>
        <sz val="10"/>
        <rFont val="宋体"/>
        <charset val="134"/>
      </rPr>
      <t>北外</t>
    </r>
    <r>
      <rPr>
        <sz val="10"/>
        <rFont val="宋体"/>
        <charset val="134"/>
      </rPr>
      <t>+</t>
    </r>
    <r>
      <rPr>
        <sz val="10"/>
        <rFont val="宋体"/>
        <charset val="134"/>
      </rPr>
      <t>△</t>
    </r>
    <r>
      <rPr>
        <vertAlign val="subscript"/>
        <sz val="10"/>
        <rFont val="宋体"/>
        <charset val="134"/>
      </rPr>
      <t>南外</t>
    </r>
    <r>
      <rPr>
        <sz val="10"/>
        <rFont val="宋体"/>
        <charset val="134"/>
      </rPr>
      <t>+</t>
    </r>
    <r>
      <rPr>
        <sz val="10"/>
        <rFont val="宋体"/>
        <charset val="134"/>
      </rPr>
      <t>△</t>
    </r>
    <r>
      <rPr>
        <vertAlign val="subscript"/>
        <sz val="10"/>
        <rFont val="宋体"/>
        <charset val="134"/>
      </rPr>
      <t>北内</t>
    </r>
    <r>
      <rPr>
        <sz val="10"/>
        <rFont val="宋体"/>
        <charset val="134"/>
      </rPr>
      <t>+△</t>
    </r>
    <r>
      <rPr>
        <vertAlign val="subscript"/>
        <sz val="10"/>
        <rFont val="宋体"/>
        <charset val="134"/>
      </rPr>
      <t>南内</t>
    </r>
    <r>
      <rPr>
        <sz val="10"/>
        <rFont val="宋体"/>
        <charset val="134"/>
      </rPr>
      <t>）/2）</t>
    </r>
    <r>
      <rPr>
        <sz val="10"/>
        <rFont val="宋体"/>
        <charset val="134"/>
      </rPr>
      <t>/2</t>
    </r>
    <r>
      <rPr>
        <sz val="10"/>
        <rFont val="宋体"/>
        <charset val="134"/>
      </rPr>
      <t xml:space="preserve"> </t>
    </r>
  </si>
  <si>
    <t>静载试验弯曲抗裂试验报告</t>
  </si>
  <si>
    <t>灌筑日期</t>
  </si>
  <si>
    <r>
      <rPr>
        <sz val="11"/>
        <rFont val="宋体"/>
        <charset val="134"/>
      </rPr>
      <t>设计混凝土等级</t>
    </r>
    <r>
      <rPr>
        <sz val="11"/>
        <rFont val="Times New Roman"/>
        <charset val="134"/>
      </rPr>
      <t>(MPa)</t>
    </r>
  </si>
  <si>
    <t>张拉日期</t>
  </si>
  <si>
    <r>
      <rPr>
        <sz val="11"/>
        <rFont val="宋体"/>
        <charset val="134"/>
      </rPr>
      <t>终张拉混凝土强度</t>
    </r>
    <r>
      <rPr>
        <sz val="11"/>
        <rFont val="Times New Roman"/>
        <charset val="134"/>
      </rPr>
      <t>(MPa)</t>
    </r>
  </si>
  <si>
    <r>
      <rPr>
        <sz val="11"/>
        <rFont val="宋体"/>
        <charset val="134"/>
      </rPr>
      <t>设计安全抗裂系数</t>
    </r>
    <r>
      <rPr>
        <sz val="11"/>
        <rFont val="Times New Roman"/>
        <charset val="134"/>
      </rPr>
      <t xml:space="preserve"> K</t>
    </r>
    <r>
      <rPr>
        <vertAlign val="subscript"/>
        <sz val="11"/>
        <rFont val="Times New Roman"/>
        <charset val="134"/>
      </rPr>
      <t>f</t>
    </r>
  </si>
  <si>
    <r>
      <rPr>
        <sz val="11"/>
        <rFont val="宋体"/>
        <charset val="134"/>
      </rPr>
      <t>梁体混凝土</t>
    </r>
    <r>
      <rPr>
        <sz val="11"/>
        <rFont val="Times New Roman"/>
        <charset val="134"/>
      </rPr>
      <t>28</t>
    </r>
    <r>
      <rPr>
        <sz val="11"/>
        <rFont val="宋体"/>
        <charset val="134"/>
      </rPr>
      <t>天强度</t>
    </r>
    <r>
      <rPr>
        <sz val="11"/>
        <rFont val="Times New Roman"/>
        <charset val="134"/>
      </rPr>
      <t>(MPa)</t>
    </r>
  </si>
  <si>
    <r>
      <rPr>
        <sz val="11"/>
        <rFont val="宋体"/>
        <charset val="134"/>
      </rPr>
      <t>设计挠跨比</t>
    </r>
    <r>
      <rPr>
        <sz val="11"/>
        <rFont val="Times New Roman"/>
        <charset val="134"/>
      </rPr>
      <t xml:space="preserve"> f/L</t>
    </r>
  </si>
  <si>
    <t>检验类别</t>
  </si>
  <si>
    <t>局级投产鉴定</t>
  </si>
  <si>
    <r>
      <rPr>
        <sz val="11"/>
        <rFont val="宋体"/>
        <charset val="134"/>
      </rPr>
      <t>梁体混凝土</t>
    </r>
    <r>
      <rPr>
        <sz val="11"/>
        <rFont val="Times New Roman"/>
        <charset val="134"/>
      </rPr>
      <t>28</t>
    </r>
    <r>
      <rPr>
        <sz val="11"/>
        <rFont val="宋体"/>
        <charset val="134"/>
      </rPr>
      <t>天弹性模量</t>
    </r>
    <r>
      <rPr>
        <sz val="11"/>
        <rFont val="Times New Roman"/>
        <charset val="134"/>
      </rPr>
      <t>(GPa)</t>
    </r>
  </si>
  <si>
    <t>kb</t>
  </si>
  <si>
    <t>静
载
试
验
情
况</t>
  </si>
  <si>
    <r>
      <rPr>
        <sz val="11"/>
        <rFont val="宋体"/>
        <charset val="134"/>
      </rPr>
      <t>荷载</t>
    </r>
    <r>
      <rPr>
        <sz val="11"/>
        <rFont val="Times New Roman"/>
        <charset val="134"/>
      </rPr>
      <t xml:space="preserve"> P</t>
    </r>
    <r>
      <rPr>
        <vertAlign val="subscript"/>
        <sz val="11"/>
        <rFont val="Times New Roman"/>
        <charset val="134"/>
      </rPr>
      <t>k</t>
    </r>
    <r>
      <rPr>
        <sz val="11"/>
        <rFont val="Times New Roman"/>
        <charset val="134"/>
      </rPr>
      <t xml:space="preserve">   (kN)</t>
    </r>
  </si>
  <si>
    <r>
      <rPr>
        <sz val="11"/>
        <rFont val="宋体"/>
        <charset val="134"/>
      </rPr>
      <t>跨中挠度实测值</t>
    </r>
    <r>
      <rPr>
        <sz val="11"/>
        <rFont val="Times New Roman"/>
        <charset val="134"/>
      </rPr>
      <t xml:space="preserve"> f   (mm)</t>
    </r>
  </si>
  <si>
    <t>静荷载挠跨比 f/L</t>
  </si>
  <si>
    <r>
      <rPr>
        <sz val="11"/>
        <rFont val="Times New Roman"/>
        <charset val="134"/>
      </rPr>
      <t>f1/L=(f</t>
    </r>
    <r>
      <rPr>
        <vertAlign val="subscript"/>
        <sz val="11"/>
        <rFont val="Times New Roman"/>
        <charset val="134"/>
      </rPr>
      <t>kb</t>
    </r>
    <r>
      <rPr>
        <sz val="11"/>
        <rFont val="Times New Roman"/>
        <charset val="134"/>
      </rPr>
      <t>-f</t>
    </r>
    <r>
      <rPr>
        <vertAlign val="subscript"/>
        <sz val="11"/>
        <rFont val="Times New Roman"/>
        <charset val="134"/>
      </rPr>
      <t>ka</t>
    </r>
    <r>
      <rPr>
        <sz val="11"/>
        <rFont val="Times New Roman"/>
        <charset val="134"/>
      </rPr>
      <t>)/L=</t>
    </r>
  </si>
  <si>
    <t>(25.66-12.34)=</t>
  </si>
  <si>
    <t>1/</t>
  </si>
  <si>
    <t>梁体出现裂缝情况</t>
  </si>
  <si>
    <t>未出现受力裂纹</t>
  </si>
  <si>
    <r>
      <rPr>
        <sz val="11"/>
        <rFont val="Times New Roman"/>
        <charset val="134"/>
      </rPr>
      <t>f2/L=(f</t>
    </r>
    <r>
      <rPr>
        <vertAlign val="subscript"/>
        <sz val="11"/>
        <rFont val="Times New Roman"/>
        <charset val="134"/>
      </rPr>
      <t>kb</t>
    </r>
    <r>
      <rPr>
        <sz val="11"/>
        <rFont val="Times New Roman"/>
        <charset val="134"/>
      </rPr>
      <t>-f</t>
    </r>
    <r>
      <rPr>
        <vertAlign val="subscript"/>
        <sz val="11"/>
        <rFont val="Times New Roman"/>
        <charset val="134"/>
      </rPr>
      <t>ka</t>
    </r>
    <r>
      <rPr>
        <sz val="11"/>
        <rFont val="Times New Roman"/>
        <charset val="134"/>
      </rPr>
      <t>)/L=</t>
    </r>
  </si>
  <si>
    <t>(26.2-13.48)=</t>
  </si>
  <si>
    <t>加
载
图
式</t>
  </si>
  <si>
    <t>裂缝示意图</t>
  </si>
  <si>
    <t>试验结论</t>
  </si>
  <si>
    <r>
      <rPr>
        <sz val="11"/>
        <rFont val="Times New Roman"/>
        <charset val="134"/>
      </rPr>
      <t xml:space="preserve">        </t>
    </r>
    <r>
      <rPr>
        <sz val="11"/>
        <rFont val="宋体"/>
        <charset val="134"/>
      </rPr>
      <t>梁体在</t>
    </r>
    <r>
      <rPr>
        <sz val="11"/>
        <rFont val="Times New Roman"/>
        <charset val="134"/>
      </rPr>
      <t>Kf=1.20</t>
    </r>
    <r>
      <rPr>
        <sz val="11"/>
        <rFont val="宋体"/>
        <charset val="134"/>
      </rPr>
      <t>加载等级下持荷20min，梁底面及下翼缘的边角未发现任何受力裂纹；且在静活载级下：</t>
    </r>
    <r>
      <rPr>
        <sz val="11"/>
        <rFont val="Times New Roman"/>
        <charset val="134"/>
      </rPr>
      <t xml:space="preserve">                              </t>
    </r>
    <r>
      <rPr>
        <sz val="11"/>
        <rFont val="宋体"/>
        <charset val="134"/>
      </rPr>
      <t>实测挠跨比</t>
    </r>
    <r>
      <rPr>
        <sz val="11"/>
        <rFont val="Times New Roman"/>
        <charset val="134"/>
      </rPr>
      <t>Ψf</t>
    </r>
    <r>
      <rPr>
        <sz val="11"/>
        <rFont val="宋体"/>
        <charset val="134"/>
      </rPr>
      <t>实测</t>
    </r>
    <r>
      <rPr>
        <sz val="11"/>
        <rFont val="Times New Roman"/>
        <charset val="134"/>
      </rPr>
      <t>/L=1.0409×12.71/32000=1/2418</t>
    </r>
    <r>
      <rPr>
        <sz val="11"/>
        <rFont val="宋体"/>
        <charset val="134"/>
      </rPr>
      <t>＜</t>
    </r>
    <r>
      <rPr>
        <sz val="11"/>
        <rFont val="Times New Roman"/>
        <charset val="134"/>
      </rPr>
      <t>1.05×1/2049=1/1951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 xml:space="preserve">                                                                    </t>
    </r>
    <r>
      <rPr>
        <sz val="11"/>
        <rFont val="宋体"/>
        <charset val="134"/>
      </rPr>
      <t>故判定：静载弯曲抗裂试验合格。</t>
    </r>
  </si>
  <si>
    <t>试验负责人</t>
  </si>
  <si>
    <t>企业主管</t>
  </si>
  <si>
    <t>技术负责人</t>
  </si>
  <si>
    <t>检验主管</t>
  </si>
  <si>
    <t>加载千斤顶、传感器及百分表位置分布表</t>
  </si>
  <si>
    <t>设备    位置</t>
  </si>
  <si>
    <t>距跨中8米(龙)</t>
  </si>
  <si>
    <t>距跨中4米(龙)</t>
  </si>
  <si>
    <t>跨中</t>
  </si>
  <si>
    <t>距跨中4米(烟)</t>
  </si>
  <si>
    <t>距跨中8米(烟)</t>
  </si>
  <si>
    <t>千斤顶编号</t>
  </si>
  <si>
    <t>油表编号</t>
  </si>
  <si>
    <t>油泵编号</t>
  </si>
  <si>
    <t>传感器编号</t>
  </si>
  <si>
    <t>百分表编号</t>
  </si>
  <si>
    <t>设                   备                    位                 置                     图                      示</t>
  </si>
  <si>
    <t>制表：</t>
  </si>
  <si>
    <t>审核：</t>
  </si>
</sst>
</file>

<file path=xl/styles.xml><?xml version="1.0" encoding="utf-8"?>
<styleSheet xmlns="http://schemas.openxmlformats.org/spreadsheetml/2006/main">
  <numFmts count="15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_ "/>
    <numFmt numFmtId="177" formatCode="0.00_ "/>
    <numFmt numFmtId="178" formatCode="0.0"/>
    <numFmt numFmtId="179" formatCode="h:mm:ss;@"/>
    <numFmt numFmtId="180" formatCode="0.0_ "/>
    <numFmt numFmtId="181" formatCode="0_);[Red]\(0\)"/>
    <numFmt numFmtId="182" formatCode="0.00_);[Red]\(0.00\)"/>
    <numFmt numFmtId="183" formatCode="0.0000_);[Red]\(0.0000\)"/>
    <numFmt numFmtId="184" formatCode="0.0_);[Red]\(0.0\)"/>
    <numFmt numFmtId="185" formatCode="0.000000_ "/>
    <numFmt numFmtId="186" formatCode="0.0000000000_ "/>
  </numFmts>
  <fonts count="52">
    <font>
      <sz val="12"/>
      <name val="宋体"/>
      <charset val="134"/>
    </font>
    <font>
      <b/>
      <sz val="20"/>
      <name val="宋体"/>
      <charset val="134"/>
    </font>
    <font>
      <sz val="12"/>
      <color indexed="10"/>
      <name val="宋体"/>
      <charset val="134"/>
    </font>
    <font>
      <b/>
      <sz val="18"/>
      <name val="宋体"/>
      <charset val="134"/>
    </font>
    <font>
      <b/>
      <sz val="14"/>
      <name val="宋体"/>
      <charset val="134"/>
    </font>
    <font>
      <sz val="11"/>
      <name val="宋体"/>
      <charset val="134"/>
    </font>
    <font>
      <sz val="11"/>
      <name val="Times New Roman"/>
      <charset val="134"/>
    </font>
    <font>
      <sz val="8"/>
      <name val="宋体"/>
      <charset val="134"/>
    </font>
    <font>
      <sz val="10"/>
      <name val="宋体"/>
      <charset val="134"/>
    </font>
    <font>
      <i/>
      <sz val="10"/>
      <name val="宋体"/>
      <charset val="134"/>
    </font>
    <font>
      <i/>
      <sz val="11"/>
      <name val="宋体"/>
      <charset val="134"/>
    </font>
    <font>
      <sz val="9"/>
      <name val="宋体"/>
      <charset val="134"/>
    </font>
    <font>
      <i/>
      <sz val="9"/>
      <name val="宋体"/>
      <charset val="134"/>
    </font>
    <font>
      <i/>
      <sz val="12"/>
      <name val="宋体"/>
      <charset val="134"/>
    </font>
    <font>
      <i/>
      <sz val="11"/>
      <color indexed="10"/>
      <name val="宋体"/>
      <charset val="134"/>
    </font>
    <font>
      <b/>
      <sz val="16"/>
      <name val="宋体"/>
      <charset val="134"/>
    </font>
    <font>
      <b/>
      <sz val="10"/>
      <name val="宋体"/>
      <charset val="134"/>
    </font>
    <font>
      <sz val="14"/>
      <name val="宋体"/>
      <charset val="134"/>
    </font>
    <font>
      <b/>
      <sz val="12"/>
      <name val="宋体"/>
      <charset val="134"/>
    </font>
    <font>
      <sz val="10"/>
      <name val="Times New Roman"/>
      <charset val="134"/>
    </font>
    <font>
      <sz val="12"/>
      <name val="Times New Roman"/>
      <charset val="134"/>
    </font>
    <font>
      <b/>
      <sz val="11"/>
      <name val="宋体"/>
      <charset val="134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vertAlign val="subscript"/>
      <sz val="11"/>
      <name val="Times New Roman"/>
      <charset val="134"/>
    </font>
    <font>
      <vertAlign val="subscript"/>
      <sz val="10"/>
      <name val="宋体"/>
      <charset val="134"/>
    </font>
    <font>
      <vertAlign val="subscript"/>
      <sz val="10"/>
      <name val="Times New Roman"/>
      <charset val="134"/>
    </font>
    <font>
      <vertAlign val="subscript"/>
      <sz val="11"/>
      <name val="宋体"/>
      <charset val="134"/>
    </font>
    <font>
      <b/>
      <sz val="16"/>
      <name val="Times New Roman"/>
      <charset val="134"/>
    </font>
    <font>
      <vertAlign val="subscript"/>
      <sz val="12"/>
      <name val="宋体"/>
      <charset val="134"/>
    </font>
    <font>
      <b/>
      <sz val="12"/>
      <name val="Times New Roman"/>
      <charset val="134"/>
    </font>
    <font>
      <b/>
      <vertAlign val="subscript"/>
      <sz val="12"/>
      <name val="Times New Roman"/>
      <charset val="134"/>
    </font>
    <font>
      <vertAlign val="subscript"/>
      <sz val="12"/>
      <name val="Times New Roman"/>
      <charset val="134"/>
    </font>
    <font>
      <b/>
      <vertAlign val="superscript"/>
      <sz val="12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</fills>
  <borders count="52">
    <border>
      <left/>
      <right/>
      <top/>
      <bottom/>
      <diagonal/>
    </border>
    <border diagonalDown="1">
      <left style="medium">
        <color auto="1"/>
      </left>
      <right style="thin">
        <color auto="1"/>
      </right>
      <top style="medium">
        <color auto="1"/>
      </top>
      <bottom/>
      <diagonal style="thin">
        <color auto="1"/>
      </diagonal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23" fillId="0" borderId="0" applyFont="0" applyFill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2" fillId="7" borderId="46" applyNumberFormat="0" applyAlignment="0" applyProtection="0">
      <alignment vertical="center"/>
    </xf>
    <xf numFmtId="44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43" fontId="23" fillId="0" borderId="0" applyFont="0" applyFill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8" borderId="49" applyNumberFormat="0" applyFont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40" fillId="0" borderId="48" applyNumberFormat="0" applyFill="0" applyAlignment="0" applyProtection="0">
      <alignment vertical="center"/>
    </xf>
    <xf numFmtId="0" fontId="31" fillId="0" borderId="48" applyNumberFormat="0" applyFill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22" fillId="0" borderId="44" applyNumberFormat="0" applyFill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9" fillId="6" borderId="51" applyNumberFormat="0" applyAlignment="0" applyProtection="0">
      <alignment vertical="center"/>
    </xf>
    <xf numFmtId="0" fontId="28" fillId="6" borderId="46" applyNumberFormat="0" applyAlignment="0" applyProtection="0">
      <alignment vertical="center"/>
    </xf>
    <xf numFmtId="0" fontId="27" fillId="5" borderId="45" applyNumberFormat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0" borderId="50" applyNumberFormat="0" applyFill="0" applyAlignment="0" applyProtection="0">
      <alignment vertical="center"/>
    </xf>
    <xf numFmtId="0" fontId="30" fillId="0" borderId="47" applyNumberFormat="0" applyFill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</cellStyleXfs>
  <cellXfs count="241">
    <xf numFmtId="0" fontId="0" fillId="0" borderId="0" xfId="0" applyAlignment="1"/>
    <xf numFmtId="0" fontId="0" fillId="0" borderId="0" xfId="0" applyBorder="1" applyAlignment="1"/>
    <xf numFmtId="0" fontId="1" fillId="0" borderId="0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/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/>
    <xf numFmtId="0" fontId="0" fillId="0" borderId="0" xfId="0" applyFill="1" applyBorder="1" applyAlignment="1">
      <alignment horizontal="center" vertical="center"/>
    </xf>
    <xf numFmtId="31" fontId="0" fillId="0" borderId="12" xfId="0" applyNumberFormat="1" applyBorder="1" applyAlignment="1"/>
    <xf numFmtId="0" fontId="0" fillId="0" borderId="0" xfId="0" applyAlignment="1">
      <alignment horizontal="center"/>
    </xf>
    <xf numFmtId="0" fontId="2" fillId="0" borderId="0" xfId="0" applyFont="1" applyAlignment="1"/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178" fontId="5" fillId="0" borderId="4" xfId="0" applyNumberFormat="1" applyFont="1" applyBorder="1" applyAlignment="1">
      <alignment horizontal="center" vertical="center"/>
    </xf>
    <xf numFmtId="181" fontId="5" fillId="0" borderId="4" xfId="0" applyNumberFormat="1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9" fontId="6" fillId="0" borderId="15" xfId="0" applyNumberFormat="1" applyFont="1" applyBorder="1" applyAlignment="1">
      <alignment vertical="center"/>
    </xf>
    <xf numFmtId="181" fontId="5" fillId="0" borderId="4" xfId="0" applyNumberFormat="1" applyFont="1" applyBorder="1" applyAlignment="1">
      <alignment vertical="center"/>
    </xf>
    <xf numFmtId="177" fontId="5" fillId="0" borderId="4" xfId="0" applyNumberFormat="1" applyFont="1" applyBorder="1" applyAlignment="1">
      <alignment vertical="center"/>
    </xf>
    <xf numFmtId="0" fontId="5" fillId="2" borderId="4" xfId="0" applyFont="1" applyFill="1" applyBorder="1" applyAlignment="1" applyProtection="1">
      <alignment horizontal="center" vertical="center"/>
      <protection locked="0"/>
    </xf>
    <xf numFmtId="0" fontId="5" fillId="0" borderId="16" xfId="0" applyFont="1" applyBorder="1" applyAlignment="1">
      <alignment horizontal="center" vertical="center"/>
    </xf>
    <xf numFmtId="0" fontId="5" fillId="2" borderId="16" xfId="0" applyFont="1" applyFill="1" applyBorder="1" applyAlignment="1" applyProtection="1">
      <alignment horizontal="center" vertical="center"/>
      <protection locked="0"/>
    </xf>
    <xf numFmtId="0" fontId="5" fillId="0" borderId="1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4" fontId="5" fillId="0" borderId="14" xfId="0" applyNumberFormat="1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49" fontId="6" fillId="0" borderId="19" xfId="0" applyNumberFormat="1" applyFont="1" applyBorder="1" applyAlignment="1">
      <alignment vertical="center"/>
    </xf>
    <xf numFmtId="49" fontId="6" fillId="0" borderId="19" xfId="0" applyNumberFormat="1" applyFont="1" applyBorder="1" applyAlignment="1">
      <alignment horizontal="right" vertical="center"/>
    </xf>
    <xf numFmtId="176" fontId="0" fillId="0" borderId="0" xfId="0" applyNumberFormat="1" applyFill="1" applyAlignment="1"/>
    <xf numFmtId="182" fontId="5" fillId="0" borderId="4" xfId="0" applyNumberFormat="1" applyFont="1" applyBorder="1" applyAlignment="1">
      <alignment horizontal="center" vertical="center"/>
    </xf>
    <xf numFmtId="181" fontId="5" fillId="0" borderId="15" xfId="0" applyNumberFormat="1" applyFont="1" applyBorder="1" applyAlignment="1">
      <alignment horizontal="center" vertical="center"/>
    </xf>
    <xf numFmtId="181" fontId="5" fillId="0" borderId="18" xfId="0" applyNumberFormat="1" applyFont="1" applyBorder="1" applyAlignment="1">
      <alignment horizontal="center" vertical="center"/>
    </xf>
    <xf numFmtId="181" fontId="5" fillId="0" borderId="19" xfId="0" applyNumberFormat="1" applyFont="1" applyBorder="1" applyAlignment="1">
      <alignment horizontal="center" vertical="center"/>
    </xf>
    <xf numFmtId="177" fontId="5" fillId="0" borderId="15" xfId="0" applyNumberFormat="1" applyFont="1" applyBorder="1" applyAlignment="1">
      <alignment horizontal="center" vertical="center"/>
    </xf>
    <xf numFmtId="177" fontId="5" fillId="0" borderId="18" xfId="0" applyNumberFormat="1" applyFont="1" applyBorder="1" applyAlignment="1">
      <alignment horizontal="center" vertical="center"/>
    </xf>
    <xf numFmtId="177" fontId="5" fillId="0" borderId="19" xfId="0" applyNumberFormat="1" applyFont="1" applyBorder="1" applyAlignment="1">
      <alignment horizontal="center" vertical="center"/>
    </xf>
    <xf numFmtId="0" fontId="6" fillId="2" borderId="4" xfId="0" applyFont="1" applyFill="1" applyBorder="1" applyAlignment="1" applyProtection="1">
      <alignment horizontal="left" vertical="center" wrapText="1"/>
      <protection locked="0"/>
    </xf>
    <xf numFmtId="0" fontId="5" fillId="2" borderId="4" xfId="0" applyFont="1" applyFill="1" applyBorder="1" applyAlignment="1" applyProtection="1">
      <alignment horizontal="left" vertical="center"/>
      <protection locked="0"/>
    </xf>
    <xf numFmtId="0" fontId="5" fillId="2" borderId="16" xfId="0" applyFont="1" applyFill="1" applyBorder="1" applyAlignment="1" applyProtection="1">
      <alignment horizontal="left" vertical="center"/>
      <protection locked="0"/>
    </xf>
    <xf numFmtId="0" fontId="5" fillId="0" borderId="4" xfId="0" applyFont="1" applyBorder="1" applyAlignment="1">
      <alignment vertical="center"/>
    </xf>
    <xf numFmtId="0" fontId="5" fillId="0" borderId="20" xfId="0" applyFont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180" fontId="5" fillId="0" borderId="15" xfId="0" applyNumberFormat="1" applyFont="1" applyFill="1" applyBorder="1" applyAlignment="1">
      <alignment horizontal="center" vertical="center"/>
    </xf>
    <xf numFmtId="180" fontId="5" fillId="0" borderId="22" xfId="0" applyNumberFormat="1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181" fontId="5" fillId="0" borderId="21" xfId="0" applyNumberFormat="1" applyFont="1" applyBorder="1" applyAlignment="1">
      <alignment horizontal="center" vertical="center"/>
    </xf>
    <xf numFmtId="182" fontId="0" fillId="0" borderId="0" xfId="0" applyNumberFormat="1" applyAlignment="1"/>
    <xf numFmtId="49" fontId="6" fillId="0" borderId="22" xfId="0" applyNumberFormat="1" applyFont="1" applyBorder="1" applyAlignment="1">
      <alignment vertical="center"/>
    </xf>
    <xf numFmtId="177" fontId="0" fillId="0" borderId="0" xfId="0" applyNumberFormat="1" applyAlignment="1"/>
    <xf numFmtId="182" fontId="5" fillId="0" borderId="21" xfId="0" applyNumberFormat="1" applyFont="1" applyBorder="1" applyAlignment="1">
      <alignment horizontal="center" vertical="center"/>
    </xf>
    <xf numFmtId="2" fontId="5" fillId="0" borderId="21" xfId="0" applyNumberFormat="1" applyFont="1" applyBorder="1" applyAlignment="1">
      <alignment horizontal="center" vertical="center"/>
    </xf>
    <xf numFmtId="183" fontId="0" fillId="0" borderId="0" xfId="0" applyNumberFormat="1" applyAlignment="1"/>
    <xf numFmtId="0" fontId="5" fillId="2" borderId="21" xfId="0" applyFont="1" applyFill="1" applyBorder="1" applyAlignment="1" applyProtection="1">
      <alignment horizontal="left" vertical="center"/>
      <protection locked="0"/>
    </xf>
    <xf numFmtId="0" fontId="5" fillId="2" borderId="23" xfId="0" applyFont="1" applyFill="1" applyBorder="1" applyAlignment="1" applyProtection="1">
      <alignment horizontal="left" vertical="center"/>
      <protection locked="0"/>
    </xf>
    <xf numFmtId="0" fontId="5" fillId="0" borderId="0" xfId="0" applyFont="1" applyAlignment="1"/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4" xfId="0" applyNumberFormat="1" applyFont="1" applyBorder="1" applyAlignment="1">
      <alignment horizontal="center" vertical="center"/>
    </xf>
    <xf numFmtId="178" fontId="8" fillId="0" borderId="4" xfId="0" applyNumberFormat="1" applyFont="1" applyBorder="1" applyAlignment="1">
      <alignment horizontal="center" vertical="center" wrapText="1"/>
    </xf>
    <xf numFmtId="178" fontId="8" fillId="0" borderId="4" xfId="0" applyNumberFormat="1" applyFont="1" applyBorder="1" applyAlignment="1">
      <alignment horizontal="center" vertical="center"/>
    </xf>
    <xf numFmtId="181" fontId="8" fillId="0" borderId="4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177" fontId="9" fillId="0" borderId="4" xfId="0" applyNumberFormat="1" applyFont="1" applyFill="1" applyBorder="1" applyAlignment="1" applyProtection="1">
      <alignment horizontal="center" vertical="center"/>
      <protection locked="0"/>
    </xf>
    <xf numFmtId="177" fontId="9" fillId="0" borderId="4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0" fillId="0" borderId="4" xfId="0" applyBorder="1" applyAlignment="1"/>
    <xf numFmtId="0" fontId="8" fillId="0" borderId="4" xfId="0" applyFont="1" applyBorder="1" applyAlignment="1" applyProtection="1">
      <alignment horizontal="center" vertical="center"/>
      <protection locked="0"/>
    </xf>
    <xf numFmtId="182" fontId="8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/>
    </xf>
    <xf numFmtId="0" fontId="8" fillId="0" borderId="4" xfId="0" applyFont="1" applyBorder="1" applyAlignment="1" applyProtection="1">
      <alignment horizontal="center" vertical="center" wrapText="1"/>
      <protection locked="0"/>
    </xf>
    <xf numFmtId="0" fontId="8" fillId="0" borderId="4" xfId="0" applyFont="1" applyBorder="1" applyAlignment="1">
      <alignment horizontal="left" vertical="center" wrapText="1"/>
    </xf>
    <xf numFmtId="0" fontId="5" fillId="0" borderId="4" xfId="0" applyFont="1" applyBorder="1" applyAlignment="1"/>
    <xf numFmtId="177" fontId="5" fillId="0" borderId="4" xfId="0" applyNumberFormat="1" applyFont="1" applyBorder="1" applyAlignment="1">
      <alignment horizontal="center" vertical="center"/>
    </xf>
    <xf numFmtId="31" fontId="5" fillId="0" borderId="4" xfId="0" applyNumberFormat="1" applyFont="1" applyBorder="1" applyAlignment="1">
      <alignment horizontal="center" vertical="center"/>
    </xf>
    <xf numFmtId="177" fontId="5" fillId="0" borderId="0" xfId="0" applyNumberFormat="1" applyFont="1" applyAlignment="1"/>
    <xf numFmtId="177" fontId="8" fillId="0" borderId="4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right" vertical="center"/>
    </xf>
    <xf numFmtId="0" fontId="8" fillId="0" borderId="4" xfId="0" applyFont="1" applyFill="1" applyBorder="1" applyAlignment="1" applyProtection="1">
      <alignment horizontal="center" vertical="center"/>
      <protection locked="0"/>
    </xf>
    <xf numFmtId="0" fontId="1" fillId="0" borderId="2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178" fontId="11" fillId="0" borderId="29" xfId="0" applyNumberFormat="1" applyFont="1" applyBorder="1" applyAlignment="1">
      <alignment horizontal="center" vertical="center" wrapText="1"/>
    </xf>
    <xf numFmtId="178" fontId="11" fillId="0" borderId="29" xfId="0" applyNumberFormat="1" applyFont="1" applyBorder="1" applyAlignment="1">
      <alignment horizontal="center" vertical="center"/>
    </xf>
    <xf numFmtId="179" fontId="12" fillId="0" borderId="29" xfId="0" applyNumberFormat="1" applyFont="1" applyBorder="1" applyAlignment="1">
      <alignment horizontal="center" vertical="center"/>
    </xf>
    <xf numFmtId="179" fontId="12" fillId="0" borderId="29" xfId="0" applyNumberFormat="1" applyFont="1" applyFill="1" applyBorder="1" applyAlignment="1" applyProtection="1">
      <alignment horizontal="center" vertical="center"/>
      <protection locked="0"/>
    </xf>
    <xf numFmtId="20" fontId="12" fillId="0" borderId="29" xfId="0" applyNumberFormat="1" applyFont="1" applyBorder="1" applyAlignment="1">
      <alignment horizontal="center" vertical="center"/>
    </xf>
    <xf numFmtId="0" fontId="6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177" fontId="11" fillId="0" borderId="29" xfId="0" applyNumberFormat="1" applyFont="1" applyBorder="1" applyAlignment="1">
      <alignment horizontal="center" vertical="center"/>
    </xf>
    <xf numFmtId="182" fontId="11" fillId="0" borderId="29" xfId="0" applyNumberFormat="1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/>
    </xf>
    <xf numFmtId="0" fontId="10" fillId="0" borderId="34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/>
    </xf>
    <xf numFmtId="0" fontId="0" fillId="0" borderId="34" xfId="0" applyBorder="1" applyAlignment="1">
      <alignment vertical="center"/>
    </xf>
    <xf numFmtId="0" fontId="5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5" fillId="0" borderId="0" xfId="0" applyFont="1" applyBorder="1" applyAlignment="1">
      <alignment horizontal="right" vertical="center"/>
    </xf>
    <xf numFmtId="0" fontId="1" fillId="0" borderId="7" xfId="0" applyFont="1" applyBorder="1" applyAlignment="1">
      <alignment horizontal="center" vertical="center"/>
    </xf>
    <xf numFmtId="0" fontId="5" fillId="0" borderId="27" xfId="0" applyFont="1" applyBorder="1" applyAlignment="1" applyProtection="1">
      <alignment horizontal="center" vertical="center" wrapText="1"/>
      <protection locked="0"/>
    </xf>
    <xf numFmtId="0" fontId="5" fillId="0" borderId="38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178" fontId="11" fillId="0" borderId="39" xfId="0" applyNumberFormat="1" applyFont="1" applyBorder="1" applyAlignment="1">
      <alignment horizontal="center" vertical="center" wrapText="1"/>
    </xf>
    <xf numFmtId="179" fontId="12" fillId="0" borderId="39" xfId="0" applyNumberFormat="1" applyFont="1" applyFill="1" applyBorder="1" applyAlignment="1" applyProtection="1">
      <alignment horizontal="center" vertical="center"/>
      <protection locked="0"/>
    </xf>
    <xf numFmtId="0" fontId="6" fillId="0" borderId="39" xfId="0" applyFont="1" applyBorder="1" applyAlignment="1">
      <alignment horizontal="left" vertical="center" wrapText="1"/>
    </xf>
    <xf numFmtId="0" fontId="13" fillId="0" borderId="39" xfId="0" applyFont="1" applyBorder="1" applyAlignment="1">
      <alignment horizontal="center"/>
    </xf>
    <xf numFmtId="0" fontId="13" fillId="0" borderId="40" xfId="0" applyFont="1" applyBorder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8" fillId="0" borderId="41" xfId="0" applyFont="1" applyBorder="1" applyAlignment="1">
      <alignment horizontal="center" vertical="center" wrapText="1"/>
    </xf>
    <xf numFmtId="0" fontId="8" fillId="0" borderId="42" xfId="0" applyFont="1" applyBorder="1" applyAlignment="1">
      <alignment horizontal="center" vertical="center" wrapText="1"/>
    </xf>
    <xf numFmtId="0" fontId="8" fillId="0" borderId="43" xfId="0" applyFont="1" applyBorder="1" applyAlignment="1">
      <alignment horizontal="center" vertical="center" wrapText="1"/>
    </xf>
    <xf numFmtId="31" fontId="5" fillId="0" borderId="30" xfId="0" applyNumberFormat="1" applyFont="1" applyBorder="1" applyAlignment="1">
      <alignment horizontal="center" vertical="center"/>
    </xf>
    <xf numFmtId="31" fontId="5" fillId="0" borderId="31" xfId="0" applyNumberFormat="1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178" fontId="5" fillId="0" borderId="29" xfId="0" applyNumberFormat="1" applyFont="1" applyBorder="1" applyAlignment="1">
      <alignment horizontal="center" vertical="center" wrapText="1"/>
    </xf>
    <xf numFmtId="178" fontId="5" fillId="0" borderId="29" xfId="0" applyNumberFormat="1" applyFont="1" applyBorder="1" applyAlignment="1">
      <alignment horizontal="center" vertical="center"/>
    </xf>
    <xf numFmtId="177" fontId="5" fillId="0" borderId="29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14" fillId="0" borderId="29" xfId="0" applyFont="1" applyFill="1" applyBorder="1" applyAlignment="1" applyProtection="1">
      <alignment horizontal="center" vertical="center"/>
      <protection locked="0"/>
    </xf>
    <xf numFmtId="184" fontId="5" fillId="0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29" xfId="0" applyFont="1" applyBorder="1" applyAlignment="1">
      <alignment horizontal="center" vertical="center" wrapText="1"/>
    </xf>
    <xf numFmtId="184" fontId="10" fillId="0" borderId="29" xfId="0" applyNumberFormat="1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31" fontId="5" fillId="0" borderId="32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182" fontId="5" fillId="0" borderId="29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178" fontId="5" fillId="0" borderId="39" xfId="0" applyNumberFormat="1" applyFont="1" applyBorder="1" applyAlignment="1">
      <alignment horizontal="center" vertical="center" wrapText="1"/>
    </xf>
    <xf numFmtId="176" fontId="5" fillId="0" borderId="39" xfId="0" applyNumberFormat="1" applyFont="1" applyBorder="1" applyAlignment="1">
      <alignment horizontal="center" vertical="center"/>
    </xf>
    <xf numFmtId="0" fontId="14" fillId="0" borderId="39" xfId="0" applyFont="1" applyFill="1" applyBorder="1" applyAlignment="1" applyProtection="1">
      <alignment horizontal="center" vertical="center"/>
      <protection locked="0"/>
    </xf>
    <xf numFmtId="176" fontId="5" fillId="0" borderId="39" xfId="0" applyNumberFormat="1" applyFont="1" applyFill="1" applyBorder="1" applyAlignment="1" applyProtection="1">
      <alignment horizontal="center" vertical="center"/>
      <protection locked="0"/>
    </xf>
    <xf numFmtId="0" fontId="10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0" fillId="0" borderId="0" xfId="0" applyFill="1" applyAlignment="1" applyProtection="1">
      <alignment horizontal="center" vertical="center"/>
      <protection locked="0"/>
    </xf>
    <xf numFmtId="0" fontId="0" fillId="0" borderId="0" xfId="0" applyFont="1" applyFill="1" applyAlignment="1" applyProtection="1">
      <alignment horizontal="center" vertical="center"/>
      <protection locked="0"/>
    </xf>
    <xf numFmtId="0" fontId="15" fillId="0" borderId="0" xfId="0" applyFont="1" applyAlignment="1">
      <alignment horizontal="center" vertical="center"/>
    </xf>
    <xf numFmtId="0" fontId="16" fillId="0" borderId="0" xfId="0" applyFont="1" applyAlignment="1"/>
    <xf numFmtId="0" fontId="4" fillId="0" borderId="0" xfId="0" applyFont="1" applyAlignment="1">
      <alignment horizontal="left"/>
    </xf>
    <xf numFmtId="0" fontId="8" fillId="0" borderId="0" xfId="0" applyFont="1" applyAlignment="1"/>
    <xf numFmtId="0" fontId="17" fillId="0" borderId="0" xfId="0" applyFont="1" applyFill="1" applyBorder="1" applyAlignment="1" applyProtection="1">
      <alignment horizontal="left" wrapText="1"/>
      <protection locked="0"/>
    </xf>
    <xf numFmtId="0" fontId="17" fillId="0" borderId="0" xfId="0" applyFont="1" applyFill="1" applyBorder="1" applyAlignment="1" applyProtection="1">
      <alignment horizontal="left"/>
      <protection locked="0"/>
    </xf>
    <xf numFmtId="0" fontId="4" fillId="0" borderId="0" xfId="0" applyFont="1" applyBorder="1" applyAlignment="1">
      <alignment horizontal="left" wrapText="1"/>
    </xf>
    <xf numFmtId="0" fontId="0" fillId="0" borderId="4" xfId="0" applyFont="1" applyBorder="1" applyAlignment="1">
      <alignment horizontal="center"/>
    </xf>
    <xf numFmtId="0" fontId="0" fillId="0" borderId="15" xfId="0" applyFont="1" applyBorder="1" applyAlignment="1">
      <alignment horizontal="left"/>
    </xf>
    <xf numFmtId="0" fontId="0" fillId="0" borderId="19" xfId="0" applyFont="1" applyBorder="1" applyAlignment="1">
      <alignment horizontal="left"/>
    </xf>
    <xf numFmtId="0" fontId="0" fillId="0" borderId="18" xfId="0" applyFont="1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4" xfId="0" applyFont="1" applyBorder="1" applyAlignment="1">
      <alignment horizontal="left"/>
    </xf>
    <xf numFmtId="0" fontId="0" fillId="0" borderId="0" xfId="0" applyFont="1" applyBorder="1" applyAlignment="1"/>
    <xf numFmtId="0" fontId="0" fillId="0" borderId="0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18" fillId="0" borderId="0" xfId="0" applyFont="1" applyAlignment="1"/>
    <xf numFmtId="0" fontId="18" fillId="0" borderId="0" xfId="0" applyFont="1" applyBorder="1" applyAlignment="1">
      <alignment horizontal="left"/>
    </xf>
    <xf numFmtId="0" fontId="0" fillId="0" borderId="4" xfId="0" applyFont="1" applyFill="1" applyBorder="1" applyAlignment="1">
      <alignment horizontal="center"/>
    </xf>
    <xf numFmtId="0" fontId="19" fillId="0" borderId="0" xfId="0" applyFont="1" applyAlignment="1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185" fontId="0" fillId="0" borderId="0" xfId="0" applyNumberFormat="1" applyFont="1" applyBorder="1" applyAlignment="1">
      <alignment horizontal="right"/>
    </xf>
    <xf numFmtId="177" fontId="0" fillId="0" borderId="0" xfId="0" applyNumberFormat="1" applyFont="1" applyAlignment="1"/>
    <xf numFmtId="0" fontId="0" fillId="0" borderId="15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186" fontId="0" fillId="0" borderId="15" xfId="0" applyNumberFormat="1" applyFont="1" applyBorder="1" applyAlignment="1">
      <alignment horizontal="center"/>
    </xf>
    <xf numFmtId="186" fontId="0" fillId="0" borderId="19" xfId="0" applyNumberFormat="1" applyFont="1" applyBorder="1" applyAlignment="1">
      <alignment horizontal="center"/>
    </xf>
    <xf numFmtId="186" fontId="0" fillId="0" borderId="18" xfId="0" applyNumberFormat="1" applyFont="1" applyBorder="1" applyAlignment="1">
      <alignment horizontal="center"/>
    </xf>
    <xf numFmtId="0" fontId="21" fillId="0" borderId="0" xfId="0" applyFont="1" applyAlignment="1"/>
    <xf numFmtId="177" fontId="0" fillId="0" borderId="15" xfId="0" applyNumberFormat="1" applyFont="1" applyBorder="1" applyAlignment="1">
      <alignment horizontal="center"/>
    </xf>
    <xf numFmtId="177" fontId="0" fillId="0" borderId="19" xfId="0" applyNumberFormat="1" applyFont="1" applyBorder="1" applyAlignment="1">
      <alignment horizontal="center"/>
    </xf>
    <xf numFmtId="177" fontId="0" fillId="0" borderId="18" xfId="0" applyNumberFormat="1" applyFont="1" applyBorder="1" applyAlignment="1">
      <alignment horizontal="center"/>
    </xf>
    <xf numFmtId="0" fontId="0" fillId="0" borderId="0" xfId="0" applyFont="1" applyAlignment="1">
      <alignment horizontal="left" vertical="center" wrapText="1"/>
    </xf>
    <xf numFmtId="0" fontId="0" fillId="0" borderId="0" xfId="0" applyNumberFormat="1" applyFont="1" applyAlignment="1">
      <alignment horizontal="center"/>
    </xf>
    <xf numFmtId="0" fontId="0" fillId="0" borderId="4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19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49" fontId="20" fillId="0" borderId="4" xfId="0" applyNumberFormat="1" applyFont="1" applyBorder="1" applyAlignment="1">
      <alignment horizontal="center" vertical="center"/>
    </xf>
    <xf numFmtId="177" fontId="0" fillId="0" borderId="15" xfId="0" applyNumberFormat="1" applyFont="1" applyBorder="1" applyAlignment="1">
      <alignment horizontal="center" vertical="center"/>
    </xf>
    <xf numFmtId="177" fontId="0" fillId="0" borderId="19" xfId="0" applyNumberFormat="1" applyFont="1" applyBorder="1" applyAlignment="1">
      <alignment horizontal="center" vertical="center"/>
    </xf>
    <xf numFmtId="177" fontId="0" fillId="0" borderId="18" xfId="0" applyNumberFormat="1" applyFont="1" applyBorder="1" applyAlignment="1">
      <alignment horizontal="center" vertical="center"/>
    </xf>
    <xf numFmtId="176" fontId="0" fillId="0" borderId="15" xfId="0" applyNumberFormat="1" applyFont="1" applyBorder="1" applyAlignment="1">
      <alignment horizontal="center" vertical="center"/>
    </xf>
    <xf numFmtId="176" fontId="0" fillId="0" borderId="19" xfId="0" applyNumberFormat="1" applyFont="1" applyBorder="1" applyAlignment="1">
      <alignment horizontal="center" vertical="center"/>
    </xf>
    <xf numFmtId="176" fontId="0" fillId="0" borderId="18" xfId="0" applyNumberFormat="1" applyFont="1" applyBorder="1" applyAlignment="1">
      <alignment horizontal="center" vertical="center"/>
    </xf>
    <xf numFmtId="49" fontId="0" fillId="0" borderId="4" xfId="0" applyNumberFormat="1" applyFont="1" applyBorder="1" applyAlignment="1">
      <alignment horizontal="center" vertical="center"/>
    </xf>
    <xf numFmtId="49" fontId="0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176" fontId="0" fillId="0" borderId="0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228600</xdr:colOff>
          <xdr:row>32</xdr:row>
          <xdr:rowOff>95250</xdr:rowOff>
        </xdr:from>
        <xdr:to>
          <xdr:col>7</xdr:col>
          <xdr:colOff>1619250</xdr:colOff>
          <xdr:row>39</xdr:row>
          <xdr:rowOff>266700</xdr:rowOff>
        </xdr:to>
        <xdr:sp>
          <xdr:nvSpPr>
            <xdr:cNvPr id="6156" name="Object 1036" hidden="1">
              <a:extLst>
                <a:ext uri="{63B3BB69-23CF-44E3-9099-C40C66FF867C}">
                  <a14:compatExt spid="_x0000_s6156"/>
                </a:ext>
              </a:extLst>
            </xdr:cNvPr>
            <xdr:cNvSpPr/>
          </xdr:nvSpPr>
          <xdr:spPr>
            <a:xfrm>
              <a:off x="228600" y="7263765"/>
              <a:ext cx="6219825" cy="20002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16</xdr:row>
          <xdr:rowOff>171450</xdr:rowOff>
        </xdr:from>
        <xdr:to>
          <xdr:col>4</xdr:col>
          <xdr:colOff>333375</xdr:colOff>
          <xdr:row>21</xdr:row>
          <xdr:rowOff>0</xdr:rowOff>
        </xdr:to>
        <xdr:sp>
          <xdr:nvSpPr>
            <xdr:cNvPr id="8194" name="Object 1026" hidden="1">
              <a:extLst>
                <a:ext uri="{63B3BB69-23CF-44E3-9099-C40C66FF867C}">
                  <a14:compatExt spid="_x0000_s8194"/>
                </a:ext>
              </a:extLst>
            </xdr:cNvPr>
            <xdr:cNvSpPr/>
          </xdr:nvSpPr>
          <xdr:spPr>
            <a:xfrm>
              <a:off x="285750" y="3884295"/>
              <a:ext cx="2114550" cy="9715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8</xdr:row>
      <xdr:rowOff>9525</xdr:rowOff>
    </xdr:from>
    <xdr:to>
      <xdr:col>6</xdr:col>
      <xdr:colOff>0</xdr:colOff>
      <xdr:row>26</xdr:row>
      <xdr:rowOff>180975</xdr:rowOff>
    </xdr:to>
    <xdr:pic>
      <xdr:nvPicPr>
        <xdr:cNvPr id="9217" name="Picture 1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90600" y="2057400"/>
          <a:ext cx="8505825" cy="373761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2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37329;&#29392;&#35797;&#39564;\&#20132;&#36890;&#34892;&#19994;&#20844;&#36335;&#27700;&#36816;&#24037;&#31243;&#35797;&#39564;&#26816;&#27979;&#23454;&#25805;&#35270;&#39057;(2016&#24180;)\&#35797;&#39564;&#26816;&#27979;&#35745;&#21010;\Excel&#33258;&#21160;&#35745;&#31639;&#34920;\&#37026;&#21488;&#21046;&#26753;&#22330;\&#21046;&#26753;&#25991;&#20214;\&#38745;&#36733;&#35797;&#39564;\639#&#26753;31.5&#31859;&#38745;&#36733;&#35745;&#31639;&#21333;(&#30707;&#27494;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传感器校准结果"/>
      <sheetName val="加载计算"/>
      <sheetName val="加载设备对跨中产生的弯矩"/>
      <sheetName val="加载记录"/>
      <sheetName val="传感器及百分表位置表"/>
      <sheetName val="加载时间记录"/>
      <sheetName val="挠度记录"/>
      <sheetName val="试验报告"/>
    </sheetNames>
    <sheetDataSet>
      <sheetData sheetId="0" refreshError="1"/>
      <sheetData sheetId="1" refreshError="1">
        <row r="79">
          <cell r="B79" t="str">
            <v>Ka</v>
          </cell>
        </row>
        <row r="81">
          <cell r="B81">
            <v>0.8</v>
          </cell>
        </row>
        <row r="82">
          <cell r="B82" t="str">
            <v>Kb</v>
          </cell>
        </row>
        <row r="83">
          <cell r="B83">
            <v>1</v>
          </cell>
        </row>
        <row r="84">
          <cell r="B84">
            <v>1.05</v>
          </cell>
        </row>
        <row r="85">
          <cell r="B85">
            <v>1.1</v>
          </cell>
        </row>
        <row r="86">
          <cell r="B86">
            <v>1.15</v>
          </cell>
        </row>
        <row r="87">
          <cell r="B87">
            <v>1.2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w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4" Type="http://schemas.openxmlformats.org/officeDocument/2006/relationships/image" Target="../media/image2.emf"/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1"/>
  <sheetViews>
    <sheetView zoomScale="115" zoomScaleNormal="115" workbookViewId="0">
      <selection activeCell="C77" sqref="C77"/>
    </sheetView>
  </sheetViews>
  <sheetFormatPr defaultColWidth="9" defaultRowHeight="15.6"/>
  <cols>
    <col min="1" max="1" width="4.5" style="149" customWidth="1"/>
    <col min="2" max="2" width="8.375" style="149" customWidth="1"/>
    <col min="3" max="3" width="12.125" style="149" customWidth="1"/>
    <col min="4" max="5" width="9" style="149"/>
    <col min="6" max="6" width="11.625" style="149" customWidth="1"/>
    <col min="7" max="7" width="8.75" style="149" customWidth="1"/>
    <col min="8" max="8" width="25" style="149" customWidth="1"/>
    <col min="9" max="9" width="10.875" style="149" customWidth="1"/>
    <col min="10" max="10" width="11.25" style="149" customWidth="1"/>
    <col min="11" max="11" width="12.625" style="149"/>
    <col min="12" max="16384" width="9" style="149"/>
  </cols>
  <sheetData>
    <row r="1" spans="1:9">
      <c r="A1" s="182" t="s">
        <v>0</v>
      </c>
      <c r="B1" s="183"/>
      <c r="C1" s="183"/>
      <c r="D1" s="183"/>
      <c r="E1" s="183"/>
      <c r="F1" s="183"/>
      <c r="G1" s="183"/>
      <c r="H1" s="183"/>
      <c r="I1" s="183"/>
    </row>
    <row r="2" ht="24.75" customHeight="1" spans="1:8">
      <c r="A2" s="184" t="s">
        <v>1</v>
      </c>
      <c r="B2" s="184"/>
      <c r="C2" s="184"/>
      <c r="D2" s="184"/>
      <c r="E2" s="184"/>
      <c r="F2" s="184"/>
      <c r="G2" s="184"/>
      <c r="H2" s="184"/>
    </row>
    <row r="3" ht="17.4" spans="1:6">
      <c r="A3" s="185" t="s">
        <v>2</v>
      </c>
      <c r="B3" s="186" t="s">
        <v>3</v>
      </c>
      <c r="C3" s="186"/>
      <c r="D3" s="186"/>
      <c r="E3" s="186"/>
      <c r="F3" s="186"/>
    </row>
    <row r="4" ht="17.4" spans="1:6">
      <c r="A4" s="187"/>
      <c r="B4" s="188" t="s">
        <v>4</v>
      </c>
      <c r="C4" s="189"/>
      <c r="D4" s="189"/>
      <c r="E4" s="189"/>
      <c r="F4" s="189"/>
    </row>
    <row r="5" ht="7.5" customHeight="1" spans="1:6">
      <c r="A5" s="187"/>
      <c r="B5" s="188"/>
      <c r="C5" s="189"/>
      <c r="D5" s="189"/>
      <c r="E5" s="189"/>
      <c r="F5" s="189"/>
    </row>
    <row r="6" ht="17.4" spans="1:6">
      <c r="A6" s="185" t="s">
        <v>5</v>
      </c>
      <c r="B6" s="190" t="s">
        <v>6</v>
      </c>
      <c r="C6" s="190"/>
      <c r="D6" s="190"/>
      <c r="E6" s="190"/>
      <c r="F6" s="190"/>
    </row>
    <row r="7" spans="2:8">
      <c r="B7" s="191">
        <v>1</v>
      </c>
      <c r="C7" s="192" t="s">
        <v>7</v>
      </c>
      <c r="D7" s="193"/>
      <c r="E7" s="193"/>
      <c r="F7" s="193"/>
      <c r="G7" s="194"/>
      <c r="H7" s="195" t="s">
        <v>8</v>
      </c>
    </row>
    <row r="8" spans="2:8">
      <c r="B8" s="191">
        <v>2</v>
      </c>
      <c r="C8" s="192" t="s">
        <v>9</v>
      </c>
      <c r="D8" s="193"/>
      <c r="E8" s="193"/>
      <c r="F8" s="193"/>
      <c r="G8" s="194"/>
      <c r="H8" s="191" t="s">
        <v>10</v>
      </c>
    </row>
    <row r="9" spans="2:8">
      <c r="B9" s="191">
        <v>3</v>
      </c>
      <c r="C9" s="192" t="s">
        <v>11</v>
      </c>
      <c r="D9" s="193"/>
      <c r="E9" s="193"/>
      <c r="F9" s="193"/>
      <c r="G9" s="194"/>
      <c r="H9" s="191">
        <v>32</v>
      </c>
    </row>
    <row r="10" spans="2:8">
      <c r="B10" s="191">
        <v>4</v>
      </c>
      <c r="C10" s="192" t="s">
        <v>12</v>
      </c>
      <c r="D10" s="193"/>
      <c r="E10" s="193"/>
      <c r="F10" s="193"/>
      <c r="G10" s="194"/>
      <c r="H10" s="191" t="s">
        <v>13</v>
      </c>
    </row>
    <row r="11" spans="2:8">
      <c r="B11" s="191">
        <v>5</v>
      </c>
      <c r="C11" s="192" t="s">
        <v>14</v>
      </c>
      <c r="D11" s="193"/>
      <c r="E11" s="193"/>
      <c r="F11" s="193"/>
      <c r="G11" s="194"/>
      <c r="H11" s="191">
        <v>36</v>
      </c>
    </row>
    <row r="12" spans="2:8">
      <c r="B12" s="191">
        <v>6</v>
      </c>
      <c r="C12" s="192" t="s">
        <v>15</v>
      </c>
      <c r="D12" s="193"/>
      <c r="E12" s="193"/>
      <c r="F12" s="193"/>
      <c r="G12" s="194"/>
      <c r="H12" s="195" t="s">
        <v>16</v>
      </c>
    </row>
    <row r="13" spans="2:8">
      <c r="B13" s="191">
        <v>7</v>
      </c>
      <c r="C13" s="192" t="s">
        <v>17</v>
      </c>
      <c r="D13" s="193"/>
      <c r="E13" s="193"/>
      <c r="F13" s="193"/>
      <c r="G13" s="194"/>
      <c r="H13" s="195" t="s">
        <v>18</v>
      </c>
    </row>
    <row r="14" spans="2:8">
      <c r="B14" s="191">
        <v>8</v>
      </c>
      <c r="C14" s="196" t="s">
        <v>19</v>
      </c>
      <c r="D14" s="196"/>
      <c r="E14" s="196"/>
      <c r="F14" s="196"/>
      <c r="G14" s="196"/>
      <c r="H14" s="195" t="s">
        <v>20</v>
      </c>
    </row>
    <row r="15" spans="2:8">
      <c r="B15" s="191">
        <v>9</v>
      </c>
      <c r="C15" s="196" t="s">
        <v>21</v>
      </c>
      <c r="D15" s="196"/>
      <c r="E15" s="196"/>
      <c r="F15" s="196"/>
      <c r="G15" s="196"/>
      <c r="H15" s="191">
        <v>38</v>
      </c>
    </row>
    <row r="16" ht="11.25" customHeight="1" spans="1:8">
      <c r="A16" s="197"/>
      <c r="B16" s="198"/>
      <c r="C16" s="199"/>
      <c r="D16" s="199"/>
      <c r="E16" s="199"/>
      <c r="F16" s="199"/>
      <c r="G16" s="199"/>
      <c r="H16" s="197"/>
    </row>
    <row r="17" ht="22.5" customHeight="1" spans="1:8">
      <c r="A17" s="200" t="s">
        <v>22</v>
      </c>
      <c r="B17" s="201" t="s">
        <v>23</v>
      </c>
      <c r="C17" s="201"/>
      <c r="D17" s="201"/>
      <c r="E17" s="201"/>
      <c r="F17" s="201"/>
      <c r="G17" s="197"/>
      <c r="H17" s="197"/>
    </row>
    <row r="18" ht="20.25" customHeight="1" spans="2:8">
      <c r="B18" s="202">
        <v>1</v>
      </c>
      <c r="C18" s="192" t="s">
        <v>24</v>
      </c>
      <c r="D18" s="193"/>
      <c r="E18" s="193"/>
      <c r="F18" s="193"/>
      <c r="G18" s="194"/>
      <c r="H18" s="191">
        <v>32</v>
      </c>
    </row>
    <row r="19" ht="20.25" customHeight="1" spans="2:10">
      <c r="B19" s="202">
        <v>2</v>
      </c>
      <c r="C19" s="192" t="s">
        <v>25</v>
      </c>
      <c r="D19" s="193"/>
      <c r="E19" s="193"/>
      <c r="F19" s="193"/>
      <c r="G19" s="194"/>
      <c r="H19" s="191">
        <v>5272.3</v>
      </c>
      <c r="J19" s="149">
        <f>3.14*(25*25-15*15)*150/1000000000*7850*4</f>
        <v>5.91576</v>
      </c>
    </row>
    <row r="20" ht="20.25" customHeight="1" spans="2:8">
      <c r="B20" s="202">
        <v>3</v>
      </c>
      <c r="C20" s="192" t="s">
        <v>26</v>
      </c>
      <c r="D20" s="193"/>
      <c r="E20" s="193"/>
      <c r="F20" s="193"/>
      <c r="G20" s="194"/>
      <c r="H20" s="191">
        <v>6001.9</v>
      </c>
    </row>
    <row r="21" ht="20.25" customHeight="1" spans="2:8">
      <c r="B21" s="202">
        <v>4</v>
      </c>
      <c r="C21" s="192" t="s">
        <v>27</v>
      </c>
      <c r="D21" s="193"/>
      <c r="E21" s="193"/>
      <c r="F21" s="193"/>
      <c r="G21" s="194"/>
      <c r="H21" s="191">
        <v>368.8</v>
      </c>
    </row>
    <row r="22" ht="20.25" customHeight="1" spans="2:10">
      <c r="B22" s="202">
        <v>5</v>
      </c>
      <c r="C22" s="192" t="s">
        <v>28</v>
      </c>
      <c r="D22" s="193"/>
      <c r="E22" s="193"/>
      <c r="F22" s="193"/>
      <c r="G22" s="194"/>
      <c r="H22" s="191">
        <v>8231.2</v>
      </c>
      <c r="J22" s="149">
        <f>15.4*0.17*4</f>
        <v>10.472</v>
      </c>
    </row>
    <row r="23" ht="20.25" customHeight="1" spans="2:8">
      <c r="B23" s="202">
        <v>6</v>
      </c>
      <c r="C23" s="192" t="s">
        <v>29</v>
      </c>
      <c r="D23" s="193"/>
      <c r="E23" s="193"/>
      <c r="F23" s="193"/>
      <c r="G23" s="194"/>
      <c r="H23" s="191">
        <v>1.194</v>
      </c>
    </row>
    <row r="24" ht="20.25" customHeight="1" spans="2:8">
      <c r="B24" s="202">
        <v>7</v>
      </c>
      <c r="C24" s="192" t="s">
        <v>30</v>
      </c>
      <c r="D24" s="193"/>
      <c r="E24" s="193"/>
      <c r="F24" s="193"/>
      <c r="G24" s="194"/>
      <c r="H24" s="191">
        <v>1.33642</v>
      </c>
    </row>
    <row r="25" ht="20.25" customHeight="1" spans="2:8">
      <c r="B25" s="202">
        <v>8</v>
      </c>
      <c r="C25" s="192" t="s">
        <v>31</v>
      </c>
      <c r="D25" s="193"/>
      <c r="E25" s="193"/>
      <c r="F25" s="193"/>
      <c r="G25" s="194"/>
      <c r="H25" s="191">
        <v>0.848094</v>
      </c>
    </row>
    <row r="26" ht="20.25" customHeight="1" spans="2:8">
      <c r="B26" s="202">
        <v>9</v>
      </c>
      <c r="C26" s="192" t="s">
        <v>32</v>
      </c>
      <c r="D26" s="193"/>
      <c r="E26" s="193"/>
      <c r="F26" s="193"/>
      <c r="G26" s="194"/>
      <c r="H26" s="191">
        <v>0.01218</v>
      </c>
    </row>
    <row r="27" ht="20.25" customHeight="1" spans="2:8">
      <c r="B27" s="202">
        <v>10</v>
      </c>
      <c r="C27" s="192" t="s">
        <v>33</v>
      </c>
      <c r="D27" s="193"/>
      <c r="E27" s="193"/>
      <c r="F27" s="193"/>
      <c r="G27" s="194"/>
      <c r="H27" s="191">
        <v>1.1108</v>
      </c>
    </row>
    <row r="28" ht="20.25" customHeight="1" spans="2:8">
      <c r="B28" s="202">
        <v>11</v>
      </c>
      <c r="C28" s="192" t="s">
        <v>34</v>
      </c>
      <c r="D28" s="193"/>
      <c r="E28" s="193"/>
      <c r="F28" s="193"/>
      <c r="G28" s="194"/>
      <c r="H28" s="191">
        <v>162.93</v>
      </c>
    </row>
    <row r="29" ht="20.25" customHeight="1" spans="2:8">
      <c r="B29" s="202">
        <v>12</v>
      </c>
      <c r="C29" s="192" t="s">
        <v>35</v>
      </c>
      <c r="D29" s="193"/>
      <c r="E29" s="193"/>
      <c r="F29" s="193"/>
      <c r="G29" s="194"/>
      <c r="H29" s="191">
        <v>11.94</v>
      </c>
    </row>
    <row r="30" ht="20.25" customHeight="1" spans="2:8">
      <c r="B30" s="202">
        <v>13</v>
      </c>
      <c r="C30" s="192" t="s">
        <v>36</v>
      </c>
      <c r="D30" s="193"/>
      <c r="E30" s="193"/>
      <c r="F30" s="193"/>
      <c r="G30" s="194"/>
      <c r="H30" s="195" t="s">
        <v>37</v>
      </c>
    </row>
    <row r="31" ht="20.25" customHeight="1" spans="2:8">
      <c r="B31" s="202">
        <v>14</v>
      </c>
      <c r="C31" s="192" t="s">
        <v>38</v>
      </c>
      <c r="D31" s="193"/>
      <c r="E31" s="193"/>
      <c r="F31" s="193"/>
      <c r="G31" s="194"/>
      <c r="H31" s="191">
        <v>1.26</v>
      </c>
    </row>
    <row r="32" ht="6.75" customHeight="1"/>
    <row r="33" ht="51" customHeight="1" spans="2:6">
      <c r="B33" s="187"/>
      <c r="C33" s="187"/>
      <c r="D33" s="187"/>
      <c r="E33" s="187"/>
      <c r="F33" s="187"/>
    </row>
    <row r="34" spans="1:6">
      <c r="A34" s="187"/>
      <c r="C34" s="203" t="s">
        <v>39</v>
      </c>
      <c r="D34" s="204" t="s">
        <v>40</v>
      </c>
      <c r="E34" s="204" t="s">
        <v>41</v>
      </c>
      <c r="F34" s="187"/>
    </row>
    <row r="35" spans="1:6">
      <c r="A35" s="187"/>
      <c r="B35" s="187"/>
      <c r="C35" s="187"/>
      <c r="D35" s="187"/>
      <c r="E35" s="187"/>
      <c r="F35" s="187"/>
    </row>
    <row r="36" spans="2:6">
      <c r="B36" s="187"/>
      <c r="C36" s="187"/>
      <c r="D36" s="187"/>
      <c r="E36" s="187"/>
      <c r="F36" s="187"/>
    </row>
    <row r="37" spans="1:6">
      <c r="A37" s="187"/>
      <c r="B37" s="187"/>
      <c r="C37" s="187"/>
      <c r="D37" s="187"/>
      <c r="E37" s="187"/>
      <c r="F37" s="187"/>
    </row>
    <row r="38" spans="1:6">
      <c r="A38" s="187"/>
      <c r="B38" s="205"/>
      <c r="C38" s="203"/>
      <c r="D38" s="204"/>
      <c r="E38" s="204"/>
      <c r="F38" s="204"/>
    </row>
    <row r="39" ht="15" customHeight="1" spans="1:6">
      <c r="A39" s="187"/>
      <c r="B39" s="205"/>
      <c r="F39" s="204"/>
    </row>
    <row r="40" ht="24.75" customHeight="1" spans="1:6">
      <c r="A40" s="187"/>
      <c r="B40" s="205"/>
      <c r="C40" s="206" t="s">
        <v>42</v>
      </c>
      <c r="D40" s="207"/>
      <c r="E40" s="207"/>
      <c r="F40" s="204"/>
    </row>
    <row r="41" spans="1:2">
      <c r="A41" s="149" t="s">
        <v>43</v>
      </c>
      <c r="B41" s="200" t="s">
        <v>44</v>
      </c>
    </row>
    <row r="42" spans="2:2">
      <c r="B42" s="208" t="s">
        <v>45</v>
      </c>
    </row>
    <row r="43" spans="2:2">
      <c r="B43" s="208" t="s">
        <v>46</v>
      </c>
    </row>
    <row r="44" spans="2:2">
      <c r="B44" s="208" t="s">
        <v>47</v>
      </c>
    </row>
    <row r="45" spans="2:5">
      <c r="B45" s="149" t="s">
        <v>48</v>
      </c>
      <c r="C45" s="209">
        <v>28</v>
      </c>
      <c r="E45" s="209"/>
    </row>
    <row r="46" ht="8.25" customHeight="1"/>
    <row r="47" ht="19.2" spans="1:2">
      <c r="A47" s="149" t="s">
        <v>49</v>
      </c>
      <c r="B47" s="200" t="s">
        <v>50</v>
      </c>
    </row>
    <row r="48" spans="2:11">
      <c r="B48" s="149" t="s">
        <v>51</v>
      </c>
      <c r="K48" s="149">
        <f>(1-0.5)/38*36+0.5</f>
        <v>0.973684210526316</v>
      </c>
    </row>
    <row r="49" spans="2:10">
      <c r="B49" s="149" t="s">
        <v>52</v>
      </c>
      <c r="J49" s="149">
        <f>(0.43-0.4)/10*8+0.4</f>
        <v>0.424</v>
      </c>
    </row>
    <row r="50" ht="19.2" spans="2:2">
      <c r="B50" s="149" t="s">
        <v>53</v>
      </c>
    </row>
    <row r="51" spans="2:8">
      <c r="B51" s="210" t="s">
        <v>54</v>
      </c>
      <c r="C51" s="149">
        <v>0.424</v>
      </c>
      <c r="E51" s="210" t="s">
        <v>55</v>
      </c>
      <c r="F51" s="211">
        <v>0.973684211</v>
      </c>
      <c r="G51" s="199"/>
      <c r="H51" s="199"/>
    </row>
    <row r="52" ht="9.75" customHeight="1" spans="10:10">
      <c r="J52" s="149">
        <f>25*0.5/38+0.5</f>
        <v>0.828947368421053</v>
      </c>
    </row>
    <row r="53" ht="19.2" spans="1:9">
      <c r="A53" s="149" t="s">
        <v>56</v>
      </c>
      <c r="B53" s="200" t="s">
        <v>57</v>
      </c>
      <c r="I53" s="220"/>
    </row>
    <row r="54" spans="2:9">
      <c r="B54" s="200" t="s">
        <v>58</v>
      </c>
      <c r="C54" t="s">
        <v>59</v>
      </c>
      <c r="I54" s="220"/>
    </row>
    <row r="55" spans="2:9">
      <c r="B55" s="200" t="s">
        <v>58</v>
      </c>
      <c r="C55" s="212">
        <f>(1-F63)*H28+(1-F64)*H29</f>
        <v>94.16189052066</v>
      </c>
      <c r="I55" s="220"/>
    </row>
    <row r="56" ht="7.5" customHeight="1" spans="2:9">
      <c r="B56" s="200"/>
      <c r="I56" s="220"/>
    </row>
    <row r="57" ht="17.25" customHeight="1" spans="2:9">
      <c r="B57" s="200" t="s">
        <v>60</v>
      </c>
      <c r="I57" s="200"/>
    </row>
    <row r="58" spans="2:9">
      <c r="B58" s="200" t="s">
        <v>58</v>
      </c>
      <c r="C58" s="149" t="s">
        <v>61</v>
      </c>
      <c r="I58" s="200"/>
    </row>
    <row r="59" spans="2:9">
      <c r="B59" s="200" t="s">
        <v>58</v>
      </c>
      <c r="C59" s="212">
        <f>C55*H26*(H25/H24+H27)*1000</f>
        <v>2001.78659713009</v>
      </c>
      <c r="I59" s="200"/>
    </row>
    <row r="60" spans="2:9">
      <c r="B60" s="200"/>
      <c r="I60" s="200"/>
    </row>
    <row r="61" ht="21.75" customHeight="1" spans="2:8">
      <c r="B61" s="191">
        <v>1</v>
      </c>
      <c r="C61" s="213" t="s">
        <v>62</v>
      </c>
      <c r="D61" s="214"/>
      <c r="E61" s="215"/>
      <c r="F61" s="216" t="str">
        <f>H7</f>
        <v>FL32QB-0020</v>
      </c>
      <c r="G61" s="214"/>
      <c r="H61" s="215"/>
    </row>
    <row r="62" ht="21.75" customHeight="1" spans="2:8">
      <c r="B62" s="191">
        <v>2</v>
      </c>
      <c r="C62" s="213" t="s">
        <v>63</v>
      </c>
      <c r="D62" s="214"/>
      <c r="E62" s="215"/>
      <c r="F62" s="213">
        <f>H15</f>
        <v>38</v>
      </c>
      <c r="G62" s="214"/>
      <c r="H62" s="215"/>
    </row>
    <row r="63" ht="21.75" customHeight="1" spans="2:8">
      <c r="B63" s="191">
        <v>3</v>
      </c>
      <c r="C63" s="213" t="s">
        <v>64</v>
      </c>
      <c r="D63" s="214"/>
      <c r="E63" s="215"/>
      <c r="F63" s="213">
        <f>C51</f>
        <v>0.424</v>
      </c>
      <c r="G63" s="214"/>
      <c r="H63" s="215"/>
    </row>
    <row r="64" ht="21.75" customHeight="1" spans="2:8">
      <c r="B64" s="191">
        <v>4</v>
      </c>
      <c r="C64" s="213" t="s">
        <v>65</v>
      </c>
      <c r="D64" s="214"/>
      <c r="E64" s="215"/>
      <c r="F64" s="217">
        <f>F51</f>
        <v>0.973684211</v>
      </c>
      <c r="G64" s="218"/>
      <c r="H64" s="219"/>
    </row>
    <row r="65" ht="21.75" customHeight="1" spans="2:8">
      <c r="B65" s="191">
        <v>5</v>
      </c>
      <c r="C65" s="213" t="s">
        <v>66</v>
      </c>
      <c r="D65" s="214"/>
      <c r="E65" s="215"/>
      <c r="F65" s="221">
        <f>(1-F63)*H28+(1-F64)*H29</f>
        <v>94.16189052066</v>
      </c>
      <c r="G65" s="222"/>
      <c r="H65" s="223"/>
    </row>
    <row r="66" ht="21.75" customHeight="1" spans="2:8">
      <c r="B66" s="191">
        <v>6</v>
      </c>
      <c r="C66" s="213" t="s">
        <v>67</v>
      </c>
      <c r="D66" s="214"/>
      <c r="E66" s="215"/>
      <c r="F66" s="221">
        <f>F65*H26*(H25/H24+H27)*1000</f>
        <v>2001.78659713009</v>
      </c>
      <c r="G66" s="222"/>
      <c r="H66" s="223"/>
    </row>
    <row r="67" ht="33.75" customHeight="1" spans="2:11">
      <c r="B67" s="198"/>
      <c r="C67" s="198"/>
      <c r="D67" s="198"/>
      <c r="E67" s="198"/>
      <c r="F67" s="198"/>
      <c r="G67" s="198"/>
      <c r="H67" s="198"/>
      <c r="J67" s="149">
        <f>(4.0147*3+4.8847*2)/2*16-8*4.8847-4*4.0147</f>
        <v>119.3716</v>
      </c>
      <c r="K67" s="149">
        <f>8*4.8847+20*4.0147</f>
        <v>119.3716</v>
      </c>
    </row>
    <row r="68" spans="1:10">
      <c r="A68" s="149" t="s">
        <v>68</v>
      </c>
      <c r="B68" s="200" t="s">
        <v>69</v>
      </c>
      <c r="J68" s="149">
        <f>(4.0147*3+0.48847*2)/5*28</f>
        <v>72.917824</v>
      </c>
    </row>
    <row r="69" ht="71.1" customHeight="1" spans="2:10">
      <c r="B69" s="224" t="s">
        <v>70</v>
      </c>
      <c r="C69" s="224"/>
      <c r="D69" s="224"/>
      <c r="E69" s="224"/>
      <c r="F69" s="224"/>
      <c r="G69" s="224"/>
      <c r="H69" s="224"/>
      <c r="J69" s="149">
        <f>0.35+0.049+0.022+0.06349+0.00398</f>
        <v>0.48847</v>
      </c>
    </row>
    <row r="70" spans="2:3">
      <c r="B70" s="208" t="s">
        <v>71</v>
      </c>
      <c r="C70" t="s">
        <v>72</v>
      </c>
    </row>
    <row r="71" spans="2:11">
      <c r="B71" s="208" t="s">
        <v>73</v>
      </c>
      <c r="C71" s="149">
        <f>16*5/2*3.75329-3.75329*8-4*3.75329</f>
        <v>105.09212</v>
      </c>
      <c r="D71" s="149" t="s">
        <v>74</v>
      </c>
      <c r="K71" s="149">
        <f>0.3+0.05+0.015+0.006349+0.00398</f>
        <v>0.375329</v>
      </c>
    </row>
    <row r="72" spans="2:10">
      <c r="B72" s="208"/>
      <c r="C72" s="210"/>
      <c r="J72" s="149">
        <f>0.5*0.5*0.025*7850</f>
        <v>49.0625</v>
      </c>
    </row>
    <row r="73" spans="2:3">
      <c r="B73" s="208"/>
      <c r="C73" s="210"/>
    </row>
    <row r="74" spans="1:2">
      <c r="A74" s="149" t="s">
        <v>75</v>
      </c>
      <c r="B74" s="200" t="s">
        <v>76</v>
      </c>
    </row>
    <row r="75" spans="2:2">
      <c r="B75" s="149" t="s">
        <v>77</v>
      </c>
    </row>
    <row r="76" ht="19.2" spans="2:2">
      <c r="B76" s="208" t="s">
        <v>78</v>
      </c>
    </row>
    <row r="77" spans="2:3">
      <c r="B77" s="208" t="s">
        <v>73</v>
      </c>
      <c r="C77" s="212">
        <f>H20+F66-C71</f>
        <v>7898.59447713008</v>
      </c>
    </row>
    <row r="78" spans="2:2">
      <c r="B78" s="208"/>
    </row>
    <row r="79" ht="19.2" spans="2:2">
      <c r="B79" s="208" t="s">
        <v>79</v>
      </c>
    </row>
    <row r="80" spans="2:4">
      <c r="B80" s="208" t="s">
        <v>80</v>
      </c>
      <c r="C80" s="209">
        <f>H19+H20+H22+H21</f>
        <v>19874.2</v>
      </c>
      <c r="D80" s="225">
        <f>F66-H19-C71-H21</f>
        <v>-3744.40552286991</v>
      </c>
    </row>
    <row r="81" spans="2:4">
      <c r="B81" s="149" t="s">
        <v>81</v>
      </c>
      <c r="D81" s="225"/>
    </row>
    <row r="82" spans="2:4">
      <c r="B82" s="208"/>
      <c r="D82" s="225"/>
    </row>
    <row r="83" spans="2:8">
      <c r="B83" s="208" t="s">
        <v>82</v>
      </c>
      <c r="G83" s="209"/>
      <c r="H83" s="209"/>
    </row>
    <row r="84" spans="2:8">
      <c r="B84" s="208" t="s">
        <v>73</v>
      </c>
      <c r="C84" s="149">
        <f>(H22/H23+H20+H21+H19)/(H20+H21+H19+H22)</f>
        <v>0.932706843297271</v>
      </c>
      <c r="G84" s="209"/>
      <c r="H84" s="209"/>
    </row>
    <row r="85" spans="2:8">
      <c r="B85" s="208"/>
      <c r="G85" s="209"/>
      <c r="H85" s="209"/>
    </row>
    <row r="86" spans="2:2">
      <c r="B86" s="149" t="s">
        <v>83</v>
      </c>
    </row>
    <row r="87" spans="2:4">
      <c r="B87" s="149" t="s">
        <v>84</v>
      </c>
      <c r="D87" s="149" t="s">
        <v>85</v>
      </c>
    </row>
    <row r="88" ht="21" customHeight="1" spans="2:8">
      <c r="B88" s="226" t="s">
        <v>86</v>
      </c>
      <c r="C88" s="227" t="s">
        <v>87</v>
      </c>
      <c r="D88" s="228"/>
      <c r="E88" s="229"/>
      <c r="F88" s="227" t="s">
        <v>88</v>
      </c>
      <c r="G88" s="228"/>
      <c r="H88" s="229"/>
    </row>
    <row r="89" ht="21" customHeight="1" spans="2:8">
      <c r="B89" s="230" t="s">
        <v>89</v>
      </c>
      <c r="C89" s="231">
        <f>H20+F66-C71</f>
        <v>7898.59447713008</v>
      </c>
      <c r="D89" s="232"/>
      <c r="E89" s="233"/>
      <c r="F89" s="234">
        <f>C89/C45</f>
        <v>282.092659897503</v>
      </c>
      <c r="G89" s="235"/>
      <c r="H89" s="236"/>
    </row>
    <row r="90" ht="21" customHeight="1" spans="2:8">
      <c r="B90" s="237">
        <v>0.6</v>
      </c>
      <c r="C90" s="231">
        <f>0.6*(H19+H20+H21+H22)+F66-H19-C71-H21</f>
        <v>8180.11447713009</v>
      </c>
      <c r="D90" s="232"/>
      <c r="E90" s="233"/>
      <c r="F90" s="234">
        <f>C90/C45</f>
        <v>292.146945611789</v>
      </c>
      <c r="G90" s="235"/>
      <c r="H90" s="236"/>
    </row>
    <row r="91" ht="21" customHeight="1" spans="2:8">
      <c r="B91" s="237">
        <v>0.8</v>
      </c>
      <c r="C91" s="231">
        <f>0.8*(H19+H20+H21+H22)+F66-H19-C71-H21</f>
        <v>12154.9544771301</v>
      </c>
      <c r="D91" s="232"/>
      <c r="E91" s="233"/>
      <c r="F91" s="234">
        <f>C91/C45</f>
        <v>434.10551704036</v>
      </c>
      <c r="G91" s="235"/>
      <c r="H91" s="236"/>
    </row>
    <row r="92" ht="21" customHeight="1" spans="2:8">
      <c r="B92" s="230" t="s">
        <v>90</v>
      </c>
      <c r="C92" s="231">
        <f>C84*(H19+H20+H21+H22)+F66-H19-C71-H21</f>
        <v>14792.3968221887</v>
      </c>
      <c r="D92" s="232"/>
      <c r="E92" s="233"/>
      <c r="F92" s="234">
        <f>C92/C45</f>
        <v>528.29988650674</v>
      </c>
      <c r="G92" s="235"/>
      <c r="H92" s="236"/>
    </row>
    <row r="93" ht="21" customHeight="1" spans="2:8">
      <c r="B93" s="237" t="s">
        <v>91</v>
      </c>
      <c r="C93" s="231">
        <f>1*(H19+H20+H21+H22)+F66-H19-C71-H21</f>
        <v>16129.7944771301</v>
      </c>
      <c r="D93" s="232"/>
      <c r="E93" s="233"/>
      <c r="F93" s="234">
        <f>C93/C45</f>
        <v>576.064088468932</v>
      </c>
      <c r="G93" s="235"/>
      <c r="H93" s="236"/>
    </row>
    <row r="94" ht="21" customHeight="1" spans="2:8">
      <c r="B94" s="237">
        <v>1.05</v>
      </c>
      <c r="C94" s="231">
        <f>1.05*(H19+H20+H21+H22)+F66-H19-C71-H21</f>
        <v>17123.5044771301</v>
      </c>
      <c r="D94" s="232"/>
      <c r="E94" s="233"/>
      <c r="F94" s="234">
        <f>C94/C45</f>
        <v>611.553731326075</v>
      </c>
      <c r="G94" s="235"/>
      <c r="H94" s="236"/>
    </row>
    <row r="95" ht="21" customHeight="1" spans="2:8">
      <c r="B95" s="237" t="s">
        <v>92</v>
      </c>
      <c r="C95" s="231">
        <f>1.1*(H19+H20+H21+H22)+F66-H19-C71-H21</f>
        <v>18117.2144771301</v>
      </c>
      <c r="D95" s="232"/>
      <c r="E95" s="233"/>
      <c r="F95" s="234">
        <f>C95/C45</f>
        <v>647.043374183217</v>
      </c>
      <c r="G95" s="235"/>
      <c r="H95" s="236"/>
    </row>
    <row r="96" ht="21" customHeight="1" spans="2:8">
      <c r="B96" s="237">
        <v>1.15</v>
      </c>
      <c r="C96" s="231">
        <f>1.15*(H19+H20+H21+H22)+F66-H19-C71-H21</f>
        <v>19110.9244771301</v>
      </c>
      <c r="D96" s="232"/>
      <c r="E96" s="233"/>
      <c r="F96" s="234">
        <f>C96/C45</f>
        <v>682.53301704036</v>
      </c>
      <c r="G96" s="235"/>
      <c r="H96" s="236"/>
    </row>
    <row r="97" ht="21" customHeight="1" spans="2:8">
      <c r="B97" s="237" t="s">
        <v>93</v>
      </c>
      <c r="C97" s="231">
        <f>1.2*(H19+H20+H21+H22)+F66-H19-C71-H21</f>
        <v>20104.6344771301</v>
      </c>
      <c r="D97" s="232"/>
      <c r="E97" s="233"/>
      <c r="F97" s="234">
        <f>C97/C45</f>
        <v>718.022659897503</v>
      </c>
      <c r="G97" s="235"/>
      <c r="H97" s="236"/>
    </row>
    <row r="98" ht="21" customHeight="1" spans="2:8">
      <c r="B98" s="238"/>
      <c r="C98" s="239"/>
      <c r="D98" s="239"/>
      <c r="E98" s="239"/>
      <c r="F98" s="240"/>
      <c r="G98" s="240"/>
      <c r="H98" s="240"/>
    </row>
    <row r="99" spans="2:2">
      <c r="B99" s="149" t="s">
        <v>94</v>
      </c>
    </row>
    <row r="101" spans="2:2">
      <c r="B101" s="149" t="s">
        <v>95</v>
      </c>
    </row>
  </sheetData>
  <mergeCells count="63">
    <mergeCell ref="A1:H1"/>
    <mergeCell ref="A2:H2"/>
    <mergeCell ref="B3:F3"/>
    <mergeCell ref="B4:F4"/>
    <mergeCell ref="B6:F6"/>
    <mergeCell ref="C7:G7"/>
    <mergeCell ref="C8:G8"/>
    <mergeCell ref="C9:G9"/>
    <mergeCell ref="C10:G10"/>
    <mergeCell ref="C11:G11"/>
    <mergeCell ref="C12:G12"/>
    <mergeCell ref="C13:G13"/>
    <mergeCell ref="C14:G14"/>
    <mergeCell ref="C15:G15"/>
    <mergeCell ref="B17:F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C40:E40"/>
    <mergeCell ref="C61:E61"/>
    <mergeCell ref="F61:H61"/>
    <mergeCell ref="C62:E62"/>
    <mergeCell ref="F62:H62"/>
    <mergeCell ref="C63:E63"/>
    <mergeCell ref="F63:H63"/>
    <mergeCell ref="C64:E64"/>
    <mergeCell ref="F64:H64"/>
    <mergeCell ref="C65:E65"/>
    <mergeCell ref="F65:H65"/>
    <mergeCell ref="C66:E66"/>
    <mergeCell ref="F66:H66"/>
    <mergeCell ref="B69:H69"/>
    <mergeCell ref="C88:E88"/>
    <mergeCell ref="F88:H88"/>
    <mergeCell ref="C89:E89"/>
    <mergeCell ref="F89:H89"/>
    <mergeCell ref="C90:E90"/>
    <mergeCell ref="F90:H90"/>
    <mergeCell ref="C91:E91"/>
    <mergeCell ref="F91:H91"/>
    <mergeCell ref="C92:E92"/>
    <mergeCell ref="F92:H92"/>
    <mergeCell ref="C93:E93"/>
    <mergeCell ref="F93:H93"/>
    <mergeCell ref="C94:E94"/>
    <mergeCell ref="F94:H94"/>
    <mergeCell ref="C95:E95"/>
    <mergeCell ref="F95:H95"/>
    <mergeCell ref="C96:E96"/>
    <mergeCell ref="F96:H96"/>
    <mergeCell ref="C97:E97"/>
    <mergeCell ref="F97:H97"/>
  </mergeCells>
  <pageMargins left="0.393055555555556" right="0.393055555555556" top="0.590277777777778" bottom="0.786805555555556" header="0.511805555555556" footer="0.511805555555556"/>
  <pageSetup paperSize="9" orientation="portrait"/>
  <headerFooter alignWithMargins="0"/>
  <drawing r:id="rId1"/>
  <legacyDrawing r:id="rId2"/>
  <oleObjects>
    <mc:AlternateContent xmlns:mc="http://schemas.openxmlformats.org/markup-compatibility/2006">
      <mc:Choice Requires="x14">
        <oleObject shapeId="6156" progId="AutoCAD.Drawing.19" r:id="rId3">
          <objectPr defaultSize="0" r:id="rId4">
            <anchor moveWithCells="1">
              <from>
                <xdr:col>0</xdr:col>
                <xdr:colOff>228600</xdr:colOff>
                <xdr:row>32</xdr:row>
                <xdr:rowOff>95250</xdr:rowOff>
              </from>
              <to>
                <xdr:col>7</xdr:col>
                <xdr:colOff>1619250</xdr:colOff>
                <xdr:row>39</xdr:row>
                <xdr:rowOff>266700</xdr:rowOff>
              </to>
            </anchor>
          </objectPr>
        </oleObject>
      </mc:Choice>
      <mc:Fallback>
        <oleObject shapeId="6156" progId="AutoCAD.Drawing.19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6"/>
  <sheetViews>
    <sheetView workbookViewId="0">
      <selection activeCell="U6" sqref="U6"/>
    </sheetView>
  </sheetViews>
  <sheetFormatPr defaultColWidth="9" defaultRowHeight="15.6"/>
  <cols>
    <col min="1" max="1" width="4" customWidth="1"/>
    <col min="2" max="2" width="13" customWidth="1"/>
    <col min="3" max="19" width="6.25" customWidth="1"/>
  </cols>
  <sheetData>
    <row r="1" ht="39.75" customHeight="1" spans="1:19">
      <c r="A1" s="150" t="s">
        <v>96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</row>
    <row r="2" s="76" customFormat="1" ht="36.75" customHeight="1" spans="1:19">
      <c r="A2" s="105" t="s">
        <v>7</v>
      </c>
      <c r="B2" s="106"/>
      <c r="C2" s="151" t="str">
        <f>加载计算书!H7</f>
        <v>FL32QB-0020</v>
      </c>
      <c r="D2" s="152"/>
      <c r="E2" s="153"/>
      <c r="F2" s="108" t="str">
        <f>加载计算书!H8</f>
        <v>通桥（2012）2101-Ⅰ</v>
      </c>
      <c r="G2" s="108"/>
      <c r="H2" s="108"/>
      <c r="I2" s="108"/>
      <c r="J2" s="108" t="s">
        <v>97</v>
      </c>
      <c r="K2" s="108"/>
      <c r="L2" s="108"/>
      <c r="M2" s="108">
        <f>加载计算书!H9</f>
        <v>32</v>
      </c>
      <c r="N2" s="108"/>
      <c r="O2" s="108"/>
      <c r="P2" s="106" t="s">
        <v>98</v>
      </c>
      <c r="Q2" s="106"/>
      <c r="R2" s="141" t="s">
        <v>99</v>
      </c>
      <c r="S2" s="142"/>
    </row>
    <row r="3" s="76" customFormat="1" ht="28.5" customHeight="1" spans="1:19">
      <c r="A3" s="109" t="s">
        <v>100</v>
      </c>
      <c r="B3" s="111"/>
      <c r="C3" s="154" t="str">
        <f>加载计算书!H14</f>
        <v>2014.12.24</v>
      </c>
      <c r="D3" s="155"/>
      <c r="E3" s="155"/>
      <c r="F3" s="155"/>
      <c r="G3" s="155"/>
      <c r="H3" s="155"/>
      <c r="I3" s="171"/>
      <c r="J3" s="111" t="s">
        <v>101</v>
      </c>
      <c r="K3" s="111"/>
      <c r="L3" s="111"/>
      <c r="M3" s="111" t="s">
        <v>102</v>
      </c>
      <c r="N3" s="111"/>
      <c r="O3" s="111"/>
      <c r="P3" s="111" t="s">
        <v>103</v>
      </c>
      <c r="Q3" s="111"/>
      <c r="R3" s="111" t="s">
        <v>104</v>
      </c>
      <c r="S3" s="175"/>
    </row>
    <row r="4" s="76" customFormat="1" ht="38.25" customHeight="1" spans="1:19">
      <c r="A4" s="156" t="s">
        <v>105</v>
      </c>
      <c r="B4" s="111" t="s">
        <v>106</v>
      </c>
      <c r="C4" s="157" t="s">
        <v>107</v>
      </c>
      <c r="D4" s="158"/>
      <c r="E4" s="158"/>
      <c r="F4" s="158"/>
      <c r="G4" s="158"/>
      <c r="H4" s="158"/>
      <c r="I4" s="172"/>
      <c r="J4" s="111" t="s">
        <v>108</v>
      </c>
      <c r="K4" s="111"/>
      <c r="L4" s="111"/>
      <c r="M4" s="111"/>
      <c r="N4" s="111"/>
      <c r="O4" s="111"/>
      <c r="P4" s="111"/>
      <c r="Q4" s="111"/>
      <c r="R4" s="111"/>
      <c r="S4" s="175"/>
    </row>
    <row r="5" s="76" customFormat="1" ht="35.1" customHeight="1" spans="1:19">
      <c r="A5" s="109"/>
      <c r="B5" s="111" t="s">
        <v>109</v>
      </c>
      <c r="C5" s="159" t="s">
        <v>110</v>
      </c>
      <c r="D5" s="160" t="str">
        <f>[1]加载计算!B79</f>
        <v>Ka</v>
      </c>
      <c r="E5" s="161">
        <v>0.6</v>
      </c>
      <c r="F5" s="161">
        <f>[1]加载计算!B81</f>
        <v>0.8</v>
      </c>
      <c r="G5" s="160" t="str">
        <f>[1]加载计算!B82</f>
        <v>Kb</v>
      </c>
      <c r="H5" s="160">
        <f>[1]加载计算!B83</f>
        <v>1</v>
      </c>
      <c r="I5" s="159" t="s">
        <v>110</v>
      </c>
      <c r="J5" s="160" t="str">
        <f>[1]加载计算!B79</f>
        <v>Ka</v>
      </c>
      <c r="K5" s="161">
        <v>0.6</v>
      </c>
      <c r="L5" s="161">
        <f>[1]加载计算!B81</f>
        <v>0.8</v>
      </c>
      <c r="M5" s="160" t="str">
        <f>[1]加载计算!B82</f>
        <v>Kb</v>
      </c>
      <c r="N5" s="160">
        <f>[1]加载计算!B83</f>
        <v>1</v>
      </c>
      <c r="O5" s="173">
        <f>[1]加载计算!B84</f>
        <v>1.05</v>
      </c>
      <c r="P5" s="173">
        <f>[1]加载计算!B85</f>
        <v>1.1</v>
      </c>
      <c r="Q5" s="173">
        <f>[1]加载计算!B86</f>
        <v>1.15</v>
      </c>
      <c r="R5" s="173">
        <f>[1]加载计算!B87</f>
        <v>1.2</v>
      </c>
      <c r="S5" s="176" t="s">
        <v>110</v>
      </c>
    </row>
    <row r="6" s="76" customFormat="1" ht="35.1" customHeight="1" spans="1:19">
      <c r="A6" s="109"/>
      <c r="B6" s="111" t="s">
        <v>111</v>
      </c>
      <c r="C6" s="162">
        <v>0</v>
      </c>
      <c r="D6" s="162">
        <f>加载计算书!F89</f>
        <v>282.092659897503</v>
      </c>
      <c r="E6" s="162">
        <f>加载计算书!F90</f>
        <v>292.146945611789</v>
      </c>
      <c r="F6" s="162">
        <f>加载计算书!F91</f>
        <v>434.10551704036</v>
      </c>
      <c r="G6" s="162">
        <f>加载计算书!F92</f>
        <v>528.29988650674</v>
      </c>
      <c r="H6" s="162">
        <f>加载计算书!F93</f>
        <v>576.064088468932</v>
      </c>
      <c r="I6" s="162">
        <v>0</v>
      </c>
      <c r="J6" s="162">
        <f t="shared" ref="J6:N6" si="0">D6</f>
        <v>282.092659897503</v>
      </c>
      <c r="K6" s="162">
        <f t="shared" si="0"/>
        <v>292.146945611789</v>
      </c>
      <c r="L6" s="162">
        <f t="shared" si="0"/>
        <v>434.10551704036</v>
      </c>
      <c r="M6" s="162">
        <f t="shared" si="0"/>
        <v>528.29988650674</v>
      </c>
      <c r="N6" s="162">
        <f t="shared" si="0"/>
        <v>576.064088468932</v>
      </c>
      <c r="O6" s="162">
        <f>加载计算书!F94</f>
        <v>611.553731326075</v>
      </c>
      <c r="P6" s="162">
        <f>加载计算书!F95</f>
        <v>647.043374183217</v>
      </c>
      <c r="Q6" s="162">
        <f>加载计算书!F96</f>
        <v>682.53301704036</v>
      </c>
      <c r="R6" s="162">
        <f>加载计算书!F97</f>
        <v>718.022659897503</v>
      </c>
      <c r="S6" s="177">
        <v>0</v>
      </c>
    </row>
    <row r="7" s="76" customFormat="1" ht="35.1" customHeight="1" spans="1:19">
      <c r="A7" s="109" t="s">
        <v>112</v>
      </c>
      <c r="B7" s="163"/>
      <c r="C7" s="163"/>
      <c r="D7" s="164"/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78"/>
    </row>
    <row r="8" s="76" customFormat="1" ht="35.1" customHeight="1" spans="1:19">
      <c r="A8" s="109" t="s">
        <v>113</v>
      </c>
      <c r="B8" s="163"/>
      <c r="C8" s="163"/>
      <c r="D8" s="165"/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79"/>
    </row>
    <row r="9" s="76" customFormat="1" ht="35.1" customHeight="1" spans="1:19">
      <c r="A9" s="156" t="s">
        <v>114</v>
      </c>
      <c r="B9" s="166"/>
      <c r="C9" s="166"/>
      <c r="D9" s="167"/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80" t="s">
        <v>115</v>
      </c>
    </row>
    <row r="10" s="76" customFormat="1" ht="35.1" customHeight="1" spans="1:19">
      <c r="A10" s="109" t="s">
        <v>116</v>
      </c>
      <c r="B10" s="111"/>
      <c r="C10" s="111"/>
      <c r="D10" s="119" t="s">
        <v>117</v>
      </c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46"/>
    </row>
    <row r="11" s="76" customFormat="1" ht="33" customHeight="1" spans="1:19">
      <c r="A11" s="109" t="s">
        <v>118</v>
      </c>
      <c r="B11" s="111"/>
      <c r="C11" s="111"/>
      <c r="D11" s="168" t="s">
        <v>0</v>
      </c>
      <c r="E11" s="168"/>
      <c r="F11" s="168"/>
      <c r="G11" s="168"/>
      <c r="H11" s="111" t="s">
        <v>119</v>
      </c>
      <c r="I11" s="132"/>
      <c r="J11" s="132"/>
      <c r="K11" s="132"/>
      <c r="L11" s="132"/>
      <c r="M11" s="111" t="s">
        <v>120</v>
      </c>
      <c r="N11" s="132"/>
      <c r="O11" s="132"/>
      <c r="P11" s="132"/>
      <c r="Q11" s="111" t="s">
        <v>121</v>
      </c>
      <c r="R11" s="132"/>
      <c r="S11" s="180"/>
    </row>
    <row r="12" s="76" customFormat="1" ht="33.75" customHeight="1" spans="1:19">
      <c r="A12" s="123" t="s">
        <v>122</v>
      </c>
      <c r="B12" s="124"/>
      <c r="C12" s="124"/>
      <c r="D12" s="169" t="s">
        <v>123</v>
      </c>
      <c r="E12" s="169"/>
      <c r="F12" s="169"/>
      <c r="G12" s="169"/>
      <c r="H12" s="124" t="s">
        <v>124</v>
      </c>
      <c r="I12" s="124"/>
      <c r="J12" s="134"/>
      <c r="K12" s="134"/>
      <c r="L12" s="134"/>
      <c r="M12" s="134"/>
      <c r="N12" s="124" t="s">
        <v>125</v>
      </c>
      <c r="O12" s="124"/>
      <c r="P12" s="134"/>
      <c r="Q12" s="134"/>
      <c r="R12" s="134"/>
      <c r="S12" s="181"/>
    </row>
    <row r="13" s="76" customFormat="1" ht="33.75" customHeight="1" spans="1:19">
      <c r="A13" s="128"/>
      <c r="B13" s="128"/>
      <c r="C13" s="128"/>
      <c r="D13" s="170"/>
      <c r="E13" s="170"/>
      <c r="F13" s="170"/>
      <c r="G13" s="170"/>
      <c r="H13" s="128"/>
      <c r="I13" s="128"/>
      <c r="J13" s="174"/>
      <c r="K13" s="174"/>
      <c r="L13" s="174"/>
      <c r="M13" s="174"/>
      <c r="N13" s="128"/>
      <c r="O13" s="128"/>
      <c r="P13" s="174"/>
      <c r="Q13" s="174"/>
      <c r="R13" s="174"/>
      <c r="S13" s="174"/>
    </row>
    <row r="14" s="149" customFormat="1"/>
    <row r="15" s="149" customFormat="1"/>
    <row r="16" s="149" customFormat="1"/>
    <row r="17" s="149" customFormat="1"/>
    <row r="18" s="149" customFormat="1"/>
    <row r="19" s="149" customFormat="1"/>
    <row r="20" s="149" customFormat="1"/>
    <row r="21" s="149" customFormat="1"/>
    <row r="22" s="149" customFormat="1"/>
    <row r="23" s="149" customFormat="1"/>
    <row r="24" s="149" customFormat="1"/>
    <row r="25" s="149" customFormat="1"/>
    <row r="26" s="149" customFormat="1"/>
    <row r="27" s="149" customFormat="1"/>
    <row r="28" s="149" customFormat="1"/>
    <row r="29" s="149" customFormat="1"/>
    <row r="30" s="149" customFormat="1"/>
    <row r="31" s="149" customFormat="1"/>
    <row r="32" s="149" customFormat="1"/>
    <row r="33" s="149" customFormat="1"/>
    <row r="34" s="149" customFormat="1"/>
    <row r="35" s="149" customFormat="1"/>
    <row r="36" s="149" customFormat="1"/>
  </sheetData>
  <mergeCells count="33">
    <mergeCell ref="A1:S1"/>
    <mergeCell ref="A2:B2"/>
    <mergeCell ref="C2:E2"/>
    <mergeCell ref="F2:I2"/>
    <mergeCell ref="J2:L2"/>
    <mergeCell ref="M2:O2"/>
    <mergeCell ref="P2:Q2"/>
    <mergeCell ref="R2:S2"/>
    <mergeCell ref="A3:B3"/>
    <mergeCell ref="C3:I3"/>
    <mergeCell ref="J3:L3"/>
    <mergeCell ref="M3:O3"/>
    <mergeCell ref="P3:Q3"/>
    <mergeCell ref="R3:S3"/>
    <mergeCell ref="C4:I4"/>
    <mergeCell ref="J4:S4"/>
    <mergeCell ref="A7:B7"/>
    <mergeCell ref="A8:B8"/>
    <mergeCell ref="A9:B9"/>
    <mergeCell ref="A10:B10"/>
    <mergeCell ref="D10:S10"/>
    <mergeCell ref="A11:B11"/>
    <mergeCell ref="D11:G11"/>
    <mergeCell ref="I11:L11"/>
    <mergeCell ref="N11:P11"/>
    <mergeCell ref="R11:S11"/>
    <mergeCell ref="A12:B12"/>
    <mergeCell ref="D12:G12"/>
    <mergeCell ref="H12:I12"/>
    <mergeCell ref="J12:M12"/>
    <mergeCell ref="N12:O12"/>
    <mergeCell ref="P12:S12"/>
    <mergeCell ref="A4:A6"/>
  </mergeCells>
  <printOptions horizontalCentered="1"/>
  <pageMargins left="0.55" right="0.55" top="0.984027777777778" bottom="0.984027777777778" header="0.511805555555556" footer="0.511805555555556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topLeftCell="A7" workbookViewId="0">
      <selection activeCell="A1" sqref="A1:S10"/>
    </sheetView>
  </sheetViews>
  <sheetFormatPr defaultColWidth="9" defaultRowHeight="15.6"/>
  <cols>
    <col min="1" max="1" width="5" customWidth="1"/>
    <col min="2" max="2" width="6.625" customWidth="1"/>
    <col min="3" max="9" width="6.875" customWidth="1"/>
    <col min="10" max="19" width="5.875" customWidth="1"/>
  </cols>
  <sheetData>
    <row r="1" ht="39.75" customHeight="1" spans="1:19">
      <c r="A1" s="103" t="s">
        <v>126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40"/>
    </row>
    <row r="2" s="76" customFormat="1" ht="35.1" customHeight="1" spans="1:19">
      <c r="A2" s="105" t="s">
        <v>7</v>
      </c>
      <c r="B2" s="106"/>
      <c r="C2" s="107" t="str">
        <f>加载计算书!H7</f>
        <v>FL32QB-0020</v>
      </c>
      <c r="D2" s="107"/>
      <c r="E2" s="108" t="s">
        <v>9</v>
      </c>
      <c r="F2" s="108"/>
      <c r="G2" s="108"/>
      <c r="H2" s="108" t="str">
        <f>加载计算书!H8</f>
        <v>通桥（2012）2101-Ⅰ</v>
      </c>
      <c r="I2" s="108"/>
      <c r="J2" s="108"/>
      <c r="K2" s="108"/>
      <c r="L2" s="108" t="s">
        <v>97</v>
      </c>
      <c r="M2" s="108"/>
      <c r="N2" s="106">
        <f>加载计算书!H9</f>
        <v>32</v>
      </c>
      <c r="O2" s="106"/>
      <c r="P2" s="106" t="s">
        <v>98</v>
      </c>
      <c r="Q2" s="106"/>
      <c r="R2" s="141" t="str">
        <f>加载记录表!R2</f>
        <v>直线边梁</v>
      </c>
      <c r="S2" s="142"/>
    </row>
    <row r="3" s="76" customFormat="1" ht="35.1" customHeight="1" spans="1:19">
      <c r="A3" s="109" t="s">
        <v>127</v>
      </c>
      <c r="B3" s="110"/>
      <c r="C3" s="111" t="s">
        <v>107</v>
      </c>
      <c r="D3" s="111"/>
      <c r="E3" s="111"/>
      <c r="F3" s="111"/>
      <c r="G3" s="111"/>
      <c r="H3" s="111"/>
      <c r="I3" s="111"/>
      <c r="J3" s="111" t="s">
        <v>108</v>
      </c>
      <c r="K3" s="111"/>
      <c r="L3" s="110"/>
      <c r="M3" s="110"/>
      <c r="N3" s="110"/>
      <c r="O3" s="110"/>
      <c r="P3" s="110"/>
      <c r="Q3" s="110"/>
      <c r="R3" s="110"/>
      <c r="S3" s="143"/>
    </row>
    <row r="4" s="76" customFormat="1" ht="35.1" customHeight="1" spans="1:19">
      <c r="A4" s="112" t="s">
        <v>109</v>
      </c>
      <c r="B4" s="113"/>
      <c r="C4" s="114">
        <v>0</v>
      </c>
      <c r="D4" s="114" t="s">
        <v>128</v>
      </c>
      <c r="E4" s="114">
        <v>0.6</v>
      </c>
      <c r="F4" s="115">
        <v>0.8</v>
      </c>
      <c r="G4" s="115" t="s">
        <v>129</v>
      </c>
      <c r="H4" s="115">
        <v>1</v>
      </c>
      <c r="I4" s="115">
        <v>0</v>
      </c>
      <c r="J4" s="114" t="s">
        <v>128</v>
      </c>
      <c r="K4" s="114">
        <v>0.6</v>
      </c>
      <c r="L4" s="115">
        <v>0.8</v>
      </c>
      <c r="M4" s="115" t="s">
        <v>129</v>
      </c>
      <c r="N4" s="115">
        <v>1</v>
      </c>
      <c r="O4" s="130">
        <v>1.05</v>
      </c>
      <c r="P4" s="131">
        <v>1.1</v>
      </c>
      <c r="Q4" s="131">
        <v>1.15</v>
      </c>
      <c r="R4" s="131" t="s">
        <v>130</v>
      </c>
      <c r="S4" s="144">
        <v>0</v>
      </c>
    </row>
    <row r="5" s="76" customFormat="1" ht="35.1" customHeight="1" spans="1:19">
      <c r="A5" s="112" t="s">
        <v>131</v>
      </c>
      <c r="B5" s="113"/>
      <c r="C5" s="116" t="s">
        <v>115</v>
      </c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45" t="s">
        <v>115</v>
      </c>
    </row>
    <row r="6" s="76" customFormat="1" ht="35.1" customHeight="1" spans="1:19">
      <c r="A6" s="112" t="s">
        <v>132</v>
      </c>
      <c r="B6" s="113"/>
      <c r="C6" s="116" t="s">
        <v>115</v>
      </c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45" t="s">
        <v>115</v>
      </c>
    </row>
    <row r="7" s="76" customFormat="1" ht="35.1" customHeight="1" spans="1:19">
      <c r="A7" s="112" t="s">
        <v>112</v>
      </c>
      <c r="B7" s="113"/>
      <c r="C7" s="116" t="s">
        <v>115</v>
      </c>
      <c r="D7" s="118"/>
      <c r="E7" s="118"/>
      <c r="F7" s="118"/>
      <c r="G7" s="118"/>
      <c r="H7" s="118"/>
      <c r="I7" s="117"/>
      <c r="J7" s="118"/>
      <c r="K7" s="118"/>
      <c r="L7" s="118"/>
      <c r="M7" s="118"/>
      <c r="N7" s="118"/>
      <c r="O7" s="118"/>
      <c r="P7" s="118"/>
      <c r="Q7" s="118"/>
      <c r="R7" s="118"/>
      <c r="S7" s="145" t="s">
        <v>115</v>
      </c>
    </row>
    <row r="8" s="76" customFormat="1" ht="65.25" customHeight="1" spans="1:19">
      <c r="A8" s="109" t="s">
        <v>116</v>
      </c>
      <c r="B8" s="111"/>
      <c r="C8" s="119" t="s">
        <v>133</v>
      </c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46"/>
    </row>
    <row r="9" s="76" customFormat="1" ht="30.75" customHeight="1" spans="1:19">
      <c r="A9" s="109" t="s">
        <v>118</v>
      </c>
      <c r="B9" s="111"/>
      <c r="C9" s="120" t="str">
        <f>加载记录表!D11</f>
        <v>北京中铁房山桥梁有限公司龙口制梁场</v>
      </c>
      <c r="D9" s="121"/>
      <c r="E9" s="121"/>
      <c r="F9" s="121"/>
      <c r="G9" s="121"/>
      <c r="H9" s="122"/>
      <c r="I9" s="111" t="s">
        <v>134</v>
      </c>
      <c r="J9" s="111"/>
      <c r="K9" s="111"/>
      <c r="L9" s="132"/>
      <c r="M9" s="133"/>
      <c r="N9" s="133"/>
      <c r="O9" s="111" t="s">
        <v>135</v>
      </c>
      <c r="P9" s="111"/>
      <c r="Q9" s="132"/>
      <c r="R9" s="133"/>
      <c r="S9" s="147"/>
    </row>
    <row r="10" s="76" customFormat="1" ht="31.5" customHeight="1" spans="1:19">
      <c r="A10" s="123" t="s">
        <v>122</v>
      </c>
      <c r="B10" s="124"/>
      <c r="C10" s="125" t="str">
        <f>加载记录表!D12</f>
        <v>中铁十四局集团</v>
      </c>
      <c r="D10" s="126"/>
      <c r="E10" s="126"/>
      <c r="F10" s="126"/>
      <c r="G10" s="126"/>
      <c r="H10" s="127"/>
      <c r="I10" s="124" t="s">
        <v>124</v>
      </c>
      <c r="J10" s="124"/>
      <c r="K10" s="124"/>
      <c r="L10" s="134"/>
      <c r="M10" s="135"/>
      <c r="N10" s="135"/>
      <c r="O10" s="124" t="s">
        <v>125</v>
      </c>
      <c r="P10" s="136"/>
      <c r="Q10" s="134"/>
      <c r="R10" s="135"/>
      <c r="S10" s="148"/>
    </row>
    <row r="11" s="76" customFormat="1" ht="24" customHeight="1" spans="1:19">
      <c r="A11" s="128"/>
      <c r="B11" s="128"/>
      <c r="C11" s="128"/>
      <c r="D11" s="129"/>
      <c r="E11" s="129"/>
      <c r="F11" s="129"/>
      <c r="G11" s="129"/>
      <c r="H11" s="129"/>
      <c r="I11" s="128"/>
      <c r="J11" s="128"/>
      <c r="K11" s="128"/>
      <c r="L11" s="137"/>
      <c r="M11" s="138"/>
      <c r="N11" s="138"/>
      <c r="O11" s="128"/>
      <c r="P11" s="139"/>
      <c r="Q11" s="139"/>
      <c r="R11" s="139"/>
      <c r="S11" s="139"/>
    </row>
    <row r="12" ht="14.25" customHeight="1"/>
    <row r="17" ht="14.25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</sheetData>
  <mergeCells count="30">
    <mergeCell ref="A1:S1"/>
    <mergeCell ref="A2:B2"/>
    <mergeCell ref="C2:D2"/>
    <mergeCell ref="E2:G2"/>
    <mergeCell ref="H2:K2"/>
    <mergeCell ref="L2:M2"/>
    <mergeCell ref="N2:O2"/>
    <mergeCell ref="P2:Q2"/>
    <mergeCell ref="R2:S2"/>
    <mergeCell ref="A3:B3"/>
    <mergeCell ref="C3:I3"/>
    <mergeCell ref="J3:S3"/>
    <mergeCell ref="A4:B4"/>
    <mergeCell ref="A5:B5"/>
    <mergeCell ref="A6:B6"/>
    <mergeCell ref="A7:B7"/>
    <mergeCell ref="A8:B8"/>
    <mergeCell ref="C8:S8"/>
    <mergeCell ref="A9:B9"/>
    <mergeCell ref="C9:H9"/>
    <mergeCell ref="I9:K9"/>
    <mergeCell ref="L9:N9"/>
    <mergeCell ref="O9:P9"/>
    <mergeCell ref="Q9:S9"/>
    <mergeCell ref="A10:B10"/>
    <mergeCell ref="C10:H10"/>
    <mergeCell ref="I10:K10"/>
    <mergeCell ref="L10:N10"/>
    <mergeCell ref="O10:P10"/>
    <mergeCell ref="Q10:S10"/>
  </mergeCells>
  <printOptions horizontalCentered="1"/>
  <pageMargins left="0.55" right="0.55" top="0.590277777777778" bottom="0.786805555555556" header="0.511805555555556" footer="0.511805555555556"/>
  <pageSetup paperSize="9" orientation="landscape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5"/>
  <sheetViews>
    <sheetView workbookViewId="0">
      <selection activeCell="S18" sqref="S18:T18"/>
    </sheetView>
  </sheetViews>
  <sheetFormatPr defaultColWidth="9" defaultRowHeight="15.6"/>
  <cols>
    <col min="1" max="1" width="4.375" customWidth="1"/>
    <col min="2" max="2" width="8.25" customWidth="1"/>
    <col min="3" max="3" width="6.5" customWidth="1"/>
    <col min="4" max="9" width="6.125" customWidth="1"/>
    <col min="10" max="10" width="6.625" customWidth="1"/>
    <col min="11" max="11" width="6.375" customWidth="1"/>
    <col min="12" max="18" width="6.125" customWidth="1"/>
    <col min="19" max="19" width="6.5" customWidth="1"/>
    <col min="20" max="20" width="5.75" customWidth="1"/>
    <col min="21" max="21" width="14.5" hidden="1" customWidth="1"/>
    <col min="22" max="22" width="13.875" hidden="1" customWidth="1"/>
    <col min="23" max="23" width="12.5" hidden="1" customWidth="1"/>
  </cols>
  <sheetData>
    <row r="1" ht="39.75" customHeight="1" spans="1:20">
      <c r="A1" s="2" t="s">
        <v>136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="76" customFormat="1" ht="30.75" customHeight="1" spans="1:20">
      <c r="A2" s="77" t="s">
        <v>7</v>
      </c>
      <c r="B2" s="77"/>
      <c r="C2" s="78" t="str">
        <f>加载计算书!H7</f>
        <v>FL32QB-0020</v>
      </c>
      <c r="D2" s="78"/>
      <c r="E2" s="78"/>
      <c r="F2" s="78" t="s">
        <v>9</v>
      </c>
      <c r="G2" s="78"/>
      <c r="H2" s="78" t="str">
        <f>加载计算书!H8</f>
        <v>通桥（2012）2101-Ⅰ</v>
      </c>
      <c r="I2" s="78"/>
      <c r="J2" s="78"/>
      <c r="K2" s="78" t="s">
        <v>137</v>
      </c>
      <c r="L2" s="78"/>
      <c r="M2" s="78"/>
      <c r="N2" s="77">
        <f>加载计算书!H9</f>
        <v>32</v>
      </c>
      <c r="O2" s="77"/>
      <c r="P2" s="77"/>
      <c r="Q2" s="77" t="s">
        <v>138</v>
      </c>
      <c r="R2" s="77"/>
      <c r="S2" s="94" t="str">
        <f>加载记录表!R2</f>
        <v>直线边梁</v>
      </c>
      <c r="T2" s="78"/>
    </row>
    <row r="3" s="76" customFormat="1" ht="20.1" customHeight="1" spans="1:20">
      <c r="A3" s="77" t="s">
        <v>100</v>
      </c>
      <c r="B3" s="77"/>
      <c r="C3" s="79" t="str">
        <f>加载计算书!H14</f>
        <v>2014.12.24</v>
      </c>
      <c r="D3" s="79"/>
      <c r="E3" s="79"/>
      <c r="F3" s="79"/>
      <c r="G3" s="79"/>
      <c r="H3" s="79"/>
      <c r="I3" s="79"/>
      <c r="J3" s="79"/>
      <c r="K3" s="77" t="s">
        <v>101</v>
      </c>
      <c r="L3" s="77"/>
      <c r="M3" s="77"/>
      <c r="N3" s="90" t="s">
        <v>102</v>
      </c>
      <c r="O3" s="90"/>
      <c r="P3" s="90"/>
      <c r="Q3" s="77" t="s">
        <v>139</v>
      </c>
      <c r="R3" s="77"/>
      <c r="S3" s="77" t="s">
        <v>140</v>
      </c>
      <c r="T3" s="77"/>
    </row>
    <row r="4" s="76" customFormat="1" ht="22.5" customHeight="1" spans="1:22">
      <c r="A4" s="78" t="s">
        <v>105</v>
      </c>
      <c r="B4" s="77" t="s">
        <v>106</v>
      </c>
      <c r="C4" s="77" t="s">
        <v>107</v>
      </c>
      <c r="D4" s="77"/>
      <c r="E4" s="77"/>
      <c r="F4" s="77"/>
      <c r="G4" s="77"/>
      <c r="H4" s="77"/>
      <c r="I4" s="77"/>
      <c r="J4" s="77"/>
      <c r="K4" s="77" t="s">
        <v>108</v>
      </c>
      <c r="L4" s="77"/>
      <c r="M4" s="77"/>
      <c r="N4" s="77"/>
      <c r="O4" s="77"/>
      <c r="P4" s="77"/>
      <c r="Q4" s="77"/>
      <c r="R4" s="77"/>
      <c r="S4" s="77"/>
      <c r="T4" s="77"/>
      <c r="U4" s="95" t="s">
        <v>141</v>
      </c>
      <c r="V4" s="95" t="s">
        <v>142</v>
      </c>
    </row>
    <row r="5" s="76" customFormat="1" ht="28.5" customHeight="1" spans="1:22">
      <c r="A5" s="77"/>
      <c r="B5" s="77" t="s">
        <v>143</v>
      </c>
      <c r="C5" s="80" t="s">
        <v>110</v>
      </c>
      <c r="D5" s="81" t="str">
        <f>[1]加载计算!B79</f>
        <v>Ka</v>
      </c>
      <c r="E5" s="81">
        <v>0.6</v>
      </c>
      <c r="F5" s="81">
        <f>[1]加载计算!B81</f>
        <v>0.8</v>
      </c>
      <c r="G5" s="81" t="str">
        <f>[1]加载计算!B82</f>
        <v>Kb</v>
      </c>
      <c r="H5" s="81">
        <f>[1]加载计算!B83</f>
        <v>1</v>
      </c>
      <c r="I5" s="80" t="s">
        <v>110</v>
      </c>
      <c r="J5" s="80" t="s">
        <v>110</v>
      </c>
      <c r="K5" s="81" t="str">
        <f>[1]加载计算!B79</f>
        <v>Ka</v>
      </c>
      <c r="L5" s="81">
        <v>0.6</v>
      </c>
      <c r="M5" s="81">
        <f>[1]加载计算!B81</f>
        <v>0.8</v>
      </c>
      <c r="N5" s="81" t="str">
        <f>[1]加载计算!B82</f>
        <v>Kb</v>
      </c>
      <c r="O5" s="81">
        <f>[1]加载计算!B83</f>
        <v>1</v>
      </c>
      <c r="P5" s="91">
        <f>[1]加载计算!B84</f>
        <v>1.05</v>
      </c>
      <c r="Q5" s="91">
        <f>[1]加载计算!B85</f>
        <v>1.1</v>
      </c>
      <c r="R5" s="91">
        <f>[1]加载计算!B86</f>
        <v>1.15</v>
      </c>
      <c r="S5" s="91">
        <f>[1]加载计算!B87</f>
        <v>1.2</v>
      </c>
      <c r="T5" s="80" t="s">
        <v>144</v>
      </c>
      <c r="U5" s="96"/>
      <c r="V5" s="96"/>
    </row>
    <row r="6" s="76" customFormat="1" ht="35.1" customHeight="1" spans="1:22">
      <c r="A6" s="77"/>
      <c r="B6" s="77" t="s">
        <v>145</v>
      </c>
      <c r="C6" s="77"/>
      <c r="D6" s="82">
        <f>加载计算书!F89</f>
        <v>282.092659897503</v>
      </c>
      <c r="E6" s="82">
        <f>加载计算书!F90</f>
        <v>292.146945611789</v>
      </c>
      <c r="F6" s="82">
        <f>加载计算书!F91</f>
        <v>434.10551704036</v>
      </c>
      <c r="G6" s="82">
        <f>加载计算书!F92</f>
        <v>528.29988650674</v>
      </c>
      <c r="H6" s="82">
        <f>加载计算书!F93</f>
        <v>576.064088468932</v>
      </c>
      <c r="I6" s="82"/>
      <c r="J6" s="82"/>
      <c r="K6" s="82">
        <f t="shared" ref="K6:O6" si="0">D6</f>
        <v>282.092659897503</v>
      </c>
      <c r="L6" s="82">
        <f t="shared" si="0"/>
        <v>292.146945611789</v>
      </c>
      <c r="M6" s="82">
        <f t="shared" si="0"/>
        <v>434.10551704036</v>
      </c>
      <c r="N6" s="82">
        <f t="shared" si="0"/>
        <v>528.29988650674</v>
      </c>
      <c r="O6" s="82">
        <f t="shared" si="0"/>
        <v>576.064088468932</v>
      </c>
      <c r="P6" s="82">
        <f>加载计算书!F94</f>
        <v>611.553731326075</v>
      </c>
      <c r="Q6" s="82">
        <f>加载计算书!F95</f>
        <v>647.043374183217</v>
      </c>
      <c r="R6" s="82">
        <f>加载计算书!F96</f>
        <v>682.53301704036</v>
      </c>
      <c r="S6" s="82">
        <f>加载计算书!F97</f>
        <v>718.022659897503</v>
      </c>
      <c r="T6" s="82" t="s">
        <v>115</v>
      </c>
      <c r="U6" s="96"/>
      <c r="V6" s="96"/>
    </row>
    <row r="7" s="76" customFormat="1" ht="35.1" customHeight="1" spans="1:22">
      <c r="A7" s="78" t="s">
        <v>146</v>
      </c>
      <c r="B7" s="77" t="s">
        <v>147</v>
      </c>
      <c r="C7" s="84"/>
      <c r="D7" s="84"/>
      <c r="E7" s="84"/>
      <c r="F7" s="85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2" t="s">
        <v>115</v>
      </c>
      <c r="U7" s="96"/>
      <c r="V7" s="96"/>
    </row>
    <row r="8" s="76" customFormat="1" ht="35.1" customHeight="1" spans="1:22">
      <c r="A8" s="77"/>
      <c r="B8" s="77" t="s">
        <v>148</v>
      </c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2" t="s">
        <v>115</v>
      </c>
      <c r="U8" s="96"/>
      <c r="V8" s="96"/>
    </row>
    <row r="9" s="76" customFormat="1" ht="35.1" customHeight="1" spans="1:22">
      <c r="A9" s="77"/>
      <c r="B9" s="77" t="s">
        <v>149</v>
      </c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2" t="s">
        <v>115</v>
      </c>
      <c r="U9" s="96"/>
      <c r="V9" s="96"/>
    </row>
    <row r="10" s="76" customFormat="1" ht="47.25" customHeight="1" spans="1:22">
      <c r="A10" s="78" t="s">
        <v>150</v>
      </c>
      <c r="B10" s="78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97">
        <f>G10-D10</f>
        <v>0</v>
      </c>
      <c r="V10" s="97">
        <f>N10-K10</f>
        <v>0</v>
      </c>
    </row>
    <row r="11" s="76" customFormat="1" ht="20.1" customHeight="1" spans="1:20">
      <c r="A11" s="25" t="s">
        <v>116</v>
      </c>
      <c r="B11" s="25"/>
      <c r="C11" s="88" t="s">
        <v>151</v>
      </c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</row>
    <row r="12" s="76" customFormat="1" ht="20.1" customHeight="1" spans="1:20">
      <c r="A12" s="25"/>
      <c r="B12" s="25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</row>
    <row r="13" s="76" customFormat="1" ht="20.1" customHeight="1" spans="1:20">
      <c r="A13" s="25"/>
      <c r="B13" s="25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</row>
    <row r="14" s="76" customFormat="1" ht="30.75" customHeight="1" spans="1:20">
      <c r="A14" s="25" t="s">
        <v>118</v>
      </c>
      <c r="B14" s="25"/>
      <c r="C14" s="78" t="str">
        <f>加载记录表!D11</f>
        <v>北京中铁房山桥梁有限公司龙口制梁场</v>
      </c>
      <c r="D14" s="78"/>
      <c r="E14" s="78"/>
      <c r="F14" s="78"/>
      <c r="G14" s="78"/>
      <c r="H14" s="78"/>
      <c r="I14" s="60" t="s">
        <v>119</v>
      </c>
      <c r="J14" s="25"/>
      <c r="K14" s="25"/>
      <c r="L14" s="25" t="s">
        <v>152</v>
      </c>
      <c r="M14" s="92"/>
      <c r="N14" s="92"/>
      <c r="O14" s="25" t="s">
        <v>120</v>
      </c>
      <c r="P14" s="92"/>
      <c r="Q14" s="92"/>
      <c r="R14" s="25" t="s">
        <v>121</v>
      </c>
      <c r="S14" s="92"/>
      <c r="T14" s="92"/>
    </row>
    <row r="15" s="76" customFormat="1" ht="39.75" customHeight="1" spans="1:20">
      <c r="A15" s="25" t="s">
        <v>122</v>
      </c>
      <c r="B15" s="25"/>
      <c r="C15" s="78"/>
      <c r="D15" s="78"/>
      <c r="E15" s="78"/>
      <c r="F15" s="78"/>
      <c r="G15" s="78"/>
      <c r="H15" s="78"/>
      <c r="I15" s="25" t="s">
        <v>124</v>
      </c>
      <c r="J15" s="25"/>
      <c r="K15" s="25"/>
      <c r="L15" s="25"/>
      <c r="M15" s="93"/>
      <c r="N15" s="93"/>
      <c r="O15" s="93"/>
      <c r="P15" s="25" t="s">
        <v>125</v>
      </c>
      <c r="Q15" s="25"/>
      <c r="R15" s="101"/>
      <c r="S15" s="101"/>
      <c r="T15" s="101"/>
    </row>
    <row r="16" ht="39.75" customHeight="1" spans="1:20">
      <c r="A16" s="2" t="s">
        <v>136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="76" customFormat="1" ht="30.75" customHeight="1" spans="1:20">
      <c r="A17" s="77" t="s">
        <v>7</v>
      </c>
      <c r="B17" s="77"/>
      <c r="C17" s="78" t="str">
        <f>C2</f>
        <v>FL32QB-0020</v>
      </c>
      <c r="D17" s="78"/>
      <c r="E17" s="78"/>
      <c r="F17" s="78" t="s">
        <v>9</v>
      </c>
      <c r="G17" s="78"/>
      <c r="H17" s="78" t="str">
        <f>H2</f>
        <v>通桥（2012）2101-Ⅰ</v>
      </c>
      <c r="I17" s="78"/>
      <c r="J17" s="78"/>
      <c r="K17" s="78" t="s">
        <v>153</v>
      </c>
      <c r="L17" s="78"/>
      <c r="M17" s="78"/>
      <c r="N17" s="78">
        <f>N2</f>
        <v>32</v>
      </c>
      <c r="O17" s="78"/>
      <c r="P17" s="78"/>
      <c r="Q17" s="77" t="s">
        <v>138</v>
      </c>
      <c r="R17" s="77"/>
      <c r="S17" s="94" t="str">
        <f>加载记录表!R2</f>
        <v>直线边梁</v>
      </c>
      <c r="T17" s="78"/>
    </row>
    <row r="18" s="76" customFormat="1" ht="20.1" customHeight="1" spans="1:20">
      <c r="A18" s="77" t="s">
        <v>100</v>
      </c>
      <c r="B18" s="77"/>
      <c r="C18" s="79" t="str">
        <f>C3</f>
        <v>2014.12.24</v>
      </c>
      <c r="D18" s="79"/>
      <c r="E18" s="79"/>
      <c r="F18" s="79"/>
      <c r="G18" s="79"/>
      <c r="H18" s="79"/>
      <c r="I18" s="79"/>
      <c r="J18" s="79"/>
      <c r="K18" s="77" t="s">
        <v>101</v>
      </c>
      <c r="L18" s="77"/>
      <c r="M18" s="77"/>
      <c r="N18" s="90" t="s">
        <v>102</v>
      </c>
      <c r="O18" s="90"/>
      <c r="P18" s="90"/>
      <c r="Q18" s="77" t="s">
        <v>139</v>
      </c>
      <c r="R18" s="77"/>
      <c r="S18" s="77" t="s">
        <v>154</v>
      </c>
      <c r="T18" s="77"/>
    </row>
    <row r="19" s="76" customFormat="1" ht="22.5" customHeight="1" spans="1:22">
      <c r="A19" s="78" t="s">
        <v>105</v>
      </c>
      <c r="B19" s="77" t="s">
        <v>106</v>
      </c>
      <c r="C19" s="77" t="s">
        <v>107</v>
      </c>
      <c r="D19" s="77"/>
      <c r="E19" s="77"/>
      <c r="F19" s="77"/>
      <c r="G19" s="77"/>
      <c r="H19" s="77"/>
      <c r="I19" s="77"/>
      <c r="J19" s="77"/>
      <c r="K19" s="77" t="s">
        <v>108</v>
      </c>
      <c r="L19" s="77"/>
      <c r="M19" s="77"/>
      <c r="N19" s="77"/>
      <c r="O19" s="77"/>
      <c r="P19" s="77"/>
      <c r="Q19" s="77"/>
      <c r="R19" s="77"/>
      <c r="S19" s="77"/>
      <c r="T19" s="77"/>
      <c r="U19" s="95" t="s">
        <v>141</v>
      </c>
      <c r="V19" s="95" t="s">
        <v>142</v>
      </c>
    </row>
    <row r="20" s="76" customFormat="1" ht="28.5" customHeight="1" spans="1:22">
      <c r="A20" s="77"/>
      <c r="B20" s="77" t="s">
        <v>143</v>
      </c>
      <c r="C20" s="80" t="str">
        <f>C5</f>
        <v>初始  状态</v>
      </c>
      <c r="D20" s="100" t="str">
        <f t="shared" ref="D20" si="1">D5</f>
        <v>Ka</v>
      </c>
      <c r="E20" s="100">
        <f t="shared" ref="E20:T20" si="2">E5</f>
        <v>0.6</v>
      </c>
      <c r="F20" s="100">
        <f t="shared" si="2"/>
        <v>0.8</v>
      </c>
      <c r="G20" s="100" t="str">
        <f t="shared" si="2"/>
        <v>Kb</v>
      </c>
      <c r="H20" s="100">
        <f t="shared" si="2"/>
        <v>1</v>
      </c>
      <c r="I20" s="80" t="str">
        <f t="shared" si="2"/>
        <v>初始  状态</v>
      </c>
      <c r="J20" s="80" t="str">
        <f t="shared" si="2"/>
        <v>初始  状态</v>
      </c>
      <c r="K20" s="100" t="str">
        <f t="shared" si="2"/>
        <v>Ka</v>
      </c>
      <c r="L20" s="100">
        <f t="shared" si="2"/>
        <v>0.6</v>
      </c>
      <c r="M20" s="100">
        <f t="shared" si="2"/>
        <v>0.8</v>
      </c>
      <c r="N20" s="100" t="str">
        <f t="shared" si="2"/>
        <v>Kb</v>
      </c>
      <c r="O20" s="100">
        <f t="shared" si="2"/>
        <v>1</v>
      </c>
      <c r="P20" s="100">
        <f t="shared" si="2"/>
        <v>1.05</v>
      </c>
      <c r="Q20" s="100">
        <f t="shared" si="2"/>
        <v>1.1</v>
      </c>
      <c r="R20" s="100">
        <f t="shared" si="2"/>
        <v>1.15</v>
      </c>
      <c r="S20" s="100">
        <f t="shared" si="2"/>
        <v>1.2</v>
      </c>
      <c r="T20" s="80" t="str">
        <f t="shared" si="2"/>
        <v>初始状态</v>
      </c>
      <c r="U20" s="96"/>
      <c r="V20" s="96"/>
    </row>
    <row r="21" s="76" customFormat="1" ht="35.1" customHeight="1" spans="1:22">
      <c r="A21" s="77"/>
      <c r="B21" s="77" t="s">
        <v>145</v>
      </c>
      <c r="C21" s="77"/>
      <c r="D21" s="82">
        <f t="shared" ref="D21:H21" si="3">D6</f>
        <v>282.092659897503</v>
      </c>
      <c r="E21" s="82">
        <f t="shared" si="3"/>
        <v>292.146945611789</v>
      </c>
      <c r="F21" s="82">
        <f t="shared" si="3"/>
        <v>434.10551704036</v>
      </c>
      <c r="G21" s="82">
        <f t="shared" si="3"/>
        <v>528.29988650674</v>
      </c>
      <c r="H21" s="82">
        <f t="shared" si="3"/>
        <v>576.064088468932</v>
      </c>
      <c r="I21" s="82"/>
      <c r="J21" s="82"/>
      <c r="K21" s="82">
        <f>K6</f>
        <v>282.092659897503</v>
      </c>
      <c r="L21" s="82">
        <f t="shared" ref="L21" si="4">L6</f>
        <v>292.146945611789</v>
      </c>
      <c r="M21" s="82">
        <f t="shared" ref="M21:S21" si="5">M6</f>
        <v>434.10551704036</v>
      </c>
      <c r="N21" s="82">
        <f t="shared" si="5"/>
        <v>528.29988650674</v>
      </c>
      <c r="O21" s="82">
        <f t="shared" si="5"/>
        <v>576.064088468932</v>
      </c>
      <c r="P21" s="82">
        <f t="shared" si="5"/>
        <v>611.553731326075</v>
      </c>
      <c r="Q21" s="82">
        <f t="shared" si="5"/>
        <v>647.043374183217</v>
      </c>
      <c r="R21" s="82">
        <f t="shared" si="5"/>
        <v>682.53301704036</v>
      </c>
      <c r="S21" s="82">
        <f t="shared" si="5"/>
        <v>718.022659897503</v>
      </c>
      <c r="T21" s="82" t="s">
        <v>115</v>
      </c>
      <c r="U21" s="96"/>
      <c r="V21" s="96"/>
    </row>
    <row r="22" s="76" customFormat="1" ht="35.1" customHeight="1" spans="1:22">
      <c r="A22" s="78" t="s">
        <v>146</v>
      </c>
      <c r="B22" s="77" t="str">
        <f>B7</f>
        <v>支点△龙</v>
      </c>
      <c r="C22" s="84"/>
      <c r="D22" s="84"/>
      <c r="E22" s="84"/>
      <c r="F22" s="85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102" t="s">
        <v>115</v>
      </c>
      <c r="U22" s="96"/>
      <c r="V22" s="96"/>
    </row>
    <row r="23" s="76" customFormat="1" ht="35.1" customHeight="1" spans="1:22">
      <c r="A23" s="77"/>
      <c r="B23" s="77" t="s">
        <v>148</v>
      </c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102" t="s">
        <v>115</v>
      </c>
      <c r="U23" s="96"/>
      <c r="V23" s="96"/>
    </row>
    <row r="24" s="76" customFormat="1" ht="35.1" customHeight="1" spans="1:22">
      <c r="A24" s="77"/>
      <c r="B24" s="77" t="str">
        <f>B9</f>
        <v>支点△烟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102" t="s">
        <v>115</v>
      </c>
      <c r="U24" s="96"/>
      <c r="V24" s="96"/>
    </row>
    <row r="25" s="76" customFormat="1" ht="47.25" customHeight="1" spans="1:22">
      <c r="A25" s="78" t="str">
        <f>A10</f>
        <v>挠度值（mm）f=fL/2-（△龙+△烟）/2 </v>
      </c>
      <c r="B25" s="78"/>
      <c r="C25" s="85">
        <f>C23-(C24+C22)/2</f>
        <v>0</v>
      </c>
      <c r="D25" s="85">
        <f t="shared" ref="D25" si="6">D23-(D24+D22)/2</f>
        <v>0</v>
      </c>
      <c r="E25" s="85">
        <f t="shared" ref="E25:S25" si="7">E23-(E24+E22)/2</f>
        <v>0</v>
      </c>
      <c r="F25" s="85">
        <f t="shared" si="7"/>
        <v>0</v>
      </c>
      <c r="G25" s="85">
        <f t="shared" si="7"/>
        <v>0</v>
      </c>
      <c r="H25" s="85">
        <f t="shared" si="7"/>
        <v>0</v>
      </c>
      <c r="I25" s="85">
        <f t="shared" si="7"/>
        <v>0</v>
      </c>
      <c r="J25" s="85">
        <f t="shared" si="7"/>
        <v>0</v>
      </c>
      <c r="K25" s="85">
        <f t="shared" si="7"/>
        <v>0</v>
      </c>
      <c r="L25" s="85">
        <f t="shared" si="7"/>
        <v>0</v>
      </c>
      <c r="M25" s="85">
        <f t="shared" si="7"/>
        <v>0</v>
      </c>
      <c r="N25" s="85">
        <f t="shared" si="7"/>
        <v>0</v>
      </c>
      <c r="O25" s="85">
        <f t="shared" si="7"/>
        <v>0</v>
      </c>
      <c r="P25" s="85">
        <f t="shared" si="7"/>
        <v>0</v>
      </c>
      <c r="Q25" s="85">
        <f t="shared" si="7"/>
        <v>0</v>
      </c>
      <c r="R25" s="85">
        <f t="shared" si="7"/>
        <v>0</v>
      </c>
      <c r="S25" s="85">
        <f t="shared" si="7"/>
        <v>0</v>
      </c>
      <c r="T25" s="85"/>
      <c r="U25" s="97">
        <f>G25-D25</f>
        <v>0</v>
      </c>
      <c r="V25" s="97">
        <f>N25-K25</f>
        <v>0</v>
      </c>
    </row>
    <row r="26" s="76" customFormat="1" ht="24.75" customHeight="1" spans="1:22">
      <c r="A26" s="25" t="s">
        <v>116</v>
      </c>
      <c r="B26" s="25"/>
      <c r="C26" s="88" t="str">
        <f>C11</f>
        <v>1.△龙、△烟为两端支座下沉量；
2.挠度测量应在持荷即将结束前进行；                                                                                                                                                                                                                         3.每个加载循环的挠度值取梁两侧挠度的平均值。</v>
      </c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95" t="s">
        <v>155</v>
      </c>
      <c r="V26" s="95" t="s">
        <v>156</v>
      </c>
    </row>
    <row r="27" s="76" customFormat="1" ht="21.75" customHeight="1" spans="1:22">
      <c r="A27" s="25"/>
      <c r="B27" s="25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97">
        <f>(U10+U25)/2</f>
        <v>0</v>
      </c>
      <c r="V27" s="97">
        <f>(V10+V25)/2</f>
        <v>0</v>
      </c>
    </row>
    <row r="28" s="76" customFormat="1" ht="30.75" customHeight="1" spans="1:21">
      <c r="A28" s="25" t="s">
        <v>118</v>
      </c>
      <c r="B28" s="25"/>
      <c r="C28" s="78" t="str">
        <f>加载记录表!D11</f>
        <v>北京中铁房山桥梁有限公司龙口制梁场</v>
      </c>
      <c r="D28" s="78"/>
      <c r="E28" s="78"/>
      <c r="F28" s="78"/>
      <c r="G28" s="78"/>
      <c r="H28" s="78"/>
      <c r="I28" s="60" t="s">
        <v>119</v>
      </c>
      <c r="J28" s="25"/>
      <c r="K28" s="25"/>
      <c r="L28" s="25" t="s">
        <v>152</v>
      </c>
      <c r="M28" s="92"/>
      <c r="N28" s="92"/>
      <c r="O28" s="25" t="s">
        <v>120</v>
      </c>
      <c r="P28" s="92"/>
      <c r="Q28" s="92"/>
      <c r="R28" s="25" t="s">
        <v>121</v>
      </c>
      <c r="S28" s="92"/>
      <c r="T28" s="92"/>
      <c r="U28" s="76" t="e">
        <f>32000/U27</f>
        <v>#DIV/0!</v>
      </c>
    </row>
    <row r="29" s="76" customFormat="1" ht="35.25" customHeight="1" spans="1:20">
      <c r="A29" s="25" t="s">
        <v>122</v>
      </c>
      <c r="B29" s="25"/>
      <c r="C29" s="78" t="s">
        <v>123</v>
      </c>
      <c r="D29" s="78"/>
      <c r="E29" s="78"/>
      <c r="F29" s="78"/>
      <c r="G29" s="78"/>
      <c r="H29" s="78"/>
      <c r="I29" s="25" t="s">
        <v>124</v>
      </c>
      <c r="J29" s="25"/>
      <c r="K29" s="25"/>
      <c r="L29" s="25"/>
      <c r="M29" s="93"/>
      <c r="N29" s="93"/>
      <c r="O29" s="93"/>
      <c r="P29" s="25" t="s">
        <v>125</v>
      </c>
      <c r="Q29" s="25"/>
      <c r="R29" s="101"/>
      <c r="S29" s="101"/>
      <c r="T29" s="101"/>
    </row>
    <row r="31" spans="21:22">
      <c r="U31">
        <f>1.0409*U27</f>
        <v>0</v>
      </c>
      <c r="V31">
        <f>1.0409*V27</f>
        <v>0</v>
      </c>
    </row>
    <row r="32" spans="21:22">
      <c r="U32" t="e">
        <f>32000/U31</f>
        <v>#DIV/0!</v>
      </c>
      <c r="V32">
        <f>1.0409*V31</f>
        <v>0</v>
      </c>
    </row>
    <row r="33" spans="22:22">
      <c r="V33">
        <f>1.05*32000/1835</f>
        <v>18.3106267029973</v>
      </c>
    </row>
    <row r="34" spans="21:21">
      <c r="U34" t="e">
        <f>32000/V32</f>
        <v>#DIV/0!</v>
      </c>
    </row>
    <row r="35" spans="21:22">
      <c r="U35">
        <f>32000/V33</f>
        <v>1747.61904761905</v>
      </c>
      <c r="V35" t="e">
        <f>32000/V31</f>
        <v>#DIV/0!</v>
      </c>
    </row>
  </sheetData>
  <mergeCells count="68">
    <mergeCell ref="A1:T1"/>
    <mergeCell ref="A2:B2"/>
    <mergeCell ref="C2:E2"/>
    <mergeCell ref="F2:G2"/>
    <mergeCell ref="H2:J2"/>
    <mergeCell ref="K2:M2"/>
    <mergeCell ref="N2:P2"/>
    <mergeCell ref="Q2:R2"/>
    <mergeCell ref="S2:T2"/>
    <mergeCell ref="A3:B3"/>
    <mergeCell ref="C3:J3"/>
    <mergeCell ref="K3:M3"/>
    <mergeCell ref="N3:P3"/>
    <mergeCell ref="Q3:R3"/>
    <mergeCell ref="S3:T3"/>
    <mergeCell ref="C4:J4"/>
    <mergeCell ref="K4:T4"/>
    <mergeCell ref="A10:B10"/>
    <mergeCell ref="A14:B14"/>
    <mergeCell ref="C14:H14"/>
    <mergeCell ref="J14:K14"/>
    <mergeCell ref="M14:N14"/>
    <mergeCell ref="P14:Q14"/>
    <mergeCell ref="S14:T14"/>
    <mergeCell ref="A15:B15"/>
    <mergeCell ref="C15:H15"/>
    <mergeCell ref="I15:L15"/>
    <mergeCell ref="M15:O15"/>
    <mergeCell ref="P15:Q15"/>
    <mergeCell ref="R15:T15"/>
    <mergeCell ref="A16:T16"/>
    <mergeCell ref="A17:B17"/>
    <mergeCell ref="C17:E17"/>
    <mergeCell ref="F17:G17"/>
    <mergeCell ref="H17:J17"/>
    <mergeCell ref="K17:M17"/>
    <mergeCell ref="N17:P17"/>
    <mergeCell ref="Q17:R17"/>
    <mergeCell ref="S17:T17"/>
    <mergeCell ref="A18:B18"/>
    <mergeCell ref="C18:J18"/>
    <mergeCell ref="K18:M18"/>
    <mergeCell ref="N18:P18"/>
    <mergeCell ref="Q18:R18"/>
    <mergeCell ref="S18:T18"/>
    <mergeCell ref="C19:J19"/>
    <mergeCell ref="K19:T19"/>
    <mergeCell ref="A25:B25"/>
    <mergeCell ref="A28:B28"/>
    <mergeCell ref="C28:H28"/>
    <mergeCell ref="J28:K28"/>
    <mergeCell ref="M28:N28"/>
    <mergeCell ref="P28:Q28"/>
    <mergeCell ref="S28:T28"/>
    <mergeCell ref="A29:B29"/>
    <mergeCell ref="C29:H29"/>
    <mergeCell ref="I29:L29"/>
    <mergeCell ref="M29:O29"/>
    <mergeCell ref="P29:Q29"/>
    <mergeCell ref="R29:T29"/>
    <mergeCell ref="A4:A6"/>
    <mergeCell ref="A7:A9"/>
    <mergeCell ref="A19:A21"/>
    <mergeCell ref="A22:A24"/>
    <mergeCell ref="A26:B27"/>
    <mergeCell ref="C26:T27"/>
    <mergeCell ref="A11:B13"/>
    <mergeCell ref="C11:T13"/>
  </mergeCells>
  <pageMargins left="0.590277777777778" right="0.590277777777778" top="0.747916666666667" bottom="0.747916666666667" header="0.313888888888889" footer="0.313888888888889"/>
  <pageSetup paperSize="9" orientation="landscape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2"/>
  <sheetViews>
    <sheetView topLeftCell="A7" workbookViewId="0">
      <selection activeCell="A1" sqref="A1:T16"/>
    </sheetView>
  </sheetViews>
  <sheetFormatPr defaultColWidth="9" defaultRowHeight="15.6"/>
  <cols>
    <col min="1" max="1" width="7.75" customWidth="1"/>
    <col min="2" max="2" width="8.25" customWidth="1"/>
    <col min="3" max="19" width="6" customWidth="1"/>
    <col min="20" max="20" width="5" customWidth="1"/>
    <col min="21" max="21" width="14.5" hidden="1" customWidth="1"/>
    <col min="22" max="22" width="13.875" hidden="1" customWidth="1"/>
    <col min="23" max="23" width="12.5" hidden="1" customWidth="1"/>
  </cols>
  <sheetData>
    <row r="1" ht="27.75" customHeight="1" spans="1:20">
      <c r="A1" s="2" t="s">
        <v>136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="76" customFormat="1" ht="21" customHeight="1" spans="1:20">
      <c r="A2" s="77" t="s">
        <v>7</v>
      </c>
      <c r="B2" s="77"/>
      <c r="C2" s="78" t="str">
        <f>加载计算书!H7</f>
        <v>FL32QB-0020</v>
      </c>
      <c r="D2" s="78"/>
      <c r="E2" s="78"/>
      <c r="F2" s="78" t="s">
        <v>9</v>
      </c>
      <c r="G2" s="78"/>
      <c r="H2" s="78" t="str">
        <f>加载计算书!H8</f>
        <v>通桥（2012）2101-Ⅰ</v>
      </c>
      <c r="I2" s="78"/>
      <c r="J2" s="78"/>
      <c r="K2" s="78" t="s">
        <v>137</v>
      </c>
      <c r="L2" s="78"/>
      <c r="M2" s="78"/>
      <c r="N2" s="77">
        <f>加载计算书!H9</f>
        <v>32</v>
      </c>
      <c r="O2" s="77"/>
      <c r="P2" s="77"/>
      <c r="Q2" s="77" t="s">
        <v>138</v>
      </c>
      <c r="R2" s="77"/>
      <c r="S2" s="94" t="s">
        <v>99</v>
      </c>
      <c r="T2" s="78"/>
    </row>
    <row r="3" s="76" customFormat="1" ht="20.1" customHeight="1" spans="1:20">
      <c r="A3" s="77" t="s">
        <v>100</v>
      </c>
      <c r="B3" s="77"/>
      <c r="C3" s="79" t="str">
        <f>加载计算书!H14</f>
        <v>2014.12.24</v>
      </c>
      <c r="D3" s="79"/>
      <c r="E3" s="79"/>
      <c r="F3" s="79"/>
      <c r="G3" s="79"/>
      <c r="H3" s="79"/>
      <c r="I3" s="79"/>
      <c r="J3" s="79"/>
      <c r="K3" s="77" t="s">
        <v>101</v>
      </c>
      <c r="L3" s="77"/>
      <c r="M3" s="77"/>
      <c r="N3" s="90" t="s">
        <v>102</v>
      </c>
      <c r="O3" s="90"/>
      <c r="P3" s="90"/>
      <c r="Q3" s="77" t="s">
        <v>139</v>
      </c>
      <c r="R3" s="77"/>
      <c r="S3" s="77"/>
      <c r="T3" s="77"/>
    </row>
    <row r="4" s="76" customFormat="1" ht="22.5" customHeight="1" spans="1:22">
      <c r="A4" s="78" t="s">
        <v>105</v>
      </c>
      <c r="B4" s="77" t="s">
        <v>106</v>
      </c>
      <c r="C4" s="77" t="s">
        <v>107</v>
      </c>
      <c r="D4" s="77"/>
      <c r="E4" s="77"/>
      <c r="F4" s="77"/>
      <c r="G4" s="77"/>
      <c r="H4" s="77"/>
      <c r="I4" s="77"/>
      <c r="J4" s="77"/>
      <c r="K4" s="77" t="s">
        <v>108</v>
      </c>
      <c r="L4" s="77"/>
      <c r="M4" s="77"/>
      <c r="N4" s="77"/>
      <c r="O4" s="77"/>
      <c r="P4" s="77"/>
      <c r="Q4" s="77"/>
      <c r="R4" s="77"/>
      <c r="S4" s="77"/>
      <c r="T4" s="77"/>
      <c r="U4" s="95" t="s">
        <v>141</v>
      </c>
      <c r="V4" s="95" t="s">
        <v>142</v>
      </c>
    </row>
    <row r="5" s="76" customFormat="1" ht="28.5" customHeight="1" spans="1:22">
      <c r="A5" s="77"/>
      <c r="B5" s="77" t="s">
        <v>143</v>
      </c>
      <c r="C5" s="80" t="s">
        <v>110</v>
      </c>
      <c r="D5" s="81" t="str">
        <f>[1]加载计算!B79</f>
        <v>Ka</v>
      </c>
      <c r="E5" s="81">
        <v>0.6</v>
      </c>
      <c r="F5" s="81">
        <f>[1]加载计算!B81</f>
        <v>0.8</v>
      </c>
      <c r="G5" s="81" t="str">
        <f>[1]加载计算!B82</f>
        <v>Kb</v>
      </c>
      <c r="H5" s="81">
        <f>[1]加载计算!B83</f>
        <v>1</v>
      </c>
      <c r="I5" s="80" t="s">
        <v>110</v>
      </c>
      <c r="J5" s="80" t="s">
        <v>110</v>
      </c>
      <c r="K5" s="81" t="str">
        <f>[1]加载计算!B79</f>
        <v>Ka</v>
      </c>
      <c r="L5" s="81">
        <v>0.6</v>
      </c>
      <c r="M5" s="81">
        <f>[1]加载计算!B81</f>
        <v>0.8</v>
      </c>
      <c r="N5" s="81" t="str">
        <f>[1]加载计算!B82</f>
        <v>Kb</v>
      </c>
      <c r="O5" s="81">
        <f>[1]加载计算!B83</f>
        <v>1</v>
      </c>
      <c r="P5" s="91">
        <f>[1]加载计算!B84</f>
        <v>1.05</v>
      </c>
      <c r="Q5" s="91">
        <f>[1]加载计算!B85</f>
        <v>1.1</v>
      </c>
      <c r="R5" s="91">
        <f>[1]加载计算!B86</f>
        <v>1.15</v>
      </c>
      <c r="S5" s="91">
        <f>[1]加载计算!B87</f>
        <v>1.2</v>
      </c>
      <c r="T5" s="80" t="s">
        <v>144</v>
      </c>
      <c r="U5" s="96"/>
      <c r="V5" s="96"/>
    </row>
    <row r="6" s="76" customFormat="1" ht="24" customHeight="1" spans="1:22">
      <c r="A6" s="77"/>
      <c r="B6" s="77" t="s">
        <v>145</v>
      </c>
      <c r="C6" s="77"/>
      <c r="D6" s="82">
        <f>加载计算书!F89</f>
        <v>282.092659897503</v>
      </c>
      <c r="E6" s="82">
        <f>加载计算书!F90</f>
        <v>292.146945611789</v>
      </c>
      <c r="F6" s="82">
        <f>加载计算书!F91</f>
        <v>434.10551704036</v>
      </c>
      <c r="G6" s="82">
        <f>加载计算书!F92</f>
        <v>528.29988650674</v>
      </c>
      <c r="H6" s="82">
        <f>加载计算书!F93</f>
        <v>576.064088468932</v>
      </c>
      <c r="I6" s="82">
        <v>0</v>
      </c>
      <c r="J6" s="82">
        <v>0</v>
      </c>
      <c r="K6" s="82">
        <f t="shared" ref="K6:O6" si="0">D6</f>
        <v>282.092659897503</v>
      </c>
      <c r="L6" s="82">
        <f t="shared" si="0"/>
        <v>292.146945611789</v>
      </c>
      <c r="M6" s="82">
        <f t="shared" si="0"/>
        <v>434.10551704036</v>
      </c>
      <c r="N6" s="82">
        <f t="shared" si="0"/>
        <v>528.29988650674</v>
      </c>
      <c r="O6" s="82">
        <f t="shared" si="0"/>
        <v>576.064088468932</v>
      </c>
      <c r="P6" s="82">
        <f>加载计算书!F94</f>
        <v>611.553731326075</v>
      </c>
      <c r="Q6" s="82">
        <f>加载计算书!F95</f>
        <v>647.043374183217</v>
      </c>
      <c r="R6" s="82">
        <f>加载计算书!F96</f>
        <v>682.53301704036</v>
      </c>
      <c r="S6" s="82">
        <f>加载计算书!F97</f>
        <v>718.022659897503</v>
      </c>
      <c r="T6" s="82" t="s">
        <v>115</v>
      </c>
      <c r="U6" s="96"/>
      <c r="V6" s="96"/>
    </row>
    <row r="7" s="76" customFormat="1" ht="26.1" customHeight="1" spans="1:22">
      <c r="A7" s="83" t="s">
        <v>146</v>
      </c>
      <c r="B7" s="77" t="s">
        <v>157</v>
      </c>
      <c r="C7" s="84"/>
      <c r="D7" s="84"/>
      <c r="E7" s="84"/>
      <c r="F7" s="85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2" t="s">
        <v>115</v>
      </c>
      <c r="U7" s="96"/>
      <c r="V7" s="96"/>
    </row>
    <row r="8" s="76" customFormat="1" ht="26.1" customHeight="1" spans="1:22">
      <c r="A8" s="86"/>
      <c r="B8" s="77" t="s">
        <v>158</v>
      </c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2" t="s">
        <v>115</v>
      </c>
      <c r="U8" s="96"/>
      <c r="V8" s="96"/>
    </row>
    <row r="9" s="76" customFormat="1" ht="26.1" customHeight="1" spans="1:22">
      <c r="A9" s="86"/>
      <c r="B9" s="77" t="s">
        <v>159</v>
      </c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2" t="s">
        <v>115</v>
      </c>
      <c r="U9" s="96"/>
      <c r="V9" s="96"/>
    </row>
    <row r="10" s="76" customFormat="1" ht="26.1" customHeight="1" spans="1:22">
      <c r="A10" s="86"/>
      <c r="B10" s="77" t="s">
        <v>160</v>
      </c>
      <c r="C10" s="84"/>
      <c r="D10" s="84"/>
      <c r="E10" s="84"/>
      <c r="F10" s="85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2" t="s">
        <v>115</v>
      </c>
      <c r="U10" s="96"/>
      <c r="V10" s="96"/>
    </row>
    <row r="11" s="76" customFormat="1" ht="26.1" customHeight="1" spans="1:22">
      <c r="A11" s="86"/>
      <c r="B11" s="77" t="s">
        <v>161</v>
      </c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2" t="s">
        <v>115</v>
      </c>
      <c r="U11" s="96"/>
      <c r="V11" s="96"/>
    </row>
    <row r="12" s="76" customFormat="1" ht="26.1" customHeight="1" spans="1:22">
      <c r="A12" s="87"/>
      <c r="B12" s="77" t="s">
        <v>162</v>
      </c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2" t="s">
        <v>115</v>
      </c>
      <c r="U12" s="96"/>
      <c r="V12" s="96"/>
    </row>
    <row r="13" s="76" customFormat="1" ht="57" customHeight="1" spans="1:26">
      <c r="A13" s="78" t="s">
        <v>163</v>
      </c>
      <c r="B13" s="78"/>
      <c r="C13" s="85">
        <f>(C8+C11-(C7+C9+C10+C12)/2)/2</f>
        <v>0</v>
      </c>
      <c r="D13" s="85">
        <f>(D8+D11-(D7+D9+D10+D12)/2)/2</f>
        <v>0</v>
      </c>
      <c r="E13" s="85">
        <f>(E8+E11-(E7+E9+E10+E12)/2)/2</f>
        <v>0</v>
      </c>
      <c r="F13" s="85">
        <f t="shared" ref="F13:H13" si="1">(F8+F11-(F7+F9+F10+F12)/2)/2</f>
        <v>0</v>
      </c>
      <c r="G13" s="85">
        <f t="shared" si="1"/>
        <v>0</v>
      </c>
      <c r="H13" s="85">
        <f t="shared" si="1"/>
        <v>0</v>
      </c>
      <c r="I13" s="85"/>
      <c r="J13" s="85">
        <f>(J8+J11-(J7+J9+J10+J12)/2)/2</f>
        <v>0</v>
      </c>
      <c r="K13" s="85">
        <f>(K8+K11-(K7+K9+K10+K12)/2)/2</f>
        <v>0</v>
      </c>
      <c r="L13" s="85">
        <f t="shared" ref="L13" si="2">(L8+L11-(L7+L9+L10+L12)/2)/2</f>
        <v>0</v>
      </c>
      <c r="M13" s="85">
        <f t="shared" ref="M13:S13" si="3">(M8+M11-(M7+M9+M10+M12)/2)/2</f>
        <v>0</v>
      </c>
      <c r="N13" s="85">
        <f t="shared" si="3"/>
        <v>0</v>
      </c>
      <c r="O13" s="85">
        <f t="shared" si="3"/>
        <v>0</v>
      </c>
      <c r="P13" s="85">
        <f t="shared" si="3"/>
        <v>0</v>
      </c>
      <c r="Q13" s="85">
        <f t="shared" si="3"/>
        <v>0</v>
      </c>
      <c r="R13" s="85">
        <f t="shared" si="3"/>
        <v>0</v>
      </c>
      <c r="S13" s="85">
        <f t="shared" si="3"/>
        <v>0</v>
      </c>
      <c r="T13" s="85"/>
      <c r="U13" s="97">
        <f>G13-D13</f>
        <v>0</v>
      </c>
      <c r="V13" s="97">
        <f>N13-K13</f>
        <v>0</v>
      </c>
      <c r="Y13" s="99"/>
      <c r="Z13" s="99"/>
    </row>
    <row r="14" s="76" customFormat="1" ht="47.25" customHeight="1" spans="1:20">
      <c r="A14" s="25" t="s">
        <v>116</v>
      </c>
      <c r="B14" s="25"/>
      <c r="C14" s="88" t="s">
        <v>151</v>
      </c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</row>
    <row r="15" s="76" customFormat="1" ht="30.75" customHeight="1" spans="1:20">
      <c r="A15" s="25" t="s">
        <v>118</v>
      </c>
      <c r="B15" s="25"/>
      <c r="C15" s="78" t="str">
        <f>加载记录表!D11</f>
        <v>北京中铁房山桥梁有限公司龙口制梁场</v>
      </c>
      <c r="D15" s="78"/>
      <c r="E15" s="78"/>
      <c r="F15" s="78"/>
      <c r="G15" s="78"/>
      <c r="H15" s="78"/>
      <c r="I15" s="60" t="s">
        <v>119</v>
      </c>
      <c r="J15" s="25"/>
      <c r="K15" s="25"/>
      <c r="L15" s="25" t="s">
        <v>152</v>
      </c>
      <c r="M15" s="92"/>
      <c r="N15" s="92"/>
      <c r="O15" s="25" t="s">
        <v>120</v>
      </c>
      <c r="P15" s="92"/>
      <c r="Q15" s="92"/>
      <c r="R15" s="25" t="s">
        <v>121</v>
      </c>
      <c r="S15" s="92"/>
      <c r="T15" s="92"/>
    </row>
    <row r="16" s="76" customFormat="1" ht="33.75" customHeight="1" spans="1:20">
      <c r="A16" s="25" t="s">
        <v>122</v>
      </c>
      <c r="B16" s="25"/>
      <c r="C16" s="78"/>
      <c r="D16" s="78"/>
      <c r="E16" s="78"/>
      <c r="F16" s="78"/>
      <c r="G16" s="78"/>
      <c r="H16" s="78"/>
      <c r="I16" s="25" t="s">
        <v>124</v>
      </c>
      <c r="J16" s="25"/>
      <c r="K16" s="25"/>
      <c r="L16" s="25"/>
      <c r="M16" s="93"/>
      <c r="N16" s="93"/>
      <c r="O16" s="93"/>
      <c r="P16" s="25" t="s">
        <v>125</v>
      </c>
      <c r="Q16" s="25"/>
      <c r="R16" s="98">
        <v>41968</v>
      </c>
      <c r="S16" s="25"/>
      <c r="T16" s="25"/>
    </row>
    <row r="18" spans="21:22">
      <c r="U18" t="e">
        <f>1.0409*#REF!</f>
        <v>#REF!</v>
      </c>
      <c r="V18" t="e">
        <f>1.0409*#REF!</f>
        <v>#REF!</v>
      </c>
    </row>
    <row r="19" spans="21:22">
      <c r="U19" t="e">
        <f>32000/U18</f>
        <v>#REF!</v>
      </c>
      <c r="V19" t="e">
        <f>1.0409*V18</f>
        <v>#REF!</v>
      </c>
    </row>
    <row r="20" spans="22:22">
      <c r="V20">
        <f>1.05*32000/1835</f>
        <v>18.3106267029973</v>
      </c>
    </row>
    <row r="21" spans="21:21">
      <c r="U21" t="e">
        <f>32000/V19</f>
        <v>#REF!</v>
      </c>
    </row>
    <row r="22" spans="21:22">
      <c r="U22">
        <f>32000/V20</f>
        <v>1747.61904761905</v>
      </c>
      <c r="V22" t="e">
        <f>32000/V18</f>
        <v>#REF!</v>
      </c>
    </row>
  </sheetData>
  <mergeCells count="34">
    <mergeCell ref="A1:T1"/>
    <mergeCell ref="A2:B2"/>
    <mergeCell ref="C2:E2"/>
    <mergeCell ref="F2:G2"/>
    <mergeCell ref="H2:J2"/>
    <mergeCell ref="K2:M2"/>
    <mergeCell ref="N2:P2"/>
    <mergeCell ref="Q2:R2"/>
    <mergeCell ref="S2:T2"/>
    <mergeCell ref="A3:B3"/>
    <mergeCell ref="C3:J3"/>
    <mergeCell ref="K3:M3"/>
    <mergeCell ref="N3:P3"/>
    <mergeCell ref="Q3:R3"/>
    <mergeCell ref="S3:T3"/>
    <mergeCell ref="C4:J4"/>
    <mergeCell ref="K4:T4"/>
    <mergeCell ref="A13:B13"/>
    <mergeCell ref="A14:B14"/>
    <mergeCell ref="C14:T14"/>
    <mergeCell ref="A15:B15"/>
    <mergeCell ref="C15:H15"/>
    <mergeCell ref="J15:K15"/>
    <mergeCell ref="M15:N15"/>
    <mergeCell ref="P15:Q15"/>
    <mergeCell ref="S15:T15"/>
    <mergeCell ref="A16:B16"/>
    <mergeCell ref="C16:H16"/>
    <mergeCell ref="I16:L16"/>
    <mergeCell ref="M16:O16"/>
    <mergeCell ref="P16:Q16"/>
    <mergeCell ref="R16:T16"/>
    <mergeCell ref="A4:A6"/>
    <mergeCell ref="A7:A12"/>
  </mergeCells>
  <printOptions horizontalCentered="1"/>
  <pageMargins left="0.590277777777778" right="0.590277777777778" top="0.471527777777778" bottom="0.747916666666667" header="0.313888888888889" footer="0.313888888888889"/>
  <pageSetup paperSize="9" orientation="landscape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8"/>
  <sheetViews>
    <sheetView topLeftCell="A5" workbookViewId="0">
      <selection activeCell="L18" sqref="L18:S22"/>
    </sheetView>
  </sheetViews>
  <sheetFormatPr defaultColWidth="9" defaultRowHeight="15.6"/>
  <cols>
    <col min="1" max="1" width="3.375" customWidth="1"/>
    <col min="2" max="2" width="8.25" customWidth="1"/>
    <col min="3" max="3" width="9.875" customWidth="1"/>
    <col min="4" max="4" width="5.625" customWidth="1"/>
    <col min="5" max="5" width="4.625" customWidth="1"/>
    <col min="6" max="6" width="7.5" customWidth="1"/>
    <col min="7" max="7" width="7.125" customWidth="1"/>
    <col min="8" max="8" width="8.875" customWidth="1"/>
    <col min="9" max="10" width="7.75" customWidth="1"/>
    <col min="11" max="11" width="6.875" customWidth="1"/>
    <col min="12" max="12" width="7.875" customWidth="1"/>
    <col min="13" max="13" width="10.125" customWidth="1"/>
    <col min="14" max="14" width="13.5" customWidth="1"/>
    <col min="15" max="16" width="22.75" hidden="1" customWidth="1"/>
    <col min="17" max="17" width="8" style="18" customWidth="1"/>
    <col min="18" max="18" width="6.375" customWidth="1"/>
    <col min="19" max="19" width="6.5" customWidth="1"/>
    <col min="20" max="20" width="2.75" customWidth="1"/>
    <col min="21" max="21" width="12.625"/>
    <col min="22" max="22" width="12.625" style="19"/>
    <col min="23" max="24" width="12.625"/>
    <col min="25" max="25" width="9" style="19"/>
    <col min="35" max="35" width="12.625"/>
  </cols>
  <sheetData>
    <row r="1" ht="18" customHeight="1" spans="1:19">
      <c r="A1" s="20" t="s">
        <v>164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2" ht="8.25" customHeight="1" spans="1:19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</row>
    <row r="3" ht="18" customHeight="1" spans="1:19">
      <c r="A3" s="22" t="s">
        <v>7</v>
      </c>
      <c r="B3" s="23"/>
      <c r="C3" s="23"/>
      <c r="D3" s="23" t="str">
        <f>加载计算书!H7</f>
        <v>FL32QB-0020</v>
      </c>
      <c r="E3" s="23"/>
      <c r="F3" s="23"/>
      <c r="G3" s="23"/>
      <c r="H3" s="23" t="s">
        <v>165</v>
      </c>
      <c r="I3" s="23"/>
      <c r="J3" s="43" t="str">
        <f>加载计算书!H12</f>
        <v>2014.10.27</v>
      </c>
      <c r="K3" s="23"/>
      <c r="L3" s="23" t="s">
        <v>166</v>
      </c>
      <c r="M3" s="23"/>
      <c r="N3" s="23"/>
      <c r="O3" s="23"/>
      <c r="P3" s="23"/>
      <c r="Q3" s="23"/>
      <c r="R3" s="23" t="str">
        <f>加载计算书!H10</f>
        <v>C55</v>
      </c>
      <c r="S3" s="61"/>
    </row>
    <row r="4" ht="32.1" customHeight="1" spans="1:19">
      <c r="A4" s="24" t="s">
        <v>9</v>
      </c>
      <c r="B4" s="25"/>
      <c r="C4" s="25"/>
      <c r="D4" s="26" t="str">
        <f>加载计算书!H8</f>
        <v>通桥（2012）2101-Ⅰ</v>
      </c>
      <c r="E4" s="26"/>
      <c r="F4" s="26"/>
      <c r="G4" s="26"/>
      <c r="H4" s="25" t="s">
        <v>167</v>
      </c>
      <c r="I4" s="25"/>
      <c r="J4" s="44" t="str">
        <f>加载计算书!H13</f>
        <v>2014.11.16</v>
      </c>
      <c r="K4" s="25"/>
      <c r="L4" s="25" t="s">
        <v>168</v>
      </c>
      <c r="M4" s="25"/>
      <c r="N4" s="25"/>
      <c r="O4" s="25"/>
      <c r="P4" s="25"/>
      <c r="Q4" s="25"/>
      <c r="R4" s="62">
        <v>60.9</v>
      </c>
      <c r="S4" s="63"/>
    </row>
    <row r="5" ht="18" customHeight="1" spans="1:19">
      <c r="A5" s="24" t="s">
        <v>169</v>
      </c>
      <c r="B5" s="25"/>
      <c r="C5" s="25"/>
      <c r="D5" s="25">
        <f>加载计算书!H31</f>
        <v>1.26</v>
      </c>
      <c r="E5" s="25"/>
      <c r="F5" s="25"/>
      <c r="G5" s="25"/>
      <c r="H5" s="25" t="s">
        <v>100</v>
      </c>
      <c r="I5" s="25"/>
      <c r="J5" s="44" t="str">
        <f>加载计算书!H14</f>
        <v>2014.12.24</v>
      </c>
      <c r="K5" s="25"/>
      <c r="L5" s="25" t="s">
        <v>170</v>
      </c>
      <c r="M5" s="25"/>
      <c r="N5" s="25"/>
      <c r="O5" s="25"/>
      <c r="P5" s="25"/>
      <c r="Q5" s="25"/>
      <c r="R5" s="62">
        <v>60.4</v>
      </c>
      <c r="S5" s="63"/>
    </row>
    <row r="6" ht="18" customHeight="1" spans="1:38">
      <c r="A6" s="24" t="s">
        <v>171</v>
      </c>
      <c r="B6" s="25"/>
      <c r="C6" s="25"/>
      <c r="D6" s="25" t="str">
        <f>加载计算书!H30</f>
        <v>1/1892</v>
      </c>
      <c r="E6" s="25"/>
      <c r="F6" s="25"/>
      <c r="G6" s="25"/>
      <c r="H6" s="25" t="s">
        <v>172</v>
      </c>
      <c r="I6" s="25"/>
      <c r="J6" s="45" t="s">
        <v>173</v>
      </c>
      <c r="K6" s="46"/>
      <c r="L6" s="25" t="s">
        <v>174</v>
      </c>
      <c r="M6" s="25"/>
      <c r="N6" s="25"/>
      <c r="O6" s="25"/>
      <c r="P6" s="25"/>
      <c r="Q6" s="25"/>
      <c r="R6" s="64">
        <v>46.9</v>
      </c>
      <c r="S6" s="65"/>
      <c r="V6" s="19" t="s">
        <v>89</v>
      </c>
      <c r="W6">
        <v>0.6</v>
      </c>
      <c r="X6">
        <v>0.8</v>
      </c>
      <c r="Y6" s="19" t="s">
        <v>175</v>
      </c>
      <c r="Z6">
        <v>1</v>
      </c>
      <c r="AA6">
        <v>1.05</v>
      </c>
      <c r="AB6">
        <v>1.1</v>
      </c>
      <c r="AC6">
        <v>1.15</v>
      </c>
      <c r="AD6">
        <v>1.2</v>
      </c>
      <c r="AH6" s="19" t="s">
        <v>89</v>
      </c>
      <c r="AI6">
        <v>0.6</v>
      </c>
      <c r="AJ6">
        <v>0.8</v>
      </c>
      <c r="AK6" s="19" t="s">
        <v>175</v>
      </c>
      <c r="AL6">
        <v>1</v>
      </c>
    </row>
    <row r="7" ht="18" customHeight="1" spans="1:37">
      <c r="A7" s="27" t="s">
        <v>176</v>
      </c>
      <c r="B7" s="26" t="s">
        <v>107</v>
      </c>
      <c r="C7" s="25" t="s">
        <v>109</v>
      </c>
      <c r="D7" s="25"/>
      <c r="E7" s="25"/>
      <c r="F7" s="28" t="str">
        <f>[1]加载计算!B79</f>
        <v>Ka</v>
      </c>
      <c r="G7" s="28"/>
      <c r="H7" s="28">
        <v>0.6</v>
      </c>
      <c r="I7" s="28"/>
      <c r="J7" s="28">
        <f>[1]加载计算!B81</f>
        <v>0.8</v>
      </c>
      <c r="K7" s="25"/>
      <c r="L7" s="28" t="str">
        <f>[1]加载计算!B82</f>
        <v>Kb</v>
      </c>
      <c r="M7" s="25"/>
      <c r="N7" s="25"/>
      <c r="O7" s="28">
        <f>[1]加载计算!B83</f>
        <v>1</v>
      </c>
      <c r="P7" s="28"/>
      <c r="Q7" s="25"/>
      <c r="R7" s="30" t="s">
        <v>144</v>
      </c>
      <c r="S7" s="66"/>
      <c r="AH7" s="19"/>
      <c r="AK7" s="19"/>
    </row>
    <row r="8" ht="18" customHeight="1" spans="1:38">
      <c r="A8" s="24"/>
      <c r="B8" s="25"/>
      <c r="C8" s="25" t="s">
        <v>177</v>
      </c>
      <c r="D8" s="25"/>
      <c r="E8" s="25"/>
      <c r="F8" s="29">
        <f>加载挠度记录表!D6</f>
        <v>282.092659897503</v>
      </c>
      <c r="G8" s="29"/>
      <c r="H8" s="29">
        <f>加载挠度记录表!E6</f>
        <v>292.146945611789</v>
      </c>
      <c r="I8" s="29"/>
      <c r="J8" s="29">
        <f>加载挠度记录表!F6</f>
        <v>434.10551704036</v>
      </c>
      <c r="K8" s="29"/>
      <c r="L8" s="29">
        <f>加载挠度记录表!G6</f>
        <v>528.29988650674</v>
      </c>
      <c r="M8" s="29"/>
      <c r="N8" s="29"/>
      <c r="O8" s="29">
        <f>加载挠度记录表!H6</f>
        <v>576.064088468932</v>
      </c>
      <c r="P8" s="29"/>
      <c r="Q8" s="29"/>
      <c r="R8" s="29" t="s">
        <v>115</v>
      </c>
      <c r="S8" s="67"/>
      <c r="U8">
        <v>-0.01</v>
      </c>
      <c r="V8" s="19">
        <v>7.78</v>
      </c>
      <c r="W8">
        <v>7.75</v>
      </c>
      <c r="X8">
        <v>7.72</v>
      </c>
      <c r="Y8" s="19">
        <v>7.66</v>
      </c>
      <c r="Z8">
        <v>7.61</v>
      </c>
      <c r="AA8">
        <v>7.56</v>
      </c>
      <c r="AB8">
        <v>7.51</v>
      </c>
      <c r="AC8">
        <v>7.5</v>
      </c>
      <c r="AD8">
        <v>7.49</v>
      </c>
      <c r="AG8">
        <v>-0.01</v>
      </c>
      <c r="AH8" s="19">
        <v>-0.28</v>
      </c>
      <c r="AI8">
        <v>-0.28</v>
      </c>
      <c r="AJ8">
        <v>-0.53</v>
      </c>
      <c r="AK8" s="19">
        <v>-0.74</v>
      </c>
      <c r="AL8">
        <v>-0.84</v>
      </c>
    </row>
    <row r="9" ht="18" customHeight="1" spans="1:38">
      <c r="A9" s="24"/>
      <c r="B9" s="25"/>
      <c r="C9" s="25" t="s">
        <v>178</v>
      </c>
      <c r="D9" s="25"/>
      <c r="E9" s="25"/>
      <c r="F9" s="30">
        <f>'加载挠度记录表 (整理后的)'!D13</f>
        <v>0</v>
      </c>
      <c r="G9" s="30"/>
      <c r="H9" s="30">
        <f>'加载挠度记录表 (整理后的)'!E13</f>
        <v>0</v>
      </c>
      <c r="I9" s="30"/>
      <c r="J9" s="30">
        <f>'加载挠度记录表 (整理后的)'!F13</f>
        <v>0</v>
      </c>
      <c r="K9" s="30"/>
      <c r="L9" s="30">
        <f>'加载挠度记录表 (整理后的)'!G13</f>
        <v>0</v>
      </c>
      <c r="M9" s="30"/>
      <c r="N9" s="30"/>
      <c r="O9" s="30">
        <f>'加载挠度记录表 (整理后的)'!H13</f>
        <v>0</v>
      </c>
      <c r="P9" s="30"/>
      <c r="Q9" s="30"/>
      <c r="R9" s="29" t="s">
        <v>115</v>
      </c>
      <c r="S9" s="67"/>
      <c r="U9" s="68">
        <v>0</v>
      </c>
      <c r="V9" s="19">
        <v>0.84</v>
      </c>
      <c r="W9">
        <v>0.86</v>
      </c>
      <c r="X9">
        <v>0.93</v>
      </c>
      <c r="Y9" s="19">
        <v>0.99</v>
      </c>
      <c r="Z9">
        <v>1.04</v>
      </c>
      <c r="AA9">
        <v>1.07</v>
      </c>
      <c r="AB9">
        <v>1.1</v>
      </c>
      <c r="AC9">
        <v>1.15</v>
      </c>
      <c r="AD9">
        <v>1.18</v>
      </c>
      <c r="AG9" s="68">
        <v>0</v>
      </c>
      <c r="AH9" s="19">
        <v>0.06</v>
      </c>
      <c r="AI9">
        <v>0.08</v>
      </c>
      <c r="AJ9">
        <v>0.17</v>
      </c>
      <c r="AK9" s="19">
        <v>0.3</v>
      </c>
      <c r="AL9">
        <v>0.37</v>
      </c>
    </row>
    <row r="10" ht="18" customHeight="1" spans="1:38">
      <c r="A10" s="24"/>
      <c r="B10" s="25"/>
      <c r="C10" s="25" t="s">
        <v>179</v>
      </c>
      <c r="D10" s="25"/>
      <c r="E10" s="25"/>
      <c r="F10" s="31" t="s">
        <v>180</v>
      </c>
      <c r="G10" s="25"/>
      <c r="H10" s="32"/>
      <c r="I10" s="47" t="s">
        <v>181</v>
      </c>
      <c r="J10" s="47"/>
      <c r="K10" s="48" t="s">
        <v>182</v>
      </c>
      <c r="L10" s="49" t="e">
        <f>32000/(L9-F9)</f>
        <v>#DIV/0!</v>
      </c>
      <c r="M10" s="47"/>
      <c r="N10" s="47"/>
      <c r="O10" s="47"/>
      <c r="P10" s="47"/>
      <c r="Q10" s="47"/>
      <c r="R10" s="47"/>
      <c r="S10" s="69"/>
      <c r="U10" s="70">
        <v>0.02</v>
      </c>
      <c r="V10" s="19">
        <v>0.77</v>
      </c>
      <c r="W10">
        <v>0.79</v>
      </c>
      <c r="X10">
        <v>0.8</v>
      </c>
      <c r="Y10" s="19">
        <v>0.78</v>
      </c>
      <c r="Z10">
        <v>0.76</v>
      </c>
      <c r="AA10">
        <v>0.69</v>
      </c>
      <c r="AB10">
        <v>0.62</v>
      </c>
      <c r="AC10">
        <v>0.57</v>
      </c>
      <c r="AD10">
        <v>0.56</v>
      </c>
      <c r="AG10" s="70">
        <v>0.02</v>
      </c>
      <c r="AH10" s="19">
        <v>0.17</v>
      </c>
      <c r="AI10">
        <v>0.17</v>
      </c>
      <c r="AJ10">
        <v>0.11</v>
      </c>
      <c r="AK10" s="19">
        <v>-0.19</v>
      </c>
      <c r="AL10">
        <v>-0.41</v>
      </c>
    </row>
    <row r="11" ht="18" customHeight="1" spans="1:38">
      <c r="A11" s="24"/>
      <c r="B11" s="25"/>
      <c r="C11" s="25" t="s">
        <v>183</v>
      </c>
      <c r="D11" s="25"/>
      <c r="E11" s="25"/>
      <c r="F11" s="25" t="s">
        <v>184</v>
      </c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66"/>
      <c r="U11">
        <v>0</v>
      </c>
      <c r="V11" s="19">
        <v>0.49</v>
      </c>
      <c r="W11">
        <v>0.51</v>
      </c>
      <c r="X11">
        <v>0.63</v>
      </c>
      <c r="Y11" s="19">
        <v>0.71</v>
      </c>
      <c r="Z11">
        <v>0.79</v>
      </c>
      <c r="AA11">
        <v>0.78</v>
      </c>
      <c r="AB11">
        <v>0.81</v>
      </c>
      <c r="AC11">
        <v>0.85</v>
      </c>
      <c r="AD11">
        <v>0.9</v>
      </c>
      <c r="AG11">
        <v>0</v>
      </c>
      <c r="AH11" s="19">
        <v>0.58</v>
      </c>
      <c r="AI11">
        <v>0.6</v>
      </c>
      <c r="AJ11">
        <v>0.8</v>
      </c>
      <c r="AK11" s="19">
        <v>0.05</v>
      </c>
      <c r="AL11">
        <v>0.99</v>
      </c>
    </row>
    <row r="12" ht="18" customHeight="1" spans="1:38">
      <c r="A12" s="24"/>
      <c r="B12" s="26" t="s">
        <v>108</v>
      </c>
      <c r="C12" s="25" t="s">
        <v>109</v>
      </c>
      <c r="D12" s="25"/>
      <c r="E12" s="25"/>
      <c r="F12" s="28" t="str">
        <f>[1]加载计算!B79</f>
        <v>Ka</v>
      </c>
      <c r="G12" s="28">
        <v>0.6</v>
      </c>
      <c r="H12" s="28">
        <f>[1]加载计算!B81</f>
        <v>0.8</v>
      </c>
      <c r="I12" s="28" t="str">
        <f>[1]加载计算!B82</f>
        <v>Kb</v>
      </c>
      <c r="J12" s="28">
        <f>[1]加载计算!B83</f>
        <v>1</v>
      </c>
      <c r="K12" s="50">
        <f>[1]加载计算!B84</f>
        <v>1.05</v>
      </c>
      <c r="L12" s="50">
        <f>[1]加载计算!B85</f>
        <v>1.1</v>
      </c>
      <c r="M12" s="50">
        <f>[1]加载计算!B86</f>
        <v>1.15</v>
      </c>
      <c r="N12" s="50"/>
      <c r="O12" s="50">
        <f>[1]加载计算!B87</f>
        <v>1.2</v>
      </c>
      <c r="P12" s="50"/>
      <c r="Q12" s="50"/>
      <c r="R12" s="50" t="s">
        <v>144</v>
      </c>
      <c r="S12" s="71"/>
      <c r="U12">
        <f>(U8+U9+U10+U11)/4</f>
        <v>0.0025</v>
      </c>
      <c r="V12">
        <f t="shared" ref="V12" si="0">(V8+V9+V10+V11)/4</f>
        <v>2.47</v>
      </c>
      <c r="W12">
        <f t="shared" ref="W12:AD12" si="1">(W8+W9+W10+W11)/4</f>
        <v>2.4775</v>
      </c>
      <c r="X12">
        <f t="shared" si="1"/>
        <v>2.52</v>
      </c>
      <c r="Y12">
        <f t="shared" si="1"/>
        <v>2.535</v>
      </c>
      <c r="Z12">
        <f t="shared" si="1"/>
        <v>2.55</v>
      </c>
      <c r="AA12">
        <f t="shared" si="1"/>
        <v>2.525</v>
      </c>
      <c r="AB12">
        <f t="shared" si="1"/>
        <v>2.51</v>
      </c>
      <c r="AC12">
        <f t="shared" si="1"/>
        <v>2.5175</v>
      </c>
      <c r="AD12">
        <f t="shared" si="1"/>
        <v>2.5325</v>
      </c>
      <c r="AG12">
        <f t="shared" ref="AG12:AL12" si="2">(AG8+AG9+AG10+AG11)/4</f>
        <v>0.0025</v>
      </c>
      <c r="AH12" s="19">
        <f t="shared" si="2"/>
        <v>0.1325</v>
      </c>
      <c r="AI12">
        <f t="shared" si="2"/>
        <v>0.1425</v>
      </c>
      <c r="AJ12">
        <f t="shared" si="2"/>
        <v>0.1375</v>
      </c>
      <c r="AK12" s="19">
        <f t="shared" si="2"/>
        <v>-0.145</v>
      </c>
      <c r="AL12">
        <f t="shared" si="2"/>
        <v>0.0275</v>
      </c>
    </row>
    <row r="13" ht="18" customHeight="1" spans="1:37">
      <c r="A13" s="24"/>
      <c r="B13" s="25"/>
      <c r="C13" s="25" t="s">
        <v>177</v>
      </c>
      <c r="D13" s="25"/>
      <c r="E13" s="25"/>
      <c r="F13" s="33">
        <f>F8</f>
        <v>282.092659897503</v>
      </c>
      <c r="G13" s="33">
        <f>H8</f>
        <v>292.146945611789</v>
      </c>
      <c r="H13" s="29">
        <f>J8</f>
        <v>434.10551704036</v>
      </c>
      <c r="I13" s="29">
        <f>L8</f>
        <v>528.29988650674</v>
      </c>
      <c r="J13" s="29">
        <f>O8</f>
        <v>576.064088468932</v>
      </c>
      <c r="K13" s="29">
        <f>加载挠度记录表!P6</f>
        <v>611.553731326075</v>
      </c>
      <c r="L13" s="29">
        <f>加载挠度记录表!Q6</f>
        <v>647.043374183217</v>
      </c>
      <c r="M13" s="51">
        <f>加载挠度记录表!R6</f>
        <v>682.53301704036</v>
      </c>
      <c r="N13" s="52"/>
      <c r="O13" s="51">
        <f>加载挠度记录表!S6</f>
        <v>718.022659897503</v>
      </c>
      <c r="P13" s="53"/>
      <c r="Q13" s="52"/>
      <c r="R13" s="29" t="s">
        <v>115</v>
      </c>
      <c r="S13" s="67"/>
      <c r="AH13" s="19"/>
      <c r="AK13" s="19"/>
    </row>
    <row r="14" ht="18" customHeight="1" spans="1:37">
      <c r="A14" s="24"/>
      <c r="B14" s="25"/>
      <c r="C14" s="25" t="s">
        <v>178</v>
      </c>
      <c r="D14" s="25"/>
      <c r="E14" s="25"/>
      <c r="F14" s="34">
        <f>'加载挠度记录表 (整理后的)'!K13</f>
        <v>0</v>
      </c>
      <c r="G14" s="34">
        <f>'加载挠度记录表 (整理后的)'!L13</f>
        <v>0</v>
      </c>
      <c r="H14" s="34">
        <f>'加载挠度记录表 (整理后的)'!M13</f>
        <v>0</v>
      </c>
      <c r="I14" s="34">
        <f>'加载挠度记录表 (整理后的)'!N13</f>
        <v>0</v>
      </c>
      <c r="J14" s="34">
        <f>'加载挠度记录表 (整理后的)'!O13</f>
        <v>0</v>
      </c>
      <c r="K14" s="34">
        <f>'加载挠度记录表 (整理后的)'!P13</f>
        <v>0</v>
      </c>
      <c r="L14" s="34">
        <f>'加载挠度记录表 (整理后的)'!Q13</f>
        <v>0</v>
      </c>
      <c r="M14" s="54">
        <f>'加载挠度记录表 (整理后的)'!R13</f>
        <v>0</v>
      </c>
      <c r="N14" s="55"/>
      <c r="O14" s="54">
        <f>'加载挠度记录表 (整理后的)'!S13</f>
        <v>0</v>
      </c>
      <c r="P14" s="56"/>
      <c r="Q14" s="55"/>
      <c r="R14" s="30" t="s">
        <v>115</v>
      </c>
      <c r="S14" s="72"/>
      <c r="AH14" s="19"/>
      <c r="AK14" s="19"/>
    </row>
    <row r="15" ht="18" customHeight="1" spans="1:38">
      <c r="A15" s="24"/>
      <c r="B15" s="25"/>
      <c r="C15" s="25" t="s">
        <v>179</v>
      </c>
      <c r="D15" s="25"/>
      <c r="E15" s="25"/>
      <c r="F15" s="31" t="s">
        <v>185</v>
      </c>
      <c r="G15" s="25"/>
      <c r="H15" s="32"/>
      <c r="I15" s="47" t="s">
        <v>186</v>
      </c>
      <c r="J15" s="47"/>
      <c r="K15" s="48" t="s">
        <v>182</v>
      </c>
      <c r="L15" s="49" t="e">
        <f>32000/(I14-F14)</f>
        <v>#DIV/0!</v>
      </c>
      <c r="M15" s="47"/>
      <c r="N15" s="47"/>
      <c r="O15" s="47"/>
      <c r="P15" s="47"/>
      <c r="Q15" s="47"/>
      <c r="R15" s="47"/>
      <c r="S15" s="69"/>
      <c r="T15" s="73"/>
      <c r="U15">
        <v>0.54</v>
      </c>
      <c r="V15" s="19">
        <v>14.57</v>
      </c>
      <c r="W15">
        <v>15.57</v>
      </c>
      <c r="X15">
        <v>22.8</v>
      </c>
      <c r="Y15" s="19">
        <v>28.12</v>
      </c>
      <c r="Z15">
        <v>30.78</v>
      </c>
      <c r="AA15">
        <v>33.01</v>
      </c>
      <c r="AB15">
        <v>33.41</v>
      </c>
      <c r="AC15">
        <v>37.62</v>
      </c>
      <c r="AD15">
        <v>39.77</v>
      </c>
      <c r="AG15">
        <v>0.54</v>
      </c>
      <c r="AH15" s="19">
        <v>13.37</v>
      </c>
      <c r="AI15">
        <v>13.76</v>
      </c>
      <c r="AJ15">
        <v>21.34</v>
      </c>
      <c r="AK15" s="19">
        <v>27.03</v>
      </c>
      <c r="AL15">
        <v>30.64</v>
      </c>
    </row>
    <row r="16" ht="18" customHeight="1" spans="1:38">
      <c r="A16" s="24"/>
      <c r="B16" s="25"/>
      <c r="C16" s="25" t="s">
        <v>183</v>
      </c>
      <c r="D16" s="25"/>
      <c r="E16" s="25"/>
      <c r="F16" s="25" t="s">
        <v>184</v>
      </c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66"/>
      <c r="U16">
        <v>0.75</v>
      </c>
      <c r="V16" s="19">
        <v>15.18</v>
      </c>
      <c r="W16">
        <v>14.37</v>
      </c>
      <c r="X16">
        <v>22.03</v>
      </c>
      <c r="Y16" s="19">
        <v>28.13</v>
      </c>
      <c r="Z16">
        <v>31.39</v>
      </c>
      <c r="AA16">
        <v>33.64</v>
      </c>
      <c r="AB16">
        <v>36.05</v>
      </c>
      <c r="AC16">
        <v>38.26</v>
      </c>
      <c r="AD16">
        <v>40.33</v>
      </c>
      <c r="AG16">
        <v>0.75</v>
      </c>
      <c r="AH16" s="19">
        <v>14.02</v>
      </c>
      <c r="AI16">
        <v>14.37</v>
      </c>
      <c r="AJ16">
        <v>22.03</v>
      </c>
      <c r="AK16" s="19">
        <v>28.13</v>
      </c>
      <c r="AL16">
        <v>31.39</v>
      </c>
    </row>
    <row r="17" ht="18" customHeight="1" spans="1:38">
      <c r="A17" s="27" t="s">
        <v>187</v>
      </c>
      <c r="B17" s="25"/>
      <c r="C17" s="25"/>
      <c r="D17" s="25"/>
      <c r="E17" s="25"/>
      <c r="F17" s="25" t="s">
        <v>188</v>
      </c>
      <c r="G17" s="25"/>
      <c r="H17" s="25"/>
      <c r="I17" s="25"/>
      <c r="J17" s="25"/>
      <c r="K17" s="25"/>
      <c r="L17" s="25" t="s">
        <v>189</v>
      </c>
      <c r="M17" s="25"/>
      <c r="N17" s="25"/>
      <c r="O17" s="25"/>
      <c r="P17" s="25"/>
      <c r="Q17" s="25"/>
      <c r="R17" s="25"/>
      <c r="S17" s="66"/>
      <c r="U17">
        <f t="shared" ref="U17" si="3">(U15+U16)/2</f>
        <v>0.645</v>
      </c>
      <c r="V17" s="19">
        <f t="shared" ref="V17:AD17" si="4">(V15+V16)/2</f>
        <v>14.875</v>
      </c>
      <c r="W17">
        <f t="shared" si="4"/>
        <v>14.97</v>
      </c>
      <c r="X17">
        <f t="shared" si="4"/>
        <v>22.415</v>
      </c>
      <c r="Y17" s="19">
        <f t="shared" si="4"/>
        <v>28.125</v>
      </c>
      <c r="Z17">
        <f t="shared" si="4"/>
        <v>31.085</v>
      </c>
      <c r="AA17">
        <f t="shared" si="4"/>
        <v>33.325</v>
      </c>
      <c r="AB17">
        <f t="shared" si="4"/>
        <v>34.73</v>
      </c>
      <c r="AC17">
        <f t="shared" si="4"/>
        <v>37.94</v>
      </c>
      <c r="AD17">
        <f t="shared" si="4"/>
        <v>40.05</v>
      </c>
      <c r="AG17">
        <f t="shared" ref="AG17:AL17" si="5">(AG15+AG16)/2</f>
        <v>0.645</v>
      </c>
      <c r="AH17" s="19">
        <f t="shared" si="5"/>
        <v>13.695</v>
      </c>
      <c r="AI17">
        <f t="shared" si="5"/>
        <v>14.065</v>
      </c>
      <c r="AJ17">
        <f t="shared" si="5"/>
        <v>21.685</v>
      </c>
      <c r="AK17" s="19">
        <f t="shared" si="5"/>
        <v>27.58</v>
      </c>
      <c r="AL17">
        <f t="shared" si="5"/>
        <v>31.015</v>
      </c>
    </row>
    <row r="18" ht="18" customHeight="1" spans="1:37">
      <c r="A18" s="24"/>
      <c r="B18" s="25"/>
      <c r="C18" s="25"/>
      <c r="D18" s="25"/>
      <c r="E18" s="25"/>
      <c r="F18" s="35" t="s">
        <v>184</v>
      </c>
      <c r="G18" s="35"/>
      <c r="H18" s="35"/>
      <c r="I18" s="35"/>
      <c r="J18" s="35"/>
      <c r="K18" s="35"/>
      <c r="L18" s="57" t="s">
        <v>190</v>
      </c>
      <c r="M18" s="58"/>
      <c r="N18" s="58"/>
      <c r="O18" s="58"/>
      <c r="P18" s="58"/>
      <c r="Q18" s="58"/>
      <c r="R18" s="58"/>
      <c r="S18" s="74"/>
      <c r="AH18" s="19"/>
      <c r="AK18" s="19"/>
    </row>
    <row r="19" ht="18" customHeight="1" spans="1:37">
      <c r="A19" s="24"/>
      <c r="B19" s="25"/>
      <c r="C19" s="25"/>
      <c r="D19" s="25"/>
      <c r="E19" s="25"/>
      <c r="F19" s="35"/>
      <c r="G19" s="35"/>
      <c r="H19" s="35"/>
      <c r="I19" s="35"/>
      <c r="J19" s="35"/>
      <c r="K19" s="35"/>
      <c r="L19" s="58"/>
      <c r="M19" s="58"/>
      <c r="N19" s="58"/>
      <c r="O19" s="58"/>
      <c r="P19" s="58"/>
      <c r="Q19" s="58"/>
      <c r="R19" s="58"/>
      <c r="S19" s="74"/>
      <c r="AH19" s="19"/>
      <c r="AK19" s="19"/>
    </row>
    <row r="20" ht="18" customHeight="1" spans="1:38">
      <c r="A20" s="24"/>
      <c r="B20" s="25"/>
      <c r="C20" s="25"/>
      <c r="D20" s="25"/>
      <c r="E20" s="25"/>
      <c r="F20" s="35"/>
      <c r="G20" s="35"/>
      <c r="H20" s="35"/>
      <c r="I20" s="35"/>
      <c r="J20" s="35"/>
      <c r="K20" s="35"/>
      <c r="L20" s="58"/>
      <c r="M20" s="58"/>
      <c r="N20" s="58"/>
      <c r="O20" s="58"/>
      <c r="P20" s="58"/>
      <c r="Q20" s="58"/>
      <c r="R20" s="58"/>
      <c r="S20" s="74"/>
      <c r="U20">
        <f>U17-U12</f>
        <v>0.6425</v>
      </c>
      <c r="V20" s="19">
        <f t="shared" ref="V20" si="6">V17-V12</f>
        <v>12.405</v>
      </c>
      <c r="W20">
        <f t="shared" ref="W20:AD20" si="7">W17-W12</f>
        <v>12.4925</v>
      </c>
      <c r="X20">
        <f t="shared" si="7"/>
        <v>19.895</v>
      </c>
      <c r="Y20" s="19">
        <f t="shared" si="7"/>
        <v>25.59</v>
      </c>
      <c r="Z20">
        <f t="shared" si="7"/>
        <v>28.535</v>
      </c>
      <c r="AA20">
        <f t="shared" si="7"/>
        <v>30.8</v>
      </c>
      <c r="AB20">
        <f t="shared" si="7"/>
        <v>32.22</v>
      </c>
      <c r="AC20">
        <f t="shared" si="7"/>
        <v>35.4225</v>
      </c>
      <c r="AD20">
        <f t="shared" si="7"/>
        <v>37.5175</v>
      </c>
      <c r="AG20">
        <f t="shared" ref="AG20:AL20" si="8">AG17-AG12</f>
        <v>0.6425</v>
      </c>
      <c r="AH20" s="19">
        <f t="shared" si="8"/>
        <v>13.5625</v>
      </c>
      <c r="AI20">
        <f t="shared" si="8"/>
        <v>13.9225</v>
      </c>
      <c r="AJ20">
        <f t="shared" si="8"/>
        <v>21.5475</v>
      </c>
      <c r="AK20" s="19">
        <f t="shared" si="8"/>
        <v>27.725</v>
      </c>
      <c r="AL20">
        <f t="shared" si="8"/>
        <v>30.9875</v>
      </c>
    </row>
    <row r="21" ht="18" customHeight="1" spans="1:37">
      <c r="A21" s="24"/>
      <c r="B21" s="25"/>
      <c r="C21" s="25"/>
      <c r="D21" s="25"/>
      <c r="E21" s="25"/>
      <c r="F21" s="35"/>
      <c r="G21" s="35"/>
      <c r="H21" s="35"/>
      <c r="I21" s="35"/>
      <c r="J21" s="35"/>
      <c r="K21" s="35"/>
      <c r="L21" s="58"/>
      <c r="M21" s="58"/>
      <c r="N21" s="58"/>
      <c r="O21" s="58"/>
      <c r="P21" s="58"/>
      <c r="Q21" s="58"/>
      <c r="R21" s="58"/>
      <c r="S21" s="74"/>
      <c r="AH21" s="19"/>
      <c r="AK21" s="19"/>
    </row>
    <row r="22" ht="14.25" customHeight="1" spans="1:37">
      <c r="A22" s="24"/>
      <c r="B22" s="25"/>
      <c r="C22" s="36"/>
      <c r="D22" s="36"/>
      <c r="E22" s="36"/>
      <c r="F22" s="37"/>
      <c r="G22" s="37"/>
      <c r="H22" s="37"/>
      <c r="I22" s="37"/>
      <c r="J22" s="37"/>
      <c r="K22" s="37"/>
      <c r="L22" s="59"/>
      <c r="M22" s="59"/>
      <c r="N22" s="59"/>
      <c r="O22" s="59"/>
      <c r="P22" s="59"/>
      <c r="Q22" s="59"/>
      <c r="R22" s="59"/>
      <c r="S22" s="75"/>
      <c r="AH22" s="19"/>
      <c r="AK22" s="19"/>
    </row>
    <row r="23" ht="18" customHeight="1" spans="1:37">
      <c r="A23" s="24" t="s">
        <v>118</v>
      </c>
      <c r="B23" s="38"/>
      <c r="C23" s="25" t="str">
        <f>加载记录表!D11</f>
        <v>北京中铁房山桥梁有限公司龙口制梁场</v>
      </c>
      <c r="D23" s="25"/>
      <c r="E23" s="25"/>
      <c r="F23" s="25"/>
      <c r="G23" s="25"/>
      <c r="H23" s="25"/>
      <c r="I23" s="25"/>
      <c r="J23" s="25" t="s">
        <v>191</v>
      </c>
      <c r="K23" s="25"/>
      <c r="L23" s="25"/>
      <c r="M23" s="25"/>
      <c r="N23" s="60" t="s">
        <v>192</v>
      </c>
      <c r="O23" s="60"/>
      <c r="P23" s="60"/>
      <c r="Q23" s="25"/>
      <c r="R23" s="25"/>
      <c r="S23" s="25"/>
      <c r="AH23" s="19"/>
      <c r="AK23" s="19"/>
    </row>
    <row r="24" ht="18" customHeight="1" spans="1:37">
      <c r="A24" s="39" t="s">
        <v>122</v>
      </c>
      <c r="B24" s="40"/>
      <c r="C24" s="25"/>
      <c r="D24" s="25"/>
      <c r="E24" s="25"/>
      <c r="F24" s="25"/>
      <c r="G24" s="25"/>
      <c r="H24" s="25"/>
      <c r="I24" s="25"/>
      <c r="J24" s="25" t="s">
        <v>193</v>
      </c>
      <c r="K24" s="25"/>
      <c r="L24" s="25"/>
      <c r="M24" s="25"/>
      <c r="N24" s="60" t="s">
        <v>194</v>
      </c>
      <c r="O24" s="60"/>
      <c r="P24" s="60"/>
      <c r="Q24" s="25"/>
      <c r="R24" s="25"/>
      <c r="S24" s="25"/>
      <c r="V24" s="19">
        <f>2402/1.0409</f>
        <v>2307.61840714766</v>
      </c>
      <c r="W24">
        <f>Y20-V20</f>
        <v>13.185</v>
      </c>
      <c r="AH24" s="19"/>
      <c r="AI24">
        <f>AK20-AH20</f>
        <v>14.1625</v>
      </c>
      <c r="AK24" s="19"/>
    </row>
    <row r="25" ht="26.25" customHeight="1" spans="1:37">
      <c r="A25" s="41"/>
      <c r="B25" s="41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V25" s="19">
        <f>2517/1.0409</f>
        <v>2418.09972139495</v>
      </c>
      <c r="W25">
        <f>W24/32000</f>
        <v>0.00041203125</v>
      </c>
      <c r="AH25" s="19"/>
      <c r="AI25">
        <f>AI24/32000</f>
        <v>0.000442578125</v>
      </c>
      <c r="AK25" s="19"/>
    </row>
    <row r="26" ht="18" customHeight="1" spans="1:37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V26" s="19">
        <f>32000/2402</f>
        <v>13.3222314737719</v>
      </c>
      <c r="W26">
        <f>1/W25</f>
        <v>2427.00037921881</v>
      </c>
      <c r="X26">
        <f>W26*1.0409</f>
        <v>2526.26469472886</v>
      </c>
      <c r="AH26" s="19"/>
      <c r="AI26">
        <f>1/AI25</f>
        <v>2259.4880847308</v>
      </c>
      <c r="AK26" s="19"/>
    </row>
    <row r="27" spans="22:22">
      <c r="V27" s="19">
        <f>32000/13.322/1.0409</f>
        <v>2307.65850271415</v>
      </c>
    </row>
    <row r="28" spans="22:22">
      <c r="V28" s="19">
        <f>32000/2517</f>
        <v>12.7135478744537</v>
      </c>
    </row>
  </sheetData>
  <mergeCells count="87">
    <mergeCell ref="A3:C3"/>
    <mergeCell ref="D3:G3"/>
    <mergeCell ref="H3:I3"/>
    <mergeCell ref="J3:K3"/>
    <mergeCell ref="L3:Q3"/>
    <mergeCell ref="R3:S3"/>
    <mergeCell ref="A4:C4"/>
    <mergeCell ref="D4:G4"/>
    <mergeCell ref="H4:I4"/>
    <mergeCell ref="J4:K4"/>
    <mergeCell ref="L4:Q4"/>
    <mergeCell ref="R4:S4"/>
    <mergeCell ref="A5:C5"/>
    <mergeCell ref="D5:G5"/>
    <mergeCell ref="H5:I5"/>
    <mergeCell ref="J5:K5"/>
    <mergeCell ref="L5:Q5"/>
    <mergeCell ref="R5:S5"/>
    <mergeCell ref="A6:C6"/>
    <mergeCell ref="D6:G6"/>
    <mergeCell ref="H6:I6"/>
    <mergeCell ref="J6:K6"/>
    <mergeCell ref="L6:Q6"/>
    <mergeCell ref="R6:S6"/>
    <mergeCell ref="C7:E7"/>
    <mergeCell ref="F7:G7"/>
    <mergeCell ref="H7:I7"/>
    <mergeCell ref="J7:K7"/>
    <mergeCell ref="L7:N7"/>
    <mergeCell ref="O7:Q7"/>
    <mergeCell ref="R7:S7"/>
    <mergeCell ref="C8:E8"/>
    <mergeCell ref="F8:G8"/>
    <mergeCell ref="H8:I8"/>
    <mergeCell ref="J8:K8"/>
    <mergeCell ref="L8:N8"/>
    <mergeCell ref="O8:Q8"/>
    <mergeCell ref="R8:S8"/>
    <mergeCell ref="C9:E9"/>
    <mergeCell ref="F9:G9"/>
    <mergeCell ref="H9:I9"/>
    <mergeCell ref="J9:K9"/>
    <mergeCell ref="L9:N9"/>
    <mergeCell ref="O9:Q9"/>
    <mergeCell ref="R9:S9"/>
    <mergeCell ref="C10:E10"/>
    <mergeCell ref="F10:G10"/>
    <mergeCell ref="C11:E11"/>
    <mergeCell ref="F11:S11"/>
    <mergeCell ref="C12:E12"/>
    <mergeCell ref="M12:N12"/>
    <mergeCell ref="O12:Q12"/>
    <mergeCell ref="R12:S12"/>
    <mergeCell ref="C13:E13"/>
    <mergeCell ref="M13:N13"/>
    <mergeCell ref="O13:Q13"/>
    <mergeCell ref="R13:S13"/>
    <mergeCell ref="C14:E14"/>
    <mergeCell ref="M14:N14"/>
    <mergeCell ref="O14:Q14"/>
    <mergeCell ref="R14:S14"/>
    <mergeCell ref="C15:E15"/>
    <mergeCell ref="F15:G15"/>
    <mergeCell ref="C16:E16"/>
    <mergeCell ref="F16:S16"/>
    <mergeCell ref="F17:K17"/>
    <mergeCell ref="L17:S17"/>
    <mergeCell ref="A23:B23"/>
    <mergeCell ref="C23:I23"/>
    <mergeCell ref="J23:K23"/>
    <mergeCell ref="L23:M23"/>
    <mergeCell ref="Q23:S23"/>
    <mergeCell ref="A24:B24"/>
    <mergeCell ref="C24:I24"/>
    <mergeCell ref="J24:K24"/>
    <mergeCell ref="L24:M24"/>
    <mergeCell ref="Q24:S24"/>
    <mergeCell ref="A25:S25"/>
    <mergeCell ref="A26:S26"/>
    <mergeCell ref="A7:A16"/>
    <mergeCell ref="A17:A22"/>
    <mergeCell ref="B7:B11"/>
    <mergeCell ref="B12:B16"/>
    <mergeCell ref="A1:S2"/>
    <mergeCell ref="L18:S22"/>
    <mergeCell ref="B17:E22"/>
    <mergeCell ref="F18:K22"/>
  </mergeCells>
  <printOptions horizontalCentered="1"/>
  <pageMargins left="0.393055555555556" right="0.393055555555556" top="0.393055555555556" bottom="0.590277777777778" header="0.313888888888889" footer="0.313888888888889"/>
  <pageSetup paperSize="9" orientation="landscape"/>
  <headerFooter alignWithMargins="0"/>
  <drawing r:id="rId1"/>
  <legacyDrawing r:id="rId2"/>
  <oleObjects>
    <mc:AlternateContent xmlns:mc="http://schemas.openxmlformats.org/markup-compatibility/2006">
      <mc:Choice Requires="x14">
        <oleObject shapeId="8194" progId="AutoCAD.Drawing.17" r:id="rId3">
          <objectPr defaultSize="0" r:id="rId4">
            <anchor moveWithCells="1">
              <from>
                <xdr:col>1</xdr:col>
                <xdr:colOff>28575</xdr:colOff>
                <xdr:row>16</xdr:row>
                <xdr:rowOff>171450</xdr:rowOff>
              </from>
              <to>
                <xdr:col>4</xdr:col>
                <xdr:colOff>333375</xdr:colOff>
                <xdr:row>21</xdr:row>
                <xdr:rowOff>0</xdr:rowOff>
              </to>
            </anchor>
          </objectPr>
        </oleObject>
      </mc:Choice>
      <mc:Fallback>
        <oleObject shapeId="8194" progId="AutoCAD.Drawing.17" r:id="rId3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abSelected="1" workbookViewId="0">
      <selection activeCell="I11" sqref="I11"/>
    </sheetView>
  </sheetViews>
  <sheetFormatPr defaultColWidth="9" defaultRowHeight="15.6" outlineLevelCol="5"/>
  <cols>
    <col min="1" max="1" width="13" style="1" customWidth="1"/>
    <col min="2" max="5" width="22.625" style="1" customWidth="1"/>
    <col min="6" max="6" width="21.125" style="1" customWidth="1"/>
    <col min="7" max="16384" width="9" style="1"/>
  </cols>
  <sheetData>
    <row r="1" ht="35.25" customHeight="1" spans="1:6">
      <c r="A1" s="2" t="s">
        <v>195</v>
      </c>
      <c r="B1" s="2"/>
      <c r="C1" s="2"/>
      <c r="D1" s="2"/>
      <c r="E1" s="2"/>
      <c r="F1" s="2"/>
    </row>
    <row r="2" ht="18" customHeight="1" spans="1:6">
      <c r="A2" s="3" t="s">
        <v>196</v>
      </c>
      <c r="B2" s="4" t="s">
        <v>197</v>
      </c>
      <c r="C2" s="5" t="s">
        <v>198</v>
      </c>
      <c r="D2" s="5" t="s">
        <v>199</v>
      </c>
      <c r="E2" s="5" t="s">
        <v>200</v>
      </c>
      <c r="F2" s="6" t="s">
        <v>201</v>
      </c>
    </row>
    <row r="3" ht="18" customHeight="1" spans="1:6">
      <c r="A3" s="7"/>
      <c r="B3" s="8"/>
      <c r="C3" s="9"/>
      <c r="D3" s="9"/>
      <c r="E3" s="9"/>
      <c r="F3" s="6"/>
    </row>
    <row r="4" ht="18" customHeight="1" spans="1:6">
      <c r="A4" s="10" t="s">
        <v>202</v>
      </c>
      <c r="B4" s="6"/>
      <c r="C4" s="6"/>
      <c r="D4" s="6"/>
      <c r="E4" s="6"/>
      <c r="F4" s="11"/>
    </row>
    <row r="5" ht="18" customHeight="1" spans="1:6">
      <c r="A5" s="10" t="s">
        <v>203</v>
      </c>
      <c r="B5" s="6"/>
      <c r="C5" s="6"/>
      <c r="D5" s="6"/>
      <c r="E5" s="6"/>
      <c r="F5" s="6"/>
    </row>
    <row r="6" ht="18" customHeight="1" spans="1:6">
      <c r="A6" s="10" t="s">
        <v>204</v>
      </c>
      <c r="B6" s="6"/>
      <c r="C6" s="6"/>
      <c r="D6" s="6"/>
      <c r="E6" s="6"/>
      <c r="F6" s="6"/>
    </row>
    <row r="7" ht="18" customHeight="1" spans="1:6">
      <c r="A7" s="10" t="s">
        <v>205</v>
      </c>
      <c r="B7" s="6"/>
      <c r="C7" s="6"/>
      <c r="D7" s="6"/>
      <c r="E7" s="6"/>
      <c r="F7" s="6"/>
    </row>
    <row r="8" ht="18" customHeight="1" spans="1:6">
      <c r="A8" s="10" t="s">
        <v>206</v>
      </c>
      <c r="B8" s="6"/>
      <c r="C8" s="6"/>
      <c r="D8" s="6"/>
      <c r="E8" s="6"/>
      <c r="F8" s="6"/>
    </row>
    <row r="9" spans="1:6">
      <c r="A9" s="12" t="s">
        <v>207</v>
      </c>
      <c r="B9" s="13"/>
      <c r="C9" s="13"/>
      <c r="D9" s="13"/>
      <c r="E9" s="13"/>
      <c r="F9" s="13"/>
    </row>
    <row r="10" spans="1:1">
      <c r="A10" s="12"/>
    </row>
    <row r="11" spans="1:1">
      <c r="A11" s="12"/>
    </row>
    <row r="12" spans="1:1">
      <c r="A12" s="12"/>
    </row>
    <row r="13" spans="1:1">
      <c r="A13" s="12"/>
    </row>
    <row r="14" spans="1:1">
      <c r="A14" s="12"/>
    </row>
    <row r="15" spans="1:1">
      <c r="A15" s="12"/>
    </row>
    <row r="16" spans="1:1">
      <c r="A16" s="12"/>
    </row>
    <row r="17" spans="1:1">
      <c r="A17" s="12"/>
    </row>
    <row r="18" spans="1:1">
      <c r="A18" s="12"/>
    </row>
    <row r="19" spans="1:1">
      <c r="A19" s="12"/>
    </row>
    <row r="20" spans="1:1">
      <c r="A20" s="12"/>
    </row>
    <row r="21" spans="1:1">
      <c r="A21" s="12"/>
    </row>
    <row r="22" spans="1:1">
      <c r="A22" s="12"/>
    </row>
    <row r="23" spans="1:1">
      <c r="A23" s="12"/>
    </row>
    <row r="24" spans="1:1">
      <c r="A24" s="12"/>
    </row>
    <row r="25" spans="1:1">
      <c r="A25" s="12"/>
    </row>
    <row r="26" spans="1:1">
      <c r="A26" s="12"/>
    </row>
    <row r="27" ht="16.35" spans="1:6">
      <c r="A27" s="14"/>
      <c r="B27" s="15"/>
      <c r="C27" s="15"/>
      <c r="D27" s="15"/>
      <c r="E27" s="15"/>
      <c r="F27" s="15"/>
    </row>
    <row r="28" ht="22.5" customHeight="1" spans="1:6">
      <c r="A28" s="16" t="s">
        <v>208</v>
      </c>
      <c r="C28" s="1" t="s">
        <v>209</v>
      </c>
      <c r="F28" s="17"/>
    </row>
  </sheetData>
  <mergeCells count="9">
    <mergeCell ref="A1:F1"/>
    <mergeCell ref="A2:A3"/>
    <mergeCell ref="A9:A27"/>
    <mergeCell ref="B2:B3"/>
    <mergeCell ref="C2:C3"/>
    <mergeCell ref="D2:D3"/>
    <mergeCell ref="E2:E3"/>
    <mergeCell ref="F2:F3"/>
    <mergeCell ref="B9:F27"/>
  </mergeCells>
  <pageMargins left="0.75" right="0.75" top="1" bottom="1" header="0.511805555555556" footer="0.511805555555556"/>
  <pageSetup paperSize="9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加载计算书</vt:lpstr>
      <vt:lpstr>加载记录表</vt:lpstr>
      <vt:lpstr>加载时间记录表</vt:lpstr>
      <vt:lpstr>加载挠度记录表</vt:lpstr>
      <vt:lpstr>加载挠度记录表 (整理后的)</vt:lpstr>
      <vt:lpstr>试验报告</vt:lpstr>
      <vt:lpstr>传感器、千斤顶分布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zzg</dc:creator>
  <cp:lastModifiedBy>asus</cp:lastModifiedBy>
  <dcterms:created xsi:type="dcterms:W3CDTF">1996-12-17T01:32:00Z</dcterms:created>
  <cp:lastPrinted>2015-03-26T18:57:00Z</cp:lastPrinted>
  <dcterms:modified xsi:type="dcterms:W3CDTF">2020-08-28T01:28:03Z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2052-11.1.0.9926</vt:lpwstr>
  </property>
</Properties>
</file>